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EIA-861 Sales 2024" sheetId="3" state="visible" r:id="rId3"/>
    <sheet xmlns:r="http://schemas.openxmlformats.org/officeDocument/2006/relationships" name="Share" sheetId="4" state="visible" r:id="rId4"/>
    <sheet xmlns:r="http://schemas.openxmlformats.org/officeDocument/2006/relationships" name="SoEDtIC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i val="1"/>
    </font>
    <font>
      <color rgb="000563C1"/>
      <u val="single"/>
    </font>
    <font>
      <b val="1"/>
      <color rgb="00FFFFFF"/>
    </font>
    <font>
      <b val="1"/>
      <i val="1"/>
      <color rgb="001F3864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ia.gov/electricity/data/eia861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SoEDtICoS Share of Electricity Demand that Is Cost of Service</t>
        </is>
      </c>
    </row>
    <row r="2">
      <c r="A2" s="2" t="inlineStr">
        <is>
          <t>Scope: state of IL   |   Data year: 2024</t>
        </is>
      </c>
    </row>
    <row r="4">
      <c r="A4" s="1" t="inlineStr">
        <is>
          <t>Source:</t>
        </is>
      </c>
      <c r="B4" s="3" t="inlineStr">
        <is>
          <t>Retail electricity sales by serving entity (utility / marketer / CCA)</t>
        </is>
      </c>
    </row>
    <row r="5">
      <c r="B5" s="4" t="inlineStr">
        <is>
          <t>U.S. Energy Information Administration (EIA)</t>
        </is>
      </c>
    </row>
    <row r="6">
      <c r="B6" s="4" t="inlineStr">
        <is>
          <t>Form EIA-861 detailed data, Sales_Ult_Cust_2024.xlsx (sheet 'States')</t>
        </is>
      </c>
    </row>
    <row r="7">
      <c r="B7" s="4" t="n">
        <v>2024</v>
      </c>
    </row>
    <row r="8">
      <c r="B8" s="5" t="inlineStr">
        <is>
          <t>https://www.eia.gov/electricity/data/eia861/</t>
        </is>
      </c>
    </row>
    <row r="9">
      <c r="B9" s="4" t="inlineStr">
        <is>
          <t>Cost-of-service share = cost-of-service MWh / (cost-of-service + procurement) MWh for this jurisdiction. Ties to EIA published retail sales (Bundled+Energy).</t>
        </is>
      </c>
    </row>
    <row r="11">
      <c r="A11" s="1" t="inlineStr">
        <is>
          <t>Notes:</t>
        </is>
      </c>
    </row>
    <row r="12">
      <c r="A12" s="6" t="inlineStr">
        <is>
          <t>Classification</t>
        </is>
      </c>
      <c r="B12" s="4" t="inlineStr">
        <is>
          <t>LSE-based: cost-of-service = bundled sales of munis, cooperatives, federal/state/political-subdivision utilities, plus IOUs in non-restructured states (and the TX override utilities). Procurement = marketers, CCAs, any 'Energy' service-type sales, and IOUs in restructured states.</t>
        </is>
      </c>
    </row>
    <row r="13">
      <c r="A13" s="6" t="inlineStr">
        <is>
          <t>Double-count fix</t>
        </is>
      </c>
      <c r="B13" s="4" t="inlineStr">
        <is>
          <t>Only Service Type Bundled or Energy enter the totals; 'Delivery' rows (the wires half of choice load) are classified 'excluded'.</t>
        </is>
      </c>
    </row>
    <row r="14">
      <c r="A14" s="6" t="inlineStr">
        <is>
          <t>Exclusions</t>
        </is>
      </c>
      <c r="B14" s="4" t="inlineStr">
        <is>
          <t>EIA 'Adjustment' rows and 'Behind the Meter' ownership are excluded.</t>
        </is>
      </c>
    </row>
    <row r="15">
      <c r="A15" s="6" t="inlineStr">
        <is>
          <t>Time profile</t>
        </is>
      </c>
      <c r="B15" s="4" t="inlineStr">
        <is>
          <t>Held FLAT 2021-2050 at the latest-year cost-of-service share. The analysis measures a single recent year; no independent forward projection is made.</t>
        </is>
      </c>
    </row>
    <row r="16">
      <c r="A16" s="6" t="inlineStr">
        <is>
          <t>Restructured + overrides</t>
        </is>
      </c>
      <c r="B16" s="4" t="inlineStr">
        <is>
          <t>Editable on the Parameters tab. Non-ERCOT TX IOUs (util #s 55937/17718/17698/5701) are held cost-of-service.</t>
        </is>
      </c>
    </row>
    <row r="17">
      <c r="A17" s="6" t="inlineStr">
        <is>
          <t>How it computes</t>
        </is>
      </c>
      <c r="B17" s="4" t="inlineStr">
        <is>
          <t>Source tab 'bucket' column classifies each row (reads Parameters via COUNTIF); the Share tab sums via SUMIFS; the SoEDtICoS tab = ROUND(share,3) flat across years. Edit Parameters and the EPS value recomputes.</t>
        </is>
      </c>
    </row>
    <row r="18">
      <c r="A18" s="6" t="inlineStr">
        <is>
          <t>Caveat</t>
        </is>
      </c>
      <c r="B18" s="4" t="inlineStr">
        <is>
          <t>Staff-review input; verify against EIA primary sources. Restructured list and TX overrides are adjustable assumptions.</t>
        </is>
      </c>
    </row>
  </sheetData>
  <hyperlinks>
    <hyperlink xmlns:r="http://schemas.openxmlformats.org/officeDocument/2006/relationships" ref="B8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34" customWidth="1" min="3" max="3"/>
  </cols>
  <sheetData>
    <row r="1">
      <c r="A1" s="1" t="inlineStr">
        <is>
          <t>Parameters (editable — outputs recompute)</t>
        </is>
      </c>
    </row>
    <row r="3">
      <c r="A3" s="7" t="inlineStr">
        <is>
          <t>Fully Restructured States</t>
        </is>
      </c>
      <c r="B3" s="7" t="inlineStr">
        <is>
          <t>Override Utility #</t>
        </is>
      </c>
      <c r="C3" s="7" t="inlineStr">
        <is>
          <t>Override Utility Name (reference)</t>
        </is>
      </c>
    </row>
    <row r="4">
      <c r="A4" t="inlineStr">
        <is>
          <t>CT</t>
        </is>
      </c>
      <c r="B4" t="n">
        <v>55937</v>
      </c>
      <c r="C4" t="inlineStr">
        <is>
          <t>Entergy Texas Inc.</t>
        </is>
      </c>
    </row>
    <row r="5">
      <c r="A5" t="inlineStr">
        <is>
          <t>DC</t>
        </is>
      </c>
      <c r="B5" t="n">
        <v>17718</v>
      </c>
      <c r="C5" t="inlineStr">
        <is>
          <t>Southwestern Public Service Co</t>
        </is>
      </c>
    </row>
    <row r="6">
      <c r="A6" t="inlineStr">
        <is>
          <t>DE</t>
        </is>
      </c>
      <c r="B6" t="n">
        <v>17698</v>
      </c>
      <c r="C6" t="inlineStr">
        <is>
          <t>Southwestern Electric Power Co</t>
        </is>
      </c>
    </row>
    <row r="7">
      <c r="A7" t="inlineStr">
        <is>
          <t>IL</t>
        </is>
      </c>
      <c r="B7" t="n">
        <v>5701</v>
      </c>
      <c r="C7" t="inlineStr">
        <is>
          <t>El Paso Electric Co</t>
        </is>
      </c>
    </row>
    <row r="8">
      <c r="A8" t="inlineStr">
        <is>
          <t>MA</t>
        </is>
      </c>
    </row>
    <row r="9">
      <c r="A9" t="inlineStr">
        <is>
          <t>MD</t>
        </is>
      </c>
    </row>
    <row r="10">
      <c r="A10" t="inlineStr">
        <is>
          <t>ME</t>
        </is>
      </c>
    </row>
    <row r="11">
      <c r="A11" t="inlineStr">
        <is>
          <t>NH</t>
        </is>
      </c>
    </row>
    <row r="12">
      <c r="A12" t="inlineStr">
        <is>
          <t>NJ</t>
        </is>
      </c>
    </row>
    <row r="13">
      <c r="A13" t="inlineStr">
        <is>
          <t>NY</t>
        </is>
      </c>
    </row>
    <row r="14">
      <c r="A14" t="inlineStr">
        <is>
          <t>OH</t>
        </is>
      </c>
    </row>
    <row r="15">
      <c r="A15" t="inlineStr">
        <is>
          <t>PA</t>
        </is>
      </c>
    </row>
    <row r="16">
      <c r="A16" t="inlineStr">
        <is>
          <t>RI</t>
        </is>
      </c>
    </row>
    <row r="17">
      <c r="A17" t="inlineStr">
        <is>
          <t>TX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Utility Characteristics</t>
        </is>
      </c>
      <c r="J1" t="inlineStr">
        <is>
          <t>RESIDENTIAL</t>
        </is>
      </c>
      <c r="M1" t="inlineStr">
        <is>
          <t>COMMERCIAL</t>
        </is>
      </c>
      <c r="P1" t="inlineStr">
        <is>
          <t>INDUSTRIAL</t>
        </is>
      </c>
      <c r="S1" t="inlineStr">
        <is>
          <t>TRANSPORTATION</t>
        </is>
      </c>
      <c r="V1" t="inlineStr">
        <is>
          <t>TOTAL</t>
        </is>
      </c>
    </row>
    <row r="2">
      <c r="A2" t="inlineStr"/>
      <c r="J2" t="inlineStr">
        <is>
          <t>Revenues</t>
        </is>
      </c>
      <c r="K2" t="inlineStr">
        <is>
          <t>Sales</t>
        </is>
      </c>
      <c r="L2" t="inlineStr">
        <is>
          <t>Customers</t>
        </is>
      </c>
      <c r="M2" t="inlineStr">
        <is>
          <t>Revenues</t>
        </is>
      </c>
      <c r="N2" t="inlineStr">
        <is>
          <t>Sales</t>
        </is>
      </c>
      <c r="O2" t="inlineStr">
        <is>
          <t>Customers</t>
        </is>
      </c>
      <c r="P2" t="inlineStr">
        <is>
          <t>Revenues</t>
        </is>
      </c>
      <c r="Q2" t="inlineStr">
        <is>
          <t>Sales</t>
        </is>
      </c>
      <c r="R2" t="inlineStr">
        <is>
          <t>Customers</t>
        </is>
      </c>
      <c r="S2" t="inlineStr">
        <is>
          <t>Revenues</t>
        </is>
      </c>
      <c r="T2" t="inlineStr">
        <is>
          <t>Sales</t>
        </is>
      </c>
      <c r="U2" t="inlineStr">
        <is>
          <t>Customers</t>
        </is>
      </c>
      <c r="V2" t="inlineStr">
        <is>
          <t>Revenues</t>
        </is>
      </c>
      <c r="W2" t="inlineStr">
        <is>
          <t>Sales</t>
        </is>
      </c>
      <c r="X2" t="inlineStr">
        <is>
          <t>Customers</t>
        </is>
      </c>
    </row>
    <row r="3">
      <c r="A3" t="inlineStr">
        <is>
          <t>Data Year</t>
        </is>
      </c>
      <c r="B3" t="inlineStr">
        <is>
          <t>Utility Number</t>
        </is>
      </c>
      <c r="C3" t="inlineStr">
        <is>
          <t>Utility Name</t>
        </is>
      </c>
      <c r="D3" t="inlineStr">
        <is>
          <t>Part</t>
        </is>
      </c>
      <c r="E3" t="inlineStr">
        <is>
          <t>Service Type</t>
        </is>
      </c>
      <c r="F3" t="inlineStr">
        <is>
          <t>Data Type
O = Observed
I = Imputed</t>
        </is>
      </c>
      <c r="G3" t="inlineStr">
        <is>
          <t>State</t>
        </is>
      </c>
      <c r="H3" t="inlineStr">
        <is>
          <t>Ownership</t>
        </is>
      </c>
      <c r="I3" t="inlineStr">
        <is>
          <t>BA Code</t>
        </is>
      </c>
      <c r="J3" t="inlineStr">
        <is>
          <t>Thousand Dollars</t>
        </is>
      </c>
      <c r="K3" t="inlineStr">
        <is>
          <t>Megawatthours</t>
        </is>
      </c>
      <c r="L3" t="inlineStr">
        <is>
          <t>Count</t>
        </is>
      </c>
      <c r="M3" t="inlineStr">
        <is>
          <t>Thousand Dollars</t>
        </is>
      </c>
      <c r="N3" t="inlineStr">
        <is>
          <t>Megawatthours</t>
        </is>
      </c>
      <c r="O3" t="inlineStr">
        <is>
          <t>Count</t>
        </is>
      </c>
      <c r="P3" t="inlineStr">
        <is>
          <t>Thousand Dollars</t>
        </is>
      </c>
      <c r="Q3" t="inlineStr">
        <is>
          <t>Megawatthours</t>
        </is>
      </c>
      <c r="R3" t="inlineStr">
        <is>
          <t>Count</t>
        </is>
      </c>
      <c r="S3" t="inlineStr">
        <is>
          <t>Thousand Dollars</t>
        </is>
      </c>
      <c r="T3" t="inlineStr">
        <is>
          <t>Megawatthours</t>
        </is>
      </c>
      <c r="U3" t="inlineStr">
        <is>
          <t>Count</t>
        </is>
      </c>
      <c r="V3" t="inlineStr">
        <is>
          <t>Thousand Dollars</t>
        </is>
      </c>
      <c r="W3" t="inlineStr">
        <is>
          <t>Megawatthours</t>
        </is>
      </c>
      <c r="X3" t="inlineStr">
        <is>
          <t>Count</t>
        </is>
      </c>
      <c r="Y3" s="8" t="inlineStr">
        <is>
          <t>sales_mwh (derived)</t>
        </is>
      </c>
      <c r="Z3" s="8" t="inlineStr">
        <is>
          <t>bucket (derived)</t>
        </is>
      </c>
    </row>
    <row r="4">
      <c r="A4" t="n">
        <v>2024</v>
      </c>
      <c r="B4" t="n">
        <v>970</v>
      </c>
      <c r="C4" t="inlineStr">
        <is>
          <t>Homefield Energy</t>
        </is>
      </c>
      <c r="D4" t="inlineStr">
        <is>
          <t>B</t>
        </is>
      </c>
      <c r="E4" t="inlineStr">
        <is>
          <t>Energy</t>
        </is>
      </c>
      <c r="F4" t="inlineStr">
        <is>
          <t>O</t>
        </is>
      </c>
      <c r="G4" t="inlineStr">
        <is>
          <t>IL</t>
        </is>
      </c>
      <c r="H4" t="inlineStr">
        <is>
          <t>Retail Power Marketer</t>
        </is>
      </c>
      <c r="I4" t="inlineStr">
        <is>
          <t>MISO</t>
        </is>
      </c>
      <c r="J4" t="n">
        <v>137052.5</v>
      </c>
      <c r="K4" t="n">
        <v>1575796</v>
      </c>
      <c r="L4" t="n">
        <v>163064</v>
      </c>
      <c r="M4" t="n">
        <v>235940.1</v>
      </c>
      <c r="N4" t="n">
        <v>3187220</v>
      </c>
      <c r="O4" t="n">
        <v>2845</v>
      </c>
      <c r="P4" t="n">
        <v>1186.6</v>
      </c>
      <c r="Q4" t="n">
        <v>16090</v>
      </c>
      <c r="R4" t="n">
        <v>105</v>
      </c>
      <c r="S4" t="n">
        <v>0</v>
      </c>
      <c r="T4" t="n">
        <v>0</v>
      </c>
      <c r="U4" t="n">
        <v>0</v>
      </c>
      <c r="V4" t="n">
        <v>374179.2</v>
      </c>
      <c r="W4" t="n">
        <v>4779106</v>
      </c>
      <c r="X4" t="n">
        <v>166014</v>
      </c>
      <c r="Y4">
        <f>IF(ISNUMBER($W4),$W4,0)</f>
        <v/>
      </c>
      <c r="Z4">
        <f>IF(ISNUMBER(SEARCH("Adjustment",$C4)),"excluded",IF($H4="Behind the Meter","excluded",IF(NOT(OR($E4="Bundled",$E4="Energy")),"excluded",IF(OR($H4="Retail Power Marketer",$H4="Community Choice Aggregator",$E4="Energy"),"procurement",IF(OR($H4="Municipal",$H4="Cooperative",$H4="Federal",$H4="State",$H4="Political Subdivision"),"cost_service",IF($H4="Investor Owned",IF(AND(COUNTIF(Parameters!$A$4:$A$33,$G4)&gt;0,COUNTIF(Parameters!$B$4:$B$33,$B4)=0),"procurement","cost_service"),"unclassified"))))))</f>
        <v/>
      </c>
    </row>
    <row r="5">
      <c r="A5" t="n">
        <v>2024</v>
      </c>
      <c r="B5" t="n">
        <v>1325</v>
      </c>
      <c r="C5" t="inlineStr">
        <is>
          <t>City of Batavia - (IL)</t>
        </is>
      </c>
      <c r="D5" t="inlineStr">
        <is>
          <t>A</t>
        </is>
      </c>
      <c r="E5" t="inlineStr">
        <is>
          <t>Bundled</t>
        </is>
      </c>
      <c r="F5" t="inlineStr">
        <is>
          <t>O</t>
        </is>
      </c>
      <c r="G5" t="inlineStr">
        <is>
          <t>IL</t>
        </is>
      </c>
      <c r="H5" t="inlineStr">
        <is>
          <t>Municipal</t>
        </is>
      </c>
      <c r="I5" t="inlineStr">
        <is>
          <t>PJM</t>
        </is>
      </c>
      <c r="J5" t="n">
        <v>12330</v>
      </c>
      <c r="K5" t="n">
        <v>87561</v>
      </c>
      <c r="L5" t="n">
        <v>10020</v>
      </c>
      <c r="M5" t="n">
        <v>15642</v>
      </c>
      <c r="N5" t="n">
        <v>130597</v>
      </c>
      <c r="O5" t="n">
        <v>1368</v>
      </c>
      <c r="P5" t="n">
        <v>17254</v>
      </c>
      <c r="Q5" t="n">
        <v>184363</v>
      </c>
      <c r="R5" t="n">
        <v>10</v>
      </c>
      <c r="S5" t="inlineStr">
        <is>
          <t>.</t>
        </is>
      </c>
      <c r="T5" t="inlineStr">
        <is>
          <t>.</t>
        </is>
      </c>
      <c r="U5" t="inlineStr">
        <is>
          <t>.</t>
        </is>
      </c>
      <c r="V5" t="n">
        <v>45226</v>
      </c>
      <c r="W5" t="n">
        <v>402521</v>
      </c>
      <c r="X5" t="n">
        <v>11398</v>
      </c>
      <c r="Y5">
        <f>IF(ISNUMBER($W5),$W5,0)</f>
        <v/>
      </c>
      <c r="Z5">
        <f>IF(ISNUMBER(SEARCH("Adjustment",$C5)),"excluded",IF($H5="Behind the Meter","excluded",IF(NOT(OR($E5="Bundled",$E5="Energy")),"excluded",IF(OR($H5="Retail Power Marketer",$H5="Community Choice Aggregator",$E5="Energy"),"procurement",IF(OR($H5="Municipal",$H5="Cooperative",$H5="Federal",$H5="State",$H5="Political Subdivision"),"cost_service",IF($H5="Investor Owned",IF(AND(COUNTIF(Parameters!$A$4:$A$33,$G5)&gt;0,COUNTIF(Parameters!$B$4:$B$33,$B5)=0),"procurement","cost_service"),"unclassified"))))))</f>
        <v/>
      </c>
    </row>
    <row r="6">
      <c r="A6" t="n">
        <v>2024</v>
      </c>
      <c r="B6" t="n">
        <v>1611</v>
      </c>
      <c r="C6" t="inlineStr">
        <is>
          <t>Messer Energy Services, Inc.</t>
        </is>
      </c>
      <c r="D6" t="inlineStr">
        <is>
          <t>B</t>
        </is>
      </c>
      <c r="E6" t="inlineStr">
        <is>
          <t>Energy</t>
        </is>
      </c>
      <c r="F6" t="inlineStr">
        <is>
          <t>O</t>
        </is>
      </c>
      <c r="G6" t="inlineStr">
        <is>
          <t>IL</t>
        </is>
      </c>
      <c r="H6" t="inlineStr">
        <is>
          <t>Retail Power Marketer</t>
        </is>
      </c>
      <c r="I6" t="inlineStr">
        <is>
          <t>MISO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9581</v>
      </c>
      <c r="Q6" t="n">
        <v>170255</v>
      </c>
      <c r="R6" t="n">
        <v>3</v>
      </c>
      <c r="S6" t="n">
        <v>0</v>
      </c>
      <c r="T6" t="n">
        <v>0</v>
      </c>
      <c r="U6" t="n">
        <v>0</v>
      </c>
      <c r="V6" t="n">
        <v>9581</v>
      </c>
      <c r="W6" t="n">
        <v>170255</v>
      </c>
      <c r="X6" t="n">
        <v>3</v>
      </c>
      <c r="Y6">
        <f>IF(ISNUMBER($W6),$W6,0)</f>
        <v/>
      </c>
      <c r="Z6">
        <f>IF(ISNUMBER(SEARCH("Adjustment",$C6)),"excluded",IF($H6="Behind the Meter","excluded",IF(NOT(OR($E6="Bundled",$E6="Energy")),"excluded",IF(OR($H6="Retail Power Marketer",$H6="Community Choice Aggregator",$E6="Energy"),"procurement",IF(OR($H6="Municipal",$H6="Cooperative",$H6="Federal",$H6="State",$H6="Political Subdivision"),"cost_service",IF($H6="Investor Owned",IF(AND(COUNTIF(Parameters!$A$4:$A$33,$G6)&gt;0,COUNTIF(Parameters!$B$4:$B$33,$B6)=0),"procurement","cost_service"),"unclassified"))))))</f>
        <v/>
      </c>
    </row>
    <row r="7">
      <c r="A7" t="n">
        <v>2024</v>
      </c>
      <c r="B7" t="n">
        <v>3931</v>
      </c>
      <c r="C7" t="inlineStr">
        <is>
          <t>Coles-Moultrie Electric Coop</t>
        </is>
      </c>
      <c r="D7" t="inlineStr">
        <is>
          <t>A</t>
        </is>
      </c>
      <c r="E7" t="inlineStr">
        <is>
          <t>Bundled</t>
        </is>
      </c>
      <c r="F7" t="inlineStr">
        <is>
          <t>O</t>
        </is>
      </c>
      <c r="G7" t="inlineStr">
        <is>
          <t>IL</t>
        </is>
      </c>
      <c r="H7" t="inlineStr">
        <is>
          <t>Cooperative</t>
        </is>
      </c>
      <c r="I7" t="inlineStr">
        <is>
          <t>MISO</t>
        </is>
      </c>
      <c r="J7" t="n">
        <v>19469</v>
      </c>
      <c r="K7" t="n">
        <v>113570</v>
      </c>
      <c r="L7" t="n">
        <v>8456</v>
      </c>
      <c r="M7" t="n">
        <v>7550</v>
      </c>
      <c r="N7" t="n">
        <v>50271</v>
      </c>
      <c r="O7" t="n">
        <v>1107</v>
      </c>
      <c r="P7" t="n">
        <v>4120</v>
      </c>
      <c r="Q7" t="n">
        <v>35779</v>
      </c>
      <c r="R7" t="n">
        <v>13</v>
      </c>
      <c r="S7" t="inlineStr">
        <is>
          <t>.</t>
        </is>
      </c>
      <c r="T7" t="inlineStr">
        <is>
          <t>.</t>
        </is>
      </c>
      <c r="U7" t="inlineStr">
        <is>
          <t>.</t>
        </is>
      </c>
      <c r="V7" t="n">
        <v>31139</v>
      </c>
      <c r="W7" t="n">
        <v>199620</v>
      </c>
      <c r="X7" t="n">
        <v>9576</v>
      </c>
      <c r="Y7">
        <f>IF(ISNUMBER($W7),$W7,0)</f>
        <v/>
      </c>
      <c r="Z7">
        <f>IF(ISNUMBER(SEARCH("Adjustment",$C7)),"excluded",IF($H7="Behind the Meter","excluded",IF(NOT(OR($E7="Bundled",$E7="Energy")),"excluded",IF(OR($H7="Retail Power Marketer",$H7="Community Choice Aggregator",$E7="Energy"),"procurement",IF(OR($H7="Municipal",$H7="Cooperative",$H7="Federal",$H7="State",$H7="Political Subdivision"),"cost_service",IF($H7="Investor Owned",IF(AND(COUNTIF(Parameters!$A$4:$A$33,$G7)&gt;0,COUNTIF(Parameters!$B$4:$B$33,$B7)=0),"procurement","cost_service"),"unclassified"))))))</f>
        <v/>
      </c>
    </row>
    <row r="8">
      <c r="A8" t="n">
        <v>2024</v>
      </c>
      <c r="B8" t="n">
        <v>4100</v>
      </c>
      <c r="C8" t="inlineStr">
        <is>
          <t>Just Energy Solutions Inc.</t>
        </is>
      </c>
      <c r="D8" t="inlineStr">
        <is>
          <t>B</t>
        </is>
      </c>
      <c r="E8" t="inlineStr">
        <is>
          <t>Energy</t>
        </is>
      </c>
      <c r="F8" t="inlineStr">
        <is>
          <t>O</t>
        </is>
      </c>
      <c r="G8" t="inlineStr">
        <is>
          <t>IL</t>
        </is>
      </c>
      <c r="H8" t="inlineStr">
        <is>
          <t>Retail Power Marketer</t>
        </is>
      </c>
      <c r="I8" t="inlineStr">
        <is>
          <t>PJM</t>
        </is>
      </c>
      <c r="J8" t="n">
        <v>33901.6</v>
      </c>
      <c r="K8" t="n">
        <v>312974</v>
      </c>
      <c r="L8" t="n">
        <v>36786</v>
      </c>
      <c r="M8" t="n">
        <v>1804.4</v>
      </c>
      <c r="N8" t="n">
        <v>18930</v>
      </c>
      <c r="O8" t="n">
        <v>1180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35706</v>
      </c>
      <c r="W8" t="n">
        <v>331904</v>
      </c>
      <c r="X8" t="n">
        <v>37966</v>
      </c>
      <c r="Y8">
        <f>IF(ISNUMBER($W8),$W8,0)</f>
        <v/>
      </c>
      <c r="Z8">
        <f>IF(ISNUMBER(SEARCH("Adjustment",$C8)),"excluded",IF($H8="Behind the Meter","excluded",IF(NOT(OR($E8="Bundled",$E8="Energy")),"excluded",IF(OR($H8="Retail Power Marketer",$H8="Community Choice Aggregator",$E8="Energy"),"procurement",IF(OR($H8="Municipal",$H8="Cooperative",$H8="Federal",$H8="State",$H8="Political Subdivision"),"cost_service",IF($H8="Investor Owned",IF(AND(COUNTIF(Parameters!$A$4:$A$33,$G8)&gt;0,COUNTIF(Parameters!$B$4:$B$33,$B8)=0),"procurement","cost_service"),"unclassified"))))))</f>
        <v/>
      </c>
    </row>
    <row r="9">
      <c r="A9" t="n">
        <v>2024</v>
      </c>
      <c r="B9" t="n">
        <v>4110</v>
      </c>
      <c r="C9" t="inlineStr">
        <is>
          <t>Commonwealth Edison Co</t>
        </is>
      </c>
      <c r="D9" t="inlineStr">
        <is>
          <t>A</t>
        </is>
      </c>
      <c r="E9" t="inlineStr">
        <is>
          <t>Bundled</t>
        </is>
      </c>
      <c r="F9" t="inlineStr">
        <is>
          <t>O</t>
        </is>
      </c>
      <c r="G9" t="inlineStr">
        <is>
          <t>IL</t>
        </is>
      </c>
      <c r="H9" t="inlineStr">
        <is>
          <t>Investor Owned</t>
        </is>
      </c>
      <c r="I9" t="inlineStr">
        <is>
          <t>PJM</t>
        </is>
      </c>
      <c r="J9" t="n">
        <v>3111162.4</v>
      </c>
      <c r="K9" t="n">
        <v>20446776</v>
      </c>
      <c r="L9" t="n">
        <v>2922223</v>
      </c>
      <c r="M9" t="n">
        <v>992378.6</v>
      </c>
      <c r="N9" t="n">
        <v>8061455</v>
      </c>
      <c r="O9" t="n">
        <v>233326</v>
      </c>
      <c r="P9" t="n">
        <v>118395.1</v>
      </c>
      <c r="Q9" t="n">
        <v>1608690</v>
      </c>
      <c r="R9" t="n">
        <v>189</v>
      </c>
      <c r="S9" t="inlineStr">
        <is>
          <t>.</t>
        </is>
      </c>
      <c r="T9" t="inlineStr">
        <is>
          <t>.</t>
        </is>
      </c>
      <c r="U9" t="inlineStr">
        <is>
          <t>.</t>
        </is>
      </c>
      <c r="V9" t="n">
        <v>4221936.1</v>
      </c>
      <c r="W9" t="n">
        <v>30116921</v>
      </c>
      <c r="X9" t="n">
        <v>3155738</v>
      </c>
      <c r="Y9">
        <f>IF(ISNUMBER($W9),$W9,0)</f>
        <v/>
      </c>
      <c r="Z9">
        <f>IF(ISNUMBER(SEARCH("Adjustment",$C9)),"excluded",IF($H9="Behind the Meter","excluded",IF(NOT(OR($E9="Bundled",$E9="Energy")),"excluded",IF(OR($H9="Retail Power Marketer",$H9="Community Choice Aggregator",$E9="Energy"),"procurement",IF(OR($H9="Municipal",$H9="Cooperative",$H9="Federal",$H9="State",$H9="Political Subdivision"),"cost_service",IF($H9="Investor Owned",IF(AND(COUNTIF(Parameters!$A$4:$A$33,$G9)&gt;0,COUNTIF(Parameters!$B$4:$B$33,$B9)=0),"procurement","cost_service"),"unclassified"))))))</f>
        <v/>
      </c>
    </row>
    <row r="10">
      <c r="A10" t="n">
        <v>2024</v>
      </c>
      <c r="B10" t="n">
        <v>4110</v>
      </c>
      <c r="C10" t="inlineStr">
        <is>
          <t>Commonwealth Edison Co</t>
        </is>
      </c>
      <c r="D10" t="inlineStr">
        <is>
          <t>C</t>
        </is>
      </c>
      <c r="E10" t="inlineStr">
        <is>
          <t>Delivery</t>
        </is>
      </c>
      <c r="F10" t="inlineStr">
        <is>
          <t>O</t>
        </is>
      </c>
      <c r="G10" t="inlineStr">
        <is>
          <t>IL</t>
        </is>
      </c>
      <c r="H10" t="inlineStr">
        <is>
          <t>Investor Owned</t>
        </is>
      </c>
      <c r="I10" t="inlineStr">
        <is>
          <t>PJM</t>
        </is>
      </c>
      <c r="J10" t="n">
        <v>541227</v>
      </c>
      <c r="K10" t="n">
        <v>6827049</v>
      </c>
      <c r="L10" t="n">
        <v>805452</v>
      </c>
      <c r="M10" t="n">
        <v>1121301.8</v>
      </c>
      <c r="N10" t="n">
        <v>20749954</v>
      </c>
      <c r="O10" t="n">
        <v>167695</v>
      </c>
      <c r="P10" t="n">
        <v>845999.9</v>
      </c>
      <c r="Q10" t="n">
        <v>26260940</v>
      </c>
      <c r="R10" t="n">
        <v>1862</v>
      </c>
      <c r="S10" t="n">
        <v>13147.3</v>
      </c>
      <c r="T10" t="n">
        <v>426515</v>
      </c>
      <c r="U10" t="n">
        <v>2</v>
      </c>
      <c r="V10" t="n">
        <v>2521676</v>
      </c>
      <c r="W10" t="n">
        <v>54264458</v>
      </c>
      <c r="X10" t="n">
        <v>975011</v>
      </c>
      <c r="Y10">
        <f>IF(ISNUMBER($W10),$W10,0)</f>
        <v/>
      </c>
      <c r="Z10">
        <f>IF(ISNUMBER(SEARCH("Adjustment",$C10)),"excluded",IF($H10="Behind the Meter","excluded",IF(NOT(OR($E10="Bundled",$E10="Energy")),"excluded",IF(OR($H10="Retail Power Marketer",$H10="Community Choice Aggregator",$E10="Energy"),"procurement",IF(OR($H10="Municipal",$H10="Cooperative",$H10="Federal",$H10="State",$H10="Political Subdivision"),"cost_service",IF($H10="Investor Owned",IF(AND(COUNTIF(Parameters!$A$4:$A$33,$G10)&gt;0,COUNTIF(Parameters!$B$4:$B$33,$B10)=0),"procurement","cost_service"),"unclassified"))))))</f>
        <v/>
      </c>
    </row>
    <row r="11">
      <c r="A11" t="n">
        <v>2024</v>
      </c>
      <c r="B11" t="n">
        <v>4362</v>
      </c>
      <c r="C11" t="inlineStr">
        <is>
          <t>Corn Belt Energy Corporation</t>
        </is>
      </c>
      <c r="D11" t="inlineStr">
        <is>
          <t>A</t>
        </is>
      </c>
      <c r="E11" t="inlineStr">
        <is>
          <t>Bundled</t>
        </is>
      </c>
      <c r="F11" t="inlineStr">
        <is>
          <t>O</t>
        </is>
      </c>
      <c r="G11" t="inlineStr">
        <is>
          <t>IL</t>
        </is>
      </c>
      <c r="H11" t="inlineStr">
        <is>
          <t>Cooperative</t>
        </is>
      </c>
      <c r="I11" t="inlineStr">
        <is>
          <t>MISO</t>
        </is>
      </c>
      <c r="J11" t="n">
        <v>60011.3</v>
      </c>
      <c r="K11" t="n">
        <v>380839</v>
      </c>
      <c r="L11" t="n">
        <v>34710</v>
      </c>
      <c r="M11" t="n">
        <v>23698.6</v>
      </c>
      <c r="N11" t="n">
        <v>178417</v>
      </c>
      <c r="O11" t="n">
        <v>2470</v>
      </c>
      <c r="P11" t="n">
        <v>5266</v>
      </c>
      <c r="Q11" t="n">
        <v>71364</v>
      </c>
      <c r="R11" t="n">
        <v>3</v>
      </c>
      <c r="S11" t="inlineStr">
        <is>
          <t>.</t>
        </is>
      </c>
      <c r="T11" t="inlineStr">
        <is>
          <t>.</t>
        </is>
      </c>
      <c r="U11" t="inlineStr">
        <is>
          <t>.</t>
        </is>
      </c>
      <c r="V11" t="n">
        <v>88975.89999999999</v>
      </c>
      <c r="W11" t="n">
        <v>630620</v>
      </c>
      <c r="X11" t="n">
        <v>37183</v>
      </c>
      <c r="Y11">
        <f>IF(ISNUMBER($W11),$W11,0)</f>
        <v/>
      </c>
      <c r="Z11">
        <f>IF(ISNUMBER(SEARCH("Adjustment",$C11)),"excluded",IF($H11="Behind the Meter","excluded",IF(NOT(OR($E11="Bundled",$E11="Energy")),"excluded",IF(OR($H11="Retail Power Marketer",$H11="Community Choice Aggregator",$E11="Energy"),"procurement",IF(OR($H11="Municipal",$H11="Cooperative",$H11="Federal",$H11="State",$H11="Political Subdivision"),"cost_service",IF($H11="Investor Owned",IF(AND(COUNTIF(Parameters!$A$4:$A$33,$G11)&gt;0,COUNTIF(Parameters!$B$4:$B$33,$B11)=0),"procurement","cost_service"),"unclassified"))))))</f>
        <v/>
      </c>
    </row>
    <row r="12">
      <c r="A12" t="n">
        <v>2024</v>
      </c>
      <c r="B12" t="n">
        <v>5535</v>
      </c>
      <c r="C12" t="inlineStr">
        <is>
          <t>Egyptian Electric Coop Assn</t>
        </is>
      </c>
      <c r="D12" t="inlineStr">
        <is>
          <t>A</t>
        </is>
      </c>
      <c r="E12" t="inlineStr">
        <is>
          <t>Bundled</t>
        </is>
      </c>
      <c r="F12" t="inlineStr">
        <is>
          <t>O</t>
        </is>
      </c>
      <c r="G12" t="inlineStr">
        <is>
          <t>IL</t>
        </is>
      </c>
      <c r="H12" t="inlineStr">
        <is>
          <t>Cooperative</t>
        </is>
      </c>
      <c r="I12" t="inlineStr">
        <is>
          <t>MISO</t>
        </is>
      </c>
      <c r="J12" t="n">
        <v>28817.4</v>
      </c>
      <c r="K12" t="n">
        <v>185504</v>
      </c>
      <c r="L12" t="n">
        <v>13707</v>
      </c>
      <c r="M12" t="n">
        <v>16950</v>
      </c>
      <c r="N12" t="n">
        <v>131959</v>
      </c>
      <c r="O12" t="n">
        <v>1758</v>
      </c>
      <c r="P12" t="inlineStr">
        <is>
          <t>.</t>
        </is>
      </c>
      <c r="Q12" t="inlineStr">
        <is>
          <t>.</t>
        </is>
      </c>
      <c r="R12" t="inlineStr">
        <is>
          <t>.</t>
        </is>
      </c>
      <c r="S12" t="inlineStr">
        <is>
          <t>.</t>
        </is>
      </c>
      <c r="T12" t="inlineStr">
        <is>
          <t>.</t>
        </is>
      </c>
      <c r="U12" t="inlineStr">
        <is>
          <t>.</t>
        </is>
      </c>
      <c r="V12" t="n">
        <v>45767.4</v>
      </c>
      <c r="W12" t="n">
        <v>317463</v>
      </c>
      <c r="X12" t="n">
        <v>15465</v>
      </c>
      <c r="Y12">
        <f>IF(ISNUMBER($W12),$W12,0)</f>
        <v/>
      </c>
      <c r="Z12">
        <f>IF(ISNUMBER(SEARCH("Adjustment",$C12)),"excluded",IF($H12="Behind the Meter","excluded",IF(NOT(OR($E12="Bundled",$E12="Energy")),"excluded",IF(OR($H12="Retail Power Marketer",$H12="Community Choice Aggregator",$E12="Energy"),"procurement",IF(OR($H12="Municipal",$H12="Cooperative",$H12="Federal",$H12="State",$H12="Political Subdivision"),"cost_service",IF($H12="Investor Owned",IF(AND(COUNTIF(Parameters!$A$4:$A$33,$G12)&gt;0,COUNTIF(Parameters!$B$4:$B$33,$B12)=0),"procurement","cost_service"),"unclassified"))))))</f>
        <v/>
      </c>
    </row>
    <row r="13">
      <c r="A13" t="n">
        <v>2024</v>
      </c>
      <c r="B13" t="n">
        <v>5585</v>
      </c>
      <c r="C13" t="inlineStr">
        <is>
          <t>Eastern Illinois Elec Coop</t>
        </is>
      </c>
      <c r="D13" t="inlineStr">
        <is>
          <t>A</t>
        </is>
      </c>
      <c r="E13" t="inlineStr">
        <is>
          <t>Bundled</t>
        </is>
      </c>
      <c r="F13" t="inlineStr">
        <is>
          <t>O</t>
        </is>
      </c>
      <c r="G13" t="inlineStr">
        <is>
          <t>IL</t>
        </is>
      </c>
      <c r="H13" t="inlineStr">
        <is>
          <t>Cooperative</t>
        </is>
      </c>
      <c r="I13" t="inlineStr">
        <is>
          <t>MISO</t>
        </is>
      </c>
      <c r="J13" t="n">
        <v>28218</v>
      </c>
      <c r="K13" t="n">
        <v>165027</v>
      </c>
      <c r="L13" t="n">
        <v>11115</v>
      </c>
      <c r="M13" t="n">
        <v>7968</v>
      </c>
      <c r="N13" t="n">
        <v>51770</v>
      </c>
      <c r="O13" t="n">
        <v>2370</v>
      </c>
      <c r="P13" t="n">
        <v>2456</v>
      </c>
      <c r="Q13" t="n">
        <v>19230</v>
      </c>
      <c r="R13" t="n">
        <v>14</v>
      </c>
      <c r="S13" t="n">
        <v>0</v>
      </c>
      <c r="T13" t="n">
        <v>0</v>
      </c>
      <c r="U13" t="n">
        <v>0</v>
      </c>
      <c r="V13" t="n">
        <v>38642</v>
      </c>
      <c r="W13" t="n">
        <v>236027</v>
      </c>
      <c r="X13" t="n">
        <v>13499</v>
      </c>
      <c r="Y13">
        <f>IF(ISNUMBER($W13),$W13,0)</f>
        <v/>
      </c>
      <c r="Z13">
        <f>IF(ISNUMBER(SEARCH("Adjustment",$C13)),"excluded",IF($H13="Behind the Meter","excluded",IF(NOT(OR($E13="Bundled",$E13="Energy")),"excluded",IF(OR($H13="Retail Power Marketer",$H13="Community Choice Aggregator",$E13="Energy"),"procurement",IF(OR($H13="Municipal",$H13="Cooperative",$H13="Federal",$H13="State",$H13="Political Subdivision"),"cost_service",IF($H13="Investor Owned",IF(AND(COUNTIF(Parameters!$A$4:$A$33,$G13)&gt;0,COUNTIF(Parameters!$B$4:$B$33,$B13)=0),"procurement","cost_service"),"unclassified"))))))</f>
        <v/>
      </c>
    </row>
    <row r="14">
      <c r="A14" t="n">
        <v>2024</v>
      </c>
      <c r="B14" t="n">
        <v>6458</v>
      </c>
      <c r="C14" t="inlineStr">
        <is>
          <t>Energy Harbor Corp.</t>
        </is>
      </c>
      <c r="D14" t="inlineStr">
        <is>
          <t>B</t>
        </is>
      </c>
      <c r="E14" t="inlineStr">
        <is>
          <t>Energy</t>
        </is>
      </c>
      <c r="F14" t="inlineStr">
        <is>
          <t>O</t>
        </is>
      </c>
      <c r="G14" t="inlineStr">
        <is>
          <t>IL</t>
        </is>
      </c>
      <c r="H14" t="inlineStr">
        <is>
          <t>Retail Power Marketer</t>
        </is>
      </c>
      <c r="I14" t="inlineStr">
        <is>
          <t>MISO</t>
        </is>
      </c>
      <c r="J14" t="n">
        <v>120160.1</v>
      </c>
      <c r="K14" t="n">
        <v>1339402</v>
      </c>
      <c r="L14" t="n">
        <v>149006</v>
      </c>
      <c r="M14" t="n">
        <v>29774</v>
      </c>
      <c r="N14" t="n">
        <v>453692</v>
      </c>
      <c r="O14" t="n">
        <v>12211</v>
      </c>
      <c r="P14" t="n">
        <v>44642.9</v>
      </c>
      <c r="Q14" t="n">
        <v>1050299</v>
      </c>
      <c r="R14" t="n">
        <v>13</v>
      </c>
      <c r="S14" t="n">
        <v>0</v>
      </c>
      <c r="T14" t="n">
        <v>0</v>
      </c>
      <c r="U14" t="n">
        <v>0</v>
      </c>
      <c r="V14" t="n">
        <v>194577</v>
      </c>
      <c r="W14" t="n">
        <v>2843393</v>
      </c>
      <c r="X14" t="n">
        <v>161230</v>
      </c>
      <c r="Y14">
        <f>IF(ISNUMBER($W14),$W14,0)</f>
        <v/>
      </c>
      <c r="Z14">
        <f>IF(ISNUMBER(SEARCH("Adjustment",$C14)),"excluded",IF($H14="Behind the Meter","excluded",IF(NOT(OR($E14="Bundled",$E14="Energy")),"excluded",IF(OR($H14="Retail Power Marketer",$H14="Community Choice Aggregator",$E14="Energy"),"procurement",IF(OR($H14="Municipal",$H14="Cooperative",$H14="Federal",$H14="State",$H14="Political Subdivision"),"cost_service",IF($H14="Investor Owned",IF(AND(COUNTIF(Parameters!$A$4:$A$33,$G14)&gt;0,COUNTIF(Parameters!$B$4:$B$33,$B14)=0),"procurement","cost_service"),"unclassified"))))))</f>
        <v/>
      </c>
    </row>
    <row r="15">
      <c r="A15" t="n">
        <v>2024</v>
      </c>
      <c r="B15" t="n">
        <v>7096</v>
      </c>
      <c r="C15" t="inlineStr">
        <is>
          <t>City of Geneva- (IL)</t>
        </is>
      </c>
      <c r="D15" t="inlineStr">
        <is>
          <t>A</t>
        </is>
      </c>
      <c r="E15" t="inlineStr">
        <is>
          <t>Bundled</t>
        </is>
      </c>
      <c r="F15" t="inlineStr">
        <is>
          <t>O</t>
        </is>
      </c>
      <c r="G15" t="inlineStr">
        <is>
          <t>IL</t>
        </is>
      </c>
      <c r="H15" t="inlineStr">
        <is>
          <t>Municipal</t>
        </is>
      </c>
      <c r="I15" t="inlineStr">
        <is>
          <t>PJM</t>
        </is>
      </c>
      <c r="J15" t="n">
        <v>8886</v>
      </c>
      <c r="K15" t="n">
        <v>80550</v>
      </c>
      <c r="L15" t="n">
        <v>8691</v>
      </c>
      <c r="M15" t="n">
        <v>11991</v>
      </c>
      <c r="N15" t="n">
        <v>125887</v>
      </c>
      <c r="O15" t="n">
        <v>1576</v>
      </c>
      <c r="P15" t="n">
        <v>11973</v>
      </c>
      <c r="Q15" t="n">
        <v>155527</v>
      </c>
      <c r="R15" t="n">
        <v>20</v>
      </c>
      <c r="S15" t="inlineStr">
        <is>
          <t>.</t>
        </is>
      </c>
      <c r="T15" t="inlineStr">
        <is>
          <t>.</t>
        </is>
      </c>
      <c r="U15" t="inlineStr">
        <is>
          <t>.</t>
        </is>
      </c>
      <c r="V15" t="n">
        <v>32850</v>
      </c>
      <c r="W15" t="n">
        <v>361964</v>
      </c>
      <c r="X15" t="n">
        <v>10287</v>
      </c>
      <c r="Y15">
        <f>IF(ISNUMBER($W15),$W15,0)</f>
        <v/>
      </c>
      <c r="Z15">
        <f>IF(ISNUMBER(SEARCH("Adjustment",$C15)),"excluded",IF($H15="Behind the Meter","excluded",IF(NOT(OR($E15="Bundled",$E15="Energy")),"excluded",IF(OR($H15="Retail Power Marketer",$H15="Community Choice Aggregator",$E15="Energy"),"procurement",IF(OR($H15="Municipal",$H15="Cooperative",$H15="Federal",$H15="State",$H15="Political Subdivision"),"cost_service",IF($H15="Investor Owned",IF(AND(COUNTIF(Parameters!$A$4:$A$33,$G15)&gt;0,COUNTIF(Parameters!$B$4:$B$33,$B15)=0),"procurement","cost_service"),"unclassified"))))))</f>
        <v/>
      </c>
    </row>
    <row r="16">
      <c r="A16" t="n">
        <v>2024</v>
      </c>
      <c r="B16" t="n">
        <v>7279</v>
      </c>
      <c r="C16" t="inlineStr">
        <is>
          <t>NextEra Energy Services, LLC</t>
        </is>
      </c>
      <c r="D16" t="inlineStr">
        <is>
          <t>B</t>
        </is>
      </c>
      <c r="E16" t="inlineStr">
        <is>
          <t>Energy</t>
        </is>
      </c>
      <c r="F16" t="inlineStr">
        <is>
          <t>O</t>
        </is>
      </c>
      <c r="G16" t="inlineStr">
        <is>
          <t>IL</t>
        </is>
      </c>
      <c r="H16" t="inlineStr">
        <is>
          <t>Retail Power Marketer</t>
        </is>
      </c>
      <c r="I16" t="inlineStr">
        <is>
          <t>MISO</t>
        </is>
      </c>
      <c r="J16" t="inlineStr">
        <is>
          <t>.</t>
        </is>
      </c>
      <c r="K16" t="inlineStr">
        <is>
          <t>.</t>
        </is>
      </c>
      <c r="L16" t="inlineStr">
        <is>
          <t>.</t>
        </is>
      </c>
      <c r="M16" t="n">
        <v>42839.3</v>
      </c>
      <c r="N16" t="n">
        <v>712220</v>
      </c>
      <c r="O16" t="n">
        <v>341</v>
      </c>
      <c r="P16" t="inlineStr">
        <is>
          <t>.</t>
        </is>
      </c>
      <c r="Q16" t="inlineStr">
        <is>
          <t>.</t>
        </is>
      </c>
      <c r="R16" t="inlineStr">
        <is>
          <t>.</t>
        </is>
      </c>
      <c r="S16" t="inlineStr">
        <is>
          <t>.</t>
        </is>
      </c>
      <c r="T16" t="inlineStr">
        <is>
          <t>.</t>
        </is>
      </c>
      <c r="U16" t="inlineStr">
        <is>
          <t>.</t>
        </is>
      </c>
      <c r="V16" t="n">
        <v>42839.3</v>
      </c>
      <c r="W16" t="n">
        <v>712220</v>
      </c>
      <c r="X16" t="n">
        <v>341</v>
      </c>
      <c r="Y16">
        <f>IF(ISNUMBER($W16),$W16,0)</f>
        <v/>
      </c>
      <c r="Z16">
        <f>IF(ISNUMBER(SEARCH("Adjustment",$C16)),"excluded",IF($H16="Behind the Meter","excluded",IF(NOT(OR($E16="Bundled",$E16="Energy")),"excluded",IF(OR($H16="Retail Power Marketer",$H16="Community Choice Aggregator",$E16="Energy"),"procurement",IF(OR($H16="Municipal",$H16="Cooperative",$H16="Federal",$H16="State",$H16="Political Subdivision"),"cost_service",IF($H16="Investor Owned",IF(AND(COUNTIF(Parameters!$A$4:$A$33,$G16)&gt;0,COUNTIF(Parameters!$B$4:$B$33,$B16)=0),"procurement","cost_service"),"unclassified"))))))</f>
        <v/>
      </c>
    </row>
    <row r="17">
      <c r="A17" t="n">
        <v>2024</v>
      </c>
      <c r="B17" t="n">
        <v>7554</v>
      </c>
      <c r="C17" t="inlineStr">
        <is>
          <t>Green Mountain Energy Company</t>
        </is>
      </c>
      <c r="D17" t="inlineStr">
        <is>
          <t>B</t>
        </is>
      </c>
      <c r="E17" t="inlineStr">
        <is>
          <t>Energy</t>
        </is>
      </c>
      <c r="F17" t="inlineStr">
        <is>
          <t>O</t>
        </is>
      </c>
      <c r="G17" t="inlineStr">
        <is>
          <t>IL</t>
        </is>
      </c>
      <c r="H17" t="inlineStr">
        <is>
          <t>Retail Power Marketer</t>
        </is>
      </c>
      <c r="I17" t="inlineStr">
        <is>
          <t>PJM</t>
        </is>
      </c>
      <c r="J17" t="n">
        <v>6396.3</v>
      </c>
      <c r="K17" t="n">
        <v>50931</v>
      </c>
      <c r="L17" t="n">
        <v>7910</v>
      </c>
      <c r="M17" t="n">
        <v>18.7</v>
      </c>
      <c r="N17" t="n">
        <v>148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6415</v>
      </c>
      <c r="W17" t="n">
        <v>51079</v>
      </c>
      <c r="X17" t="n">
        <v>7913</v>
      </c>
      <c r="Y17">
        <f>IF(ISNUMBER($W17),$W17,0)</f>
        <v/>
      </c>
      <c r="Z17">
        <f>IF(ISNUMBER(SEARCH("Adjustment",$C17)),"excluded",IF($H17="Behind the Meter","excluded",IF(NOT(OR($E17="Bundled",$E17="Energy")),"excluded",IF(OR($H17="Retail Power Marketer",$H17="Community Choice Aggregator",$E17="Energy"),"procurement",IF(OR($H17="Municipal",$H17="Cooperative",$H17="Federal",$H17="State",$H17="Political Subdivision"),"cost_service",IF($H17="Investor Owned",IF(AND(COUNTIF(Parameters!$A$4:$A$33,$G17)&gt;0,COUNTIF(Parameters!$B$4:$B$33,$B17)=0),"procurement","cost_service"),"unclassified"))))))</f>
        <v/>
      </c>
    </row>
    <row r="18">
      <c r="A18" t="n">
        <v>2024</v>
      </c>
      <c r="B18" t="n">
        <v>9750</v>
      </c>
      <c r="C18" t="inlineStr">
        <is>
          <t>Jo-Carroll Energy, Inc</t>
        </is>
      </c>
      <c r="D18" t="inlineStr">
        <is>
          <t>A</t>
        </is>
      </c>
      <c r="E18" t="inlineStr">
        <is>
          <t>Bundled</t>
        </is>
      </c>
      <c r="F18" t="inlineStr">
        <is>
          <t>O</t>
        </is>
      </c>
      <c r="G18" t="inlineStr">
        <is>
          <t>IL</t>
        </is>
      </c>
      <c r="H18" t="inlineStr">
        <is>
          <t>Cooperative</t>
        </is>
      </c>
      <c r="I18" t="inlineStr">
        <is>
          <t>MISO</t>
        </is>
      </c>
      <c r="J18" t="n">
        <v>28977</v>
      </c>
      <c r="K18" t="n">
        <v>146432</v>
      </c>
      <c r="L18" t="n">
        <v>17227</v>
      </c>
      <c r="M18" t="n">
        <v>14430</v>
      </c>
      <c r="N18" t="n">
        <v>84700</v>
      </c>
      <c r="O18" t="n">
        <v>2877</v>
      </c>
      <c r="P18" t="n">
        <v>8831</v>
      </c>
      <c r="Q18" t="n">
        <v>78850</v>
      </c>
      <c r="R18" t="n">
        <v>84</v>
      </c>
      <c r="S18" t="inlineStr">
        <is>
          <t>.</t>
        </is>
      </c>
      <c r="T18" t="inlineStr">
        <is>
          <t>.</t>
        </is>
      </c>
      <c r="U18" t="inlineStr">
        <is>
          <t>.</t>
        </is>
      </c>
      <c r="V18" t="n">
        <v>52238</v>
      </c>
      <c r="W18" t="n">
        <v>309982</v>
      </c>
      <c r="X18" t="n">
        <v>20188</v>
      </c>
      <c r="Y18">
        <f>IF(ISNUMBER($W18),$W18,0)</f>
        <v/>
      </c>
      <c r="Z18">
        <f>IF(ISNUMBER(SEARCH("Adjustment",$C18)),"excluded",IF($H18="Behind the Meter","excluded",IF(NOT(OR($E18="Bundled",$E18="Energy")),"excluded",IF(OR($H18="Retail Power Marketer",$H18="Community Choice Aggregator",$E18="Energy"),"procurement",IF(OR($H18="Municipal",$H18="Cooperative",$H18="Federal",$H18="State",$H18="Political Subdivision"),"cost_service",IF($H18="Investor Owned",IF(AND(COUNTIF(Parameters!$A$4:$A$33,$G18)&gt;0,COUNTIF(Parameters!$B$4:$B$33,$B18)=0),"procurement","cost_service"),"unclassified"))))))</f>
        <v/>
      </c>
    </row>
    <row r="19">
      <c r="A19" t="n">
        <v>2024</v>
      </c>
      <c r="B19" t="n">
        <v>9750</v>
      </c>
      <c r="C19" t="inlineStr">
        <is>
          <t>Jo-Carroll Energy, Inc</t>
        </is>
      </c>
      <c r="D19" t="inlineStr">
        <is>
          <t>C</t>
        </is>
      </c>
      <c r="E19" t="inlineStr">
        <is>
          <t>Delivery</t>
        </is>
      </c>
      <c r="F19" t="inlineStr">
        <is>
          <t>O</t>
        </is>
      </c>
      <c r="G19" t="inlineStr">
        <is>
          <t>IL</t>
        </is>
      </c>
      <c r="H19" t="inlineStr">
        <is>
          <t>Cooperative</t>
        </is>
      </c>
      <c r="I19" t="inlineStr">
        <is>
          <t>MISO</t>
        </is>
      </c>
      <c r="J19" t="inlineStr">
        <is>
          <t>.</t>
        </is>
      </c>
      <c r="K19" t="inlineStr">
        <is>
          <t>.</t>
        </is>
      </c>
      <c r="L19" t="inlineStr">
        <is>
          <t>.</t>
        </is>
      </c>
      <c r="M19" t="inlineStr">
        <is>
          <t>.</t>
        </is>
      </c>
      <c r="N19" t="inlineStr">
        <is>
          <t>.</t>
        </is>
      </c>
      <c r="O19" t="inlineStr">
        <is>
          <t>.</t>
        </is>
      </c>
      <c r="P19" t="n">
        <v>1529.3</v>
      </c>
      <c r="Q19" t="n">
        <v>187820</v>
      </c>
      <c r="R19" t="n">
        <v>1</v>
      </c>
      <c r="S19" t="inlineStr">
        <is>
          <t>.</t>
        </is>
      </c>
      <c r="T19" t="inlineStr">
        <is>
          <t>.</t>
        </is>
      </c>
      <c r="U19" t="inlineStr">
        <is>
          <t>.</t>
        </is>
      </c>
      <c r="V19" t="n">
        <v>1529.3</v>
      </c>
      <c r="W19" t="n">
        <v>187820</v>
      </c>
      <c r="X19" t="n">
        <v>1</v>
      </c>
      <c r="Y19">
        <f>IF(ISNUMBER($W19),$W19,0)</f>
        <v/>
      </c>
      <c r="Z19">
        <f>IF(ISNUMBER(SEARCH("Adjustment",$C19)),"excluded",IF($H19="Behind the Meter","excluded",IF(NOT(OR($E19="Bundled",$E19="Energy")),"excluded",IF(OR($H19="Retail Power Marketer",$H19="Community Choice Aggregator",$E19="Energy"),"procurement",IF(OR($H19="Municipal",$H19="Cooperative",$H19="Federal",$H19="State",$H19="Political Subdivision"),"cost_service",IF($H19="Investor Owned",IF(AND(COUNTIF(Parameters!$A$4:$A$33,$G19)&gt;0,COUNTIF(Parameters!$B$4:$B$33,$B19)=0),"procurement","cost_service"),"unclassified"))))))</f>
        <v/>
      </c>
    </row>
    <row r="20">
      <c r="A20" t="n">
        <v>2024</v>
      </c>
      <c r="B20" t="n">
        <v>12341</v>
      </c>
      <c r="C20" t="inlineStr">
        <is>
          <t>MidAmerican Energy Co</t>
        </is>
      </c>
      <c r="D20" t="inlineStr">
        <is>
          <t>A</t>
        </is>
      </c>
      <c r="E20" t="inlineStr">
        <is>
          <t>Bundled</t>
        </is>
      </c>
      <c r="F20" t="inlineStr">
        <is>
          <t>O</t>
        </is>
      </c>
      <c r="G20" t="inlineStr">
        <is>
          <t>IL</t>
        </is>
      </c>
      <c r="H20" t="inlineStr">
        <is>
          <t>Investor Owned</t>
        </is>
      </c>
      <c r="I20" t="inlineStr">
        <is>
          <t>MISO</t>
        </is>
      </c>
      <c r="J20" t="n">
        <v>62812.8</v>
      </c>
      <c r="K20" t="n">
        <v>628574</v>
      </c>
      <c r="L20" t="n">
        <v>73564</v>
      </c>
      <c r="M20" t="n">
        <v>44621.8</v>
      </c>
      <c r="N20" t="n">
        <v>589356</v>
      </c>
      <c r="O20" t="n">
        <v>11924</v>
      </c>
      <c r="P20" t="n">
        <v>30217.1</v>
      </c>
      <c r="Q20" t="n">
        <v>583844</v>
      </c>
      <c r="R20" t="n">
        <v>46</v>
      </c>
      <c r="S20" t="inlineStr">
        <is>
          <t>.</t>
        </is>
      </c>
      <c r="T20" t="inlineStr">
        <is>
          <t>.</t>
        </is>
      </c>
      <c r="U20" t="inlineStr">
        <is>
          <t>.</t>
        </is>
      </c>
      <c r="V20" t="n">
        <v>137651.7</v>
      </c>
      <c r="W20" t="n">
        <v>1801774</v>
      </c>
      <c r="X20" t="n">
        <v>85534</v>
      </c>
      <c r="Y20">
        <f>IF(ISNUMBER($W20),$W20,0)</f>
        <v/>
      </c>
      <c r="Z20">
        <f>IF(ISNUMBER(SEARCH("Adjustment",$C20)),"excluded",IF($H20="Behind the Meter","excluded",IF(NOT(OR($E20="Bundled",$E20="Energy")),"excluded",IF(OR($H20="Retail Power Marketer",$H20="Community Choice Aggregator",$E20="Energy"),"procurement",IF(OR($H20="Municipal",$H20="Cooperative",$H20="Federal",$H20="State",$H20="Political Subdivision"),"cost_service",IF($H20="Investor Owned",IF(AND(COUNTIF(Parameters!$A$4:$A$33,$G20)&gt;0,COUNTIF(Parameters!$B$4:$B$33,$B20)=0),"procurement","cost_service"),"unclassified"))))))</f>
        <v/>
      </c>
    </row>
    <row r="21">
      <c r="A21" t="n">
        <v>2024</v>
      </c>
      <c r="B21" t="n">
        <v>12341</v>
      </c>
      <c r="C21" t="inlineStr">
        <is>
          <t>MidAmerican Energy Co</t>
        </is>
      </c>
      <c r="D21" t="inlineStr">
        <is>
          <t>C</t>
        </is>
      </c>
      <c r="E21" t="inlineStr">
        <is>
          <t>Delivery</t>
        </is>
      </c>
      <c r="F21" t="inlineStr">
        <is>
          <t>O</t>
        </is>
      </c>
      <c r="G21" t="inlineStr">
        <is>
          <t>IL</t>
        </is>
      </c>
      <c r="H21" t="inlineStr">
        <is>
          <t>Investor Owned</t>
        </is>
      </c>
      <c r="I21" t="inlineStr">
        <is>
          <t>MISO</t>
        </is>
      </c>
      <c r="J21" t="n">
        <v>6.8</v>
      </c>
      <c r="K21" t="n">
        <v>145</v>
      </c>
      <c r="L21" t="n">
        <v>18</v>
      </c>
      <c r="M21" t="n">
        <v>401.9</v>
      </c>
      <c r="N21" t="n">
        <v>17634</v>
      </c>
      <c r="O21" t="n">
        <v>79</v>
      </c>
      <c r="P21" t="n">
        <v>169.3</v>
      </c>
      <c r="Q21" t="n">
        <v>10780</v>
      </c>
      <c r="R21" t="n">
        <v>4</v>
      </c>
      <c r="S21" t="inlineStr">
        <is>
          <t>.</t>
        </is>
      </c>
      <c r="T21" t="inlineStr">
        <is>
          <t>.</t>
        </is>
      </c>
      <c r="U21" t="inlineStr">
        <is>
          <t>.</t>
        </is>
      </c>
      <c r="V21" t="n">
        <v>578</v>
      </c>
      <c r="W21" t="n">
        <v>28559</v>
      </c>
      <c r="X21" t="n">
        <v>101</v>
      </c>
      <c r="Y21">
        <f>IF(ISNUMBER($W21),$W21,0)</f>
        <v/>
      </c>
      <c r="Z21">
        <f>IF(ISNUMBER(SEARCH("Adjustment",$C21)),"excluded",IF($H21="Behind the Meter","excluded",IF(NOT(OR($E21="Bundled",$E21="Energy")),"excluded",IF(OR($H21="Retail Power Marketer",$H21="Community Choice Aggregator",$E21="Energy"),"procurement",IF(OR($H21="Municipal",$H21="Cooperative",$H21="Federal",$H21="State",$H21="Political Subdivision"),"cost_service",IF($H21="Investor Owned",IF(AND(COUNTIF(Parameters!$A$4:$A$33,$G21)&gt;0,COUNTIF(Parameters!$B$4:$B$33,$B21)=0),"procurement","cost_service"),"unclassified"))))))</f>
        <v/>
      </c>
    </row>
    <row r="22">
      <c r="A22" t="n">
        <v>2024</v>
      </c>
      <c r="B22" t="n">
        <v>12395</v>
      </c>
      <c r="C22" t="inlineStr">
        <is>
          <t>Menard Electric Coop</t>
        </is>
      </c>
      <c r="D22" t="inlineStr">
        <is>
          <t>A</t>
        </is>
      </c>
      <c r="E22" t="inlineStr">
        <is>
          <t>Bundled</t>
        </is>
      </c>
      <c r="F22" t="inlineStr">
        <is>
          <t>O</t>
        </is>
      </c>
      <c r="G22" t="inlineStr">
        <is>
          <t>IL</t>
        </is>
      </c>
      <c r="H22" t="inlineStr">
        <is>
          <t>Cooperative</t>
        </is>
      </c>
      <c r="I22" t="inlineStr">
        <is>
          <t>MISO</t>
        </is>
      </c>
      <c r="J22" t="n">
        <v>19338.2</v>
      </c>
      <c r="K22" t="n">
        <v>107126</v>
      </c>
      <c r="L22" t="n">
        <v>9048</v>
      </c>
      <c r="M22" t="n">
        <v>4901.8</v>
      </c>
      <c r="N22" t="n">
        <v>32060</v>
      </c>
      <c r="O22" t="n">
        <v>606</v>
      </c>
      <c r="P22" t="n">
        <v>7958.7</v>
      </c>
      <c r="Q22" t="n">
        <v>40486</v>
      </c>
      <c r="R22" t="n">
        <v>1318</v>
      </c>
      <c r="S22" t="inlineStr">
        <is>
          <t>.</t>
        </is>
      </c>
      <c r="T22" t="inlineStr">
        <is>
          <t>.</t>
        </is>
      </c>
      <c r="U22" t="inlineStr">
        <is>
          <t>.</t>
        </is>
      </c>
      <c r="V22" t="n">
        <v>32198.7</v>
      </c>
      <c r="W22" t="n">
        <v>179672</v>
      </c>
      <c r="X22" t="n">
        <v>10972</v>
      </c>
      <c r="Y22">
        <f>IF(ISNUMBER($W22),$W22,0)</f>
        <v/>
      </c>
      <c r="Z22">
        <f>IF(ISNUMBER(SEARCH("Adjustment",$C22)),"excluded",IF($H22="Behind the Meter","excluded",IF(NOT(OR($E22="Bundled",$E22="Energy")),"excluded",IF(OR($H22="Retail Power Marketer",$H22="Community Choice Aggregator",$E22="Energy"),"procurement",IF(OR($H22="Municipal",$H22="Cooperative",$H22="Federal",$H22="State",$H22="Political Subdivision"),"cost_service",IF($H22="Investor Owned",IF(AND(COUNTIF(Parameters!$A$4:$A$33,$G22)&gt;0,COUNTIF(Parameters!$B$4:$B$33,$B22)=0),"procurement","cost_service"),"unclassified"))))))</f>
        <v/>
      </c>
    </row>
    <row r="23">
      <c r="A23" t="n">
        <v>2024</v>
      </c>
      <c r="B23" t="n">
        <v>13032</v>
      </c>
      <c r="C23" t="inlineStr">
        <is>
          <t>Mt Carmel Public Utility Co</t>
        </is>
      </c>
      <c r="D23" t="inlineStr">
        <is>
          <t>A</t>
        </is>
      </c>
      <c r="E23" t="inlineStr">
        <is>
          <t>Bundled</t>
        </is>
      </c>
      <c r="F23" t="inlineStr">
        <is>
          <t>O</t>
        </is>
      </c>
      <c r="G23" t="inlineStr">
        <is>
          <t>IL</t>
        </is>
      </c>
      <c r="H23" t="inlineStr">
        <is>
          <t>Investor Owned</t>
        </is>
      </c>
      <c r="I23" t="inlineStr">
        <is>
          <t>MISO</t>
        </is>
      </c>
      <c r="J23" t="n">
        <v>8725</v>
      </c>
      <c r="K23" t="n">
        <v>45617</v>
      </c>
      <c r="L23" t="n">
        <v>4327</v>
      </c>
      <c r="M23" t="n">
        <v>2953</v>
      </c>
      <c r="N23" t="n">
        <v>15381</v>
      </c>
      <c r="O23" t="n">
        <v>818</v>
      </c>
      <c r="P23" t="n">
        <v>3872</v>
      </c>
      <c r="Q23" t="n">
        <v>22680</v>
      </c>
      <c r="R23" t="n">
        <v>88</v>
      </c>
      <c r="S23" t="inlineStr">
        <is>
          <t>.</t>
        </is>
      </c>
      <c r="T23" t="inlineStr">
        <is>
          <t>.</t>
        </is>
      </c>
      <c r="U23" t="inlineStr">
        <is>
          <t>.</t>
        </is>
      </c>
      <c r="V23" t="n">
        <v>15550</v>
      </c>
      <c r="W23" t="n">
        <v>83678</v>
      </c>
      <c r="X23" t="n">
        <v>5233</v>
      </c>
      <c r="Y23">
        <f>IF(ISNUMBER($W23),$W23,0)</f>
        <v/>
      </c>
      <c r="Z23">
        <f>IF(ISNUMBER(SEARCH("Adjustment",$C23)),"excluded",IF($H23="Behind the Meter","excluded",IF(NOT(OR($E23="Bundled",$E23="Energy")),"excluded",IF(OR($H23="Retail Power Marketer",$H23="Community Choice Aggregator",$E23="Energy"),"procurement",IF(OR($H23="Municipal",$H23="Cooperative",$H23="Federal",$H23="State",$H23="Political Subdivision"),"cost_service",IF($H23="Investor Owned",IF(AND(COUNTIF(Parameters!$A$4:$A$33,$G23)&gt;0,COUNTIF(Parameters!$B$4:$B$33,$B23)=0),"procurement","cost_service"),"unclassified"))))))</f>
        <v/>
      </c>
    </row>
    <row r="24">
      <c r="A24" t="n">
        <v>2024</v>
      </c>
      <c r="B24" t="n">
        <v>13208</v>
      </c>
      <c r="C24" t="inlineStr">
        <is>
          <t>City of Naperville - (IL)</t>
        </is>
      </c>
      <c r="D24" t="inlineStr">
        <is>
          <t>A</t>
        </is>
      </c>
      <c r="E24" t="inlineStr">
        <is>
          <t>Bundled</t>
        </is>
      </c>
      <c r="F24" t="inlineStr">
        <is>
          <t>O</t>
        </is>
      </c>
      <c r="G24" t="inlineStr">
        <is>
          <t>IL</t>
        </is>
      </c>
      <c r="H24" t="inlineStr">
        <is>
          <t>Municipal</t>
        </is>
      </c>
      <c r="I24" t="inlineStr">
        <is>
          <t>PJM</t>
        </is>
      </c>
      <c r="J24" t="n">
        <v>66567.10000000001</v>
      </c>
      <c r="K24" t="n">
        <v>512938</v>
      </c>
      <c r="L24" t="n">
        <v>56117</v>
      </c>
      <c r="M24" t="n">
        <v>66085</v>
      </c>
      <c r="N24" t="n">
        <v>609689</v>
      </c>
      <c r="O24" t="n">
        <v>6865</v>
      </c>
      <c r="P24" t="n">
        <v>9547.700000000001</v>
      </c>
      <c r="Q24" t="n">
        <v>89472</v>
      </c>
      <c r="R24" t="n">
        <v>8</v>
      </c>
      <c r="S24" t="inlineStr">
        <is>
          <t>.</t>
        </is>
      </c>
      <c r="T24" t="inlineStr">
        <is>
          <t>.</t>
        </is>
      </c>
      <c r="U24" t="inlineStr">
        <is>
          <t>.</t>
        </is>
      </c>
      <c r="V24" t="n">
        <v>142199.8</v>
      </c>
      <c r="W24" t="n">
        <v>1212099</v>
      </c>
      <c r="X24" t="n">
        <v>62990</v>
      </c>
      <c r="Y24">
        <f>IF(ISNUMBER($W24),$W24,0)</f>
        <v/>
      </c>
      <c r="Z24">
        <f>IF(ISNUMBER(SEARCH("Adjustment",$C24)),"excluded",IF($H24="Behind the Meter","excluded",IF(NOT(OR($E24="Bundled",$E24="Energy")),"excluded",IF(OR($H24="Retail Power Marketer",$H24="Community Choice Aggregator",$E24="Energy"),"procurement",IF(OR($H24="Municipal",$H24="Cooperative",$H24="Federal",$H24="State",$H24="Political Subdivision"),"cost_service",IF($H24="Investor Owned",IF(AND(COUNTIF(Parameters!$A$4:$A$33,$G24)&gt;0,COUNTIF(Parameters!$B$4:$B$33,$B24)=0),"procurement","cost_service"),"unclassified"))))))</f>
        <v/>
      </c>
    </row>
    <row r="25">
      <c r="A25" t="n">
        <v>2024</v>
      </c>
      <c r="B25" t="n">
        <v>13292</v>
      </c>
      <c r="C25" t="inlineStr">
        <is>
          <t>Norris Electric Coop</t>
        </is>
      </c>
      <c r="D25" t="inlineStr">
        <is>
          <t>A</t>
        </is>
      </c>
      <c r="E25" t="inlineStr">
        <is>
          <t>Bundled</t>
        </is>
      </c>
      <c r="F25" t="inlineStr">
        <is>
          <t>O</t>
        </is>
      </c>
      <c r="G25" t="inlineStr">
        <is>
          <t>IL</t>
        </is>
      </c>
      <c r="H25" t="inlineStr">
        <is>
          <t>Cooperative</t>
        </is>
      </c>
      <c r="I25" t="inlineStr">
        <is>
          <t>MISO</t>
        </is>
      </c>
      <c r="J25" t="n">
        <v>36904</v>
      </c>
      <c r="K25" t="n">
        <v>244675</v>
      </c>
      <c r="L25" t="n">
        <v>18074</v>
      </c>
      <c r="M25" t="n">
        <v>12546</v>
      </c>
      <c r="N25" t="n">
        <v>92927</v>
      </c>
      <c r="O25" t="n">
        <v>2213</v>
      </c>
      <c r="P25" t="n">
        <v>3595</v>
      </c>
      <c r="Q25" t="n">
        <v>23621</v>
      </c>
      <c r="R25" t="n">
        <v>13</v>
      </c>
      <c r="S25" t="inlineStr">
        <is>
          <t>.</t>
        </is>
      </c>
      <c r="T25" t="inlineStr">
        <is>
          <t>.</t>
        </is>
      </c>
      <c r="U25" t="inlineStr">
        <is>
          <t>.</t>
        </is>
      </c>
      <c r="V25" t="n">
        <v>53045</v>
      </c>
      <c r="W25" t="n">
        <v>361223</v>
      </c>
      <c r="X25" t="n">
        <v>20300</v>
      </c>
      <c r="Y25">
        <f>IF(ISNUMBER($W25),$W25,0)</f>
        <v/>
      </c>
      <c r="Z25">
        <f>IF(ISNUMBER(SEARCH("Adjustment",$C25)),"excluded",IF($H25="Behind the Meter","excluded",IF(NOT(OR($E25="Bundled",$E25="Energy")),"excluded",IF(OR($H25="Retail Power Marketer",$H25="Community Choice Aggregator",$E25="Energy"),"procurement",IF(OR($H25="Municipal",$H25="Cooperative",$H25="Federal",$H25="State",$H25="Political Subdivision"),"cost_service",IF($H25="Investor Owned",IF(AND(COUNTIF(Parameters!$A$4:$A$33,$G25)&gt;0,COUNTIF(Parameters!$B$4:$B$33,$B25)=0),"procurement","cost_service"),"unclassified"))))))</f>
        <v/>
      </c>
    </row>
    <row r="26">
      <c r="A26" t="n">
        <v>2024</v>
      </c>
      <c r="B26" t="n">
        <v>13374</v>
      </c>
      <c r="C26" t="inlineStr">
        <is>
          <t>Constellation NewEnergy, Inc</t>
        </is>
      </c>
      <c r="D26" t="inlineStr">
        <is>
          <t>B</t>
        </is>
      </c>
      <c r="E26" t="inlineStr">
        <is>
          <t>Energy</t>
        </is>
      </c>
      <c r="F26" t="inlineStr">
        <is>
          <t>O</t>
        </is>
      </c>
      <c r="G26" t="inlineStr">
        <is>
          <t>IL</t>
        </is>
      </c>
      <c r="H26" t="inlineStr">
        <is>
          <t>Retail Power Marketer</t>
        </is>
      </c>
      <c r="I26" t="inlineStr">
        <is>
          <t>PJM</t>
        </is>
      </c>
      <c r="J26" t="n">
        <v>20400.1</v>
      </c>
      <c r="K26" t="n">
        <v>236053</v>
      </c>
      <c r="L26" t="n">
        <v>30123</v>
      </c>
      <c r="M26" t="n">
        <v>807743.3</v>
      </c>
      <c r="N26" t="n">
        <v>14852360</v>
      </c>
      <c r="O26" t="n">
        <v>43409</v>
      </c>
      <c r="P26" t="n">
        <v>64917</v>
      </c>
      <c r="Q26" t="n">
        <v>1209493</v>
      </c>
      <c r="R26" t="n">
        <v>530</v>
      </c>
      <c r="S26" t="n">
        <v>0</v>
      </c>
      <c r="T26" t="n">
        <v>0</v>
      </c>
      <c r="U26" t="n">
        <v>0</v>
      </c>
      <c r="V26" t="n">
        <v>893060.4</v>
      </c>
      <c r="W26" t="n">
        <v>16297906</v>
      </c>
      <c r="X26" t="n">
        <v>74062</v>
      </c>
      <c r="Y26">
        <f>IF(ISNUMBER($W26),$W26,0)</f>
        <v/>
      </c>
      <c r="Z26">
        <f>IF(ISNUMBER(SEARCH("Adjustment",$C26)),"excluded",IF($H26="Behind the Meter","excluded",IF(NOT(OR($E26="Bundled",$E26="Energy")),"excluded",IF(OR($H26="Retail Power Marketer",$H26="Community Choice Aggregator",$E26="Energy"),"procurement",IF(OR($H26="Municipal",$H26="Cooperative",$H26="Federal",$H26="State",$H26="Political Subdivision"),"cost_service",IF($H26="Investor Owned",IF(AND(COUNTIF(Parameters!$A$4:$A$33,$G26)&gt;0,COUNTIF(Parameters!$B$4:$B$33,$B26)=0),"procurement","cost_service"),"unclassified"))))))</f>
        <v/>
      </c>
    </row>
    <row r="27">
      <c r="A27" t="n">
        <v>2024</v>
      </c>
      <c r="B27" t="n">
        <v>13374</v>
      </c>
      <c r="C27" t="inlineStr">
        <is>
          <t>Constellation NewEnergy, Inc</t>
        </is>
      </c>
      <c r="D27" t="inlineStr">
        <is>
          <t>B</t>
        </is>
      </c>
      <c r="E27" t="inlineStr">
        <is>
          <t>Energy</t>
        </is>
      </c>
      <c r="F27" t="inlineStr">
        <is>
          <t>O</t>
        </is>
      </c>
      <c r="G27" t="inlineStr">
        <is>
          <t>IL</t>
        </is>
      </c>
      <c r="H27" t="inlineStr">
        <is>
          <t>Retail Power Marketer</t>
        </is>
      </c>
      <c r="I27" t="inlineStr">
        <is>
          <t>MISO</t>
        </is>
      </c>
      <c r="J27" t="n">
        <v>177262.8</v>
      </c>
      <c r="K27" t="n">
        <v>1730621</v>
      </c>
      <c r="L27" t="n">
        <v>199367</v>
      </c>
      <c r="M27" t="n">
        <v>276407</v>
      </c>
      <c r="N27" t="n">
        <v>4283501</v>
      </c>
      <c r="O27" t="n">
        <v>29670</v>
      </c>
      <c r="P27" t="n">
        <v>21446.4</v>
      </c>
      <c r="Q27" t="n">
        <v>340917</v>
      </c>
      <c r="R27" t="n">
        <v>63</v>
      </c>
      <c r="S27" t="n">
        <v>0</v>
      </c>
      <c r="T27" t="n">
        <v>0</v>
      </c>
      <c r="U27" t="n">
        <v>0</v>
      </c>
      <c r="V27" t="n">
        <v>475116.2</v>
      </c>
      <c r="W27" t="n">
        <v>6355039</v>
      </c>
      <c r="X27" t="n">
        <v>229100</v>
      </c>
      <c r="Y27">
        <f>IF(ISNUMBER($W27),$W27,0)</f>
        <v/>
      </c>
      <c r="Z27">
        <f>IF(ISNUMBER(SEARCH("Adjustment",$C27)),"excluded",IF($H27="Behind the Meter","excluded",IF(NOT(OR($E27="Bundled",$E27="Energy")),"excluded",IF(OR($H27="Retail Power Marketer",$H27="Community Choice Aggregator",$E27="Energy"),"procurement",IF(OR($H27="Municipal",$H27="Cooperative",$H27="Federal",$H27="State",$H27="Political Subdivision"),"cost_service",IF($H27="Investor Owned",IF(AND(COUNTIF(Parameters!$A$4:$A$33,$G27)&gt;0,COUNTIF(Parameters!$B$4:$B$33,$B27)=0),"procurement","cost_service"),"unclassified"))))))</f>
        <v/>
      </c>
    </row>
    <row r="28">
      <c r="A28" t="n">
        <v>2024</v>
      </c>
      <c r="B28" t="n">
        <v>14840</v>
      </c>
      <c r="C28" t="inlineStr">
        <is>
          <t>City of Peru - (IL)</t>
        </is>
      </c>
      <c r="D28" t="inlineStr">
        <is>
          <t>A</t>
        </is>
      </c>
      <c r="E28" t="inlineStr">
        <is>
          <t>Bundled</t>
        </is>
      </c>
      <c r="F28" t="inlineStr">
        <is>
          <t>O</t>
        </is>
      </c>
      <c r="G28" t="inlineStr">
        <is>
          <t>IL</t>
        </is>
      </c>
      <c r="H28" t="inlineStr">
        <is>
          <t>Municipal</t>
        </is>
      </c>
      <c r="I28" t="inlineStr">
        <is>
          <t>MISO</t>
        </is>
      </c>
      <c r="J28" t="n">
        <v>4491</v>
      </c>
      <c r="K28" t="n">
        <v>37429</v>
      </c>
      <c r="L28" t="n">
        <v>4993</v>
      </c>
      <c r="M28" t="n">
        <v>10364</v>
      </c>
      <c r="N28" t="n">
        <v>81610</v>
      </c>
      <c r="O28" t="n">
        <v>1159</v>
      </c>
      <c r="P28" t="n">
        <v>11246</v>
      </c>
      <c r="Q28" t="n">
        <v>116965</v>
      </c>
      <c r="R28" t="n">
        <v>9</v>
      </c>
      <c r="S28" t="inlineStr">
        <is>
          <t>.</t>
        </is>
      </c>
      <c r="T28" t="inlineStr">
        <is>
          <t>.</t>
        </is>
      </c>
      <c r="U28" t="inlineStr">
        <is>
          <t>.</t>
        </is>
      </c>
      <c r="V28" t="n">
        <v>26101</v>
      </c>
      <c r="W28" t="n">
        <v>236004</v>
      </c>
      <c r="X28" t="n">
        <v>6161</v>
      </c>
      <c r="Y28">
        <f>IF(ISNUMBER($W28),$W28,0)</f>
        <v/>
      </c>
      <c r="Z28">
        <f>IF(ISNUMBER(SEARCH("Adjustment",$C28)),"excluded",IF($H28="Behind the Meter","excluded",IF(NOT(OR($E28="Bundled",$E28="Energy")),"excluded",IF(OR($H28="Retail Power Marketer",$H28="Community Choice Aggregator",$E28="Energy"),"procurement",IF(OR($H28="Municipal",$H28="Cooperative",$H28="Federal",$H28="State",$H28="Political Subdivision"),"cost_service",IF($H28="Investor Owned",IF(AND(COUNTIF(Parameters!$A$4:$A$33,$G28)&gt;0,COUNTIF(Parameters!$B$4:$B$33,$B28)=0),"procurement","cost_service"),"unclassified"))))))</f>
        <v/>
      </c>
    </row>
    <row r="29">
      <c r="A29" t="n">
        <v>2024</v>
      </c>
      <c r="B29" t="n">
        <v>16179</v>
      </c>
      <c r="C29" t="inlineStr">
        <is>
          <t>Rochelle Municipal Utilities</t>
        </is>
      </c>
      <c r="D29" t="inlineStr">
        <is>
          <t>A</t>
        </is>
      </c>
      <c r="E29" t="inlineStr">
        <is>
          <t>Bundled</t>
        </is>
      </c>
      <c r="F29" t="inlineStr">
        <is>
          <t>O</t>
        </is>
      </c>
      <c r="G29" t="inlineStr">
        <is>
          <t>IL</t>
        </is>
      </c>
      <c r="H29" t="inlineStr">
        <is>
          <t>Municipal</t>
        </is>
      </c>
      <c r="I29" t="inlineStr">
        <is>
          <t>PJM</t>
        </is>
      </c>
      <c r="J29" t="n">
        <v>6160</v>
      </c>
      <c r="K29" t="n">
        <v>46606</v>
      </c>
      <c r="L29" t="n">
        <v>5854</v>
      </c>
      <c r="M29" t="n">
        <v>5238</v>
      </c>
      <c r="N29" t="n">
        <v>43525</v>
      </c>
      <c r="O29" t="n">
        <v>1073</v>
      </c>
      <c r="P29" t="n">
        <v>32758</v>
      </c>
      <c r="Q29" t="n">
        <v>312532</v>
      </c>
      <c r="R29" t="n">
        <v>82</v>
      </c>
      <c r="S29" t="inlineStr">
        <is>
          <t>.</t>
        </is>
      </c>
      <c r="T29" t="inlineStr">
        <is>
          <t>.</t>
        </is>
      </c>
      <c r="U29" t="inlineStr">
        <is>
          <t>.</t>
        </is>
      </c>
      <c r="V29" t="n">
        <v>44156</v>
      </c>
      <c r="W29" t="n">
        <v>402663</v>
      </c>
      <c r="X29" t="n">
        <v>7009</v>
      </c>
      <c r="Y29">
        <f>IF(ISNUMBER($W29),$W29,0)</f>
        <v/>
      </c>
      <c r="Z29">
        <f>IF(ISNUMBER(SEARCH("Adjustment",$C29)),"excluded",IF($H29="Behind the Meter","excluded",IF(NOT(OR($E29="Bundled",$E29="Energy")),"excluded",IF(OR($H29="Retail Power Marketer",$H29="Community Choice Aggregator",$E29="Energy"),"procurement",IF(OR($H29="Municipal",$H29="Cooperative",$H29="Federal",$H29="State",$H29="Political Subdivision"),"cost_service",IF($H29="Investor Owned",IF(AND(COUNTIF(Parameters!$A$4:$A$33,$G29)&gt;0,COUNTIF(Parameters!$B$4:$B$33,$B29)=0),"procurement","cost_service"),"unclassified"))))))</f>
        <v/>
      </c>
    </row>
    <row r="30">
      <c r="A30" t="n">
        <v>2024</v>
      </c>
      <c r="B30" t="n">
        <v>16196</v>
      </c>
      <c r="C30" t="inlineStr">
        <is>
          <t>Rock Energy Cooperative</t>
        </is>
      </c>
      <c r="D30" t="inlineStr">
        <is>
          <t>A</t>
        </is>
      </c>
      <c r="E30" t="inlineStr">
        <is>
          <t>Bundled</t>
        </is>
      </c>
      <c r="F30" t="inlineStr">
        <is>
          <t>O</t>
        </is>
      </c>
      <c r="G30" t="inlineStr">
        <is>
          <t>IL</t>
        </is>
      </c>
      <c r="H30" t="inlineStr">
        <is>
          <t>Cooperative</t>
        </is>
      </c>
      <c r="I30" t="inlineStr">
        <is>
          <t>MISO</t>
        </is>
      </c>
      <c r="J30" t="n">
        <v>12511</v>
      </c>
      <c r="K30" t="n">
        <v>83600</v>
      </c>
      <c r="L30" t="n">
        <v>9339</v>
      </c>
      <c r="M30" t="n">
        <v>10163</v>
      </c>
      <c r="N30" t="n">
        <v>85974</v>
      </c>
      <c r="O30" t="n">
        <v>1018</v>
      </c>
      <c r="P30" t="n">
        <v>5181</v>
      </c>
      <c r="Q30" t="n">
        <v>48112</v>
      </c>
      <c r="R30" t="n">
        <v>22</v>
      </c>
      <c r="S30" t="inlineStr">
        <is>
          <t>.</t>
        </is>
      </c>
      <c r="T30" t="inlineStr">
        <is>
          <t>.</t>
        </is>
      </c>
      <c r="U30" t="inlineStr">
        <is>
          <t>.</t>
        </is>
      </c>
      <c r="V30" t="n">
        <v>27855</v>
      </c>
      <c r="W30" t="n">
        <v>217686</v>
      </c>
      <c r="X30" t="n">
        <v>10379</v>
      </c>
      <c r="Y30">
        <f>IF(ISNUMBER($W30),$W30,0)</f>
        <v/>
      </c>
      <c r="Z30">
        <f>IF(ISNUMBER(SEARCH("Adjustment",$C30)),"excluded",IF($H30="Behind the Meter","excluded",IF(NOT(OR($E30="Bundled",$E30="Energy")),"excluded",IF(OR($H30="Retail Power Marketer",$H30="Community Choice Aggregator",$E30="Energy"),"procurement",IF(OR($H30="Municipal",$H30="Cooperative",$H30="Federal",$H30="State",$H30="Political Subdivision"),"cost_service",IF($H30="Investor Owned",IF(AND(COUNTIF(Parameters!$A$4:$A$33,$G30)&gt;0,COUNTIF(Parameters!$B$4:$B$33,$B30)=0),"procurement","cost_service"),"unclassified"))))))</f>
        <v/>
      </c>
    </row>
    <row r="31">
      <c r="A31" t="n">
        <v>2024</v>
      </c>
      <c r="B31" t="n">
        <v>16740</v>
      </c>
      <c r="C31" t="inlineStr">
        <is>
          <t>Scenic Rivers Energy Coop</t>
        </is>
      </c>
      <c r="D31" t="inlineStr">
        <is>
          <t>A</t>
        </is>
      </c>
      <c r="E31" t="inlineStr">
        <is>
          <t>Bundled</t>
        </is>
      </c>
      <c r="F31" t="inlineStr">
        <is>
          <t>O</t>
        </is>
      </c>
      <c r="G31" t="inlineStr">
        <is>
          <t>IL</t>
        </is>
      </c>
      <c r="H31" t="inlineStr">
        <is>
          <t>Cooperative</t>
        </is>
      </c>
      <c r="I31" t="inlineStr">
        <is>
          <t>MISO</t>
        </is>
      </c>
      <c r="J31" t="n">
        <v>18.5</v>
      </c>
      <c r="K31" t="n">
        <v>139</v>
      </c>
      <c r="L31" t="n">
        <v>12</v>
      </c>
      <c r="M31" t="inlineStr">
        <is>
          <t>.</t>
        </is>
      </c>
      <c r="N31" t="inlineStr">
        <is>
          <t>.</t>
        </is>
      </c>
      <c r="O31" t="inlineStr">
        <is>
          <t>.</t>
        </is>
      </c>
      <c r="P31" t="inlineStr">
        <is>
          <t>.</t>
        </is>
      </c>
      <c r="Q31" t="inlineStr">
        <is>
          <t>.</t>
        </is>
      </c>
      <c r="R31" t="inlineStr">
        <is>
          <t>.</t>
        </is>
      </c>
      <c r="S31" t="inlineStr">
        <is>
          <t>.</t>
        </is>
      </c>
      <c r="T31" t="inlineStr">
        <is>
          <t>.</t>
        </is>
      </c>
      <c r="U31" t="inlineStr">
        <is>
          <t>.</t>
        </is>
      </c>
      <c r="V31" t="n">
        <v>18.5</v>
      </c>
      <c r="W31" t="n">
        <v>139</v>
      </c>
      <c r="X31" t="n">
        <v>12</v>
      </c>
      <c r="Y31">
        <f>IF(ISNUMBER($W31),$W31,0)</f>
        <v/>
      </c>
      <c r="Z31">
        <f>IF(ISNUMBER(SEARCH("Adjustment",$C31)),"excluded",IF($H31="Behind the Meter","excluded",IF(NOT(OR($E31="Bundled",$E31="Energy")),"excluded",IF(OR($H31="Retail Power Marketer",$H31="Community Choice Aggregator",$E31="Energy"),"procurement",IF(OR($H31="Municipal",$H31="Cooperative",$H31="Federal",$H31="State",$H31="Political Subdivision"),"cost_service",IF($H31="Investor Owned",IF(AND(COUNTIF(Parameters!$A$4:$A$33,$G31)&gt;0,COUNTIF(Parameters!$B$4:$B$33,$B31)=0),"procurement","cost_service"),"unclassified"))))))</f>
        <v/>
      </c>
    </row>
    <row r="32">
      <c r="A32" t="n">
        <v>2024</v>
      </c>
      <c r="B32" t="n">
        <v>16840</v>
      </c>
      <c r="C32" t="inlineStr">
        <is>
          <t>Calpine Energy Solutions, LLC</t>
        </is>
      </c>
      <c r="D32" t="inlineStr">
        <is>
          <t>B</t>
        </is>
      </c>
      <c r="E32" t="inlineStr">
        <is>
          <t>Energy</t>
        </is>
      </c>
      <c r="F32" t="inlineStr">
        <is>
          <t>O</t>
        </is>
      </c>
      <c r="G32" t="inlineStr">
        <is>
          <t>IL</t>
        </is>
      </c>
      <c r="H32" t="inlineStr">
        <is>
          <t>Retail Power Marketer</t>
        </is>
      </c>
      <c r="I32" t="inlineStr">
        <is>
          <t>MISO</t>
        </is>
      </c>
      <c r="J32" t="n">
        <v>0</v>
      </c>
      <c r="K32" t="n">
        <v>0</v>
      </c>
      <c r="L32" t="n">
        <v>0</v>
      </c>
      <c r="M32" t="n">
        <v>300772.6</v>
      </c>
      <c r="N32" t="n">
        <v>6325920</v>
      </c>
      <c r="O32" t="n">
        <v>123</v>
      </c>
      <c r="P32" t="n">
        <v>13603</v>
      </c>
      <c r="Q32" t="n">
        <v>285308</v>
      </c>
      <c r="R32" t="n">
        <v>13</v>
      </c>
      <c r="S32" t="n">
        <v>0</v>
      </c>
      <c r="T32" t="n">
        <v>0</v>
      </c>
      <c r="U32" t="n">
        <v>0</v>
      </c>
      <c r="V32" t="n">
        <v>314375.6</v>
      </c>
      <c r="W32" t="n">
        <v>6611228</v>
      </c>
      <c r="X32" t="n">
        <v>136</v>
      </c>
      <c r="Y32">
        <f>IF(ISNUMBER($W32),$W32,0)</f>
        <v/>
      </c>
      <c r="Z32">
        <f>IF(ISNUMBER(SEARCH("Adjustment",$C32)),"excluded",IF($H32="Behind the Meter","excluded",IF(NOT(OR($E32="Bundled",$E32="Energy")),"excluded",IF(OR($H32="Retail Power Marketer",$H32="Community Choice Aggregator",$E32="Energy"),"procurement",IF(OR($H32="Municipal",$H32="Cooperative",$H32="Federal",$H32="State",$H32="Political Subdivision"),"cost_service",IF($H32="Investor Owned",IF(AND(COUNTIF(Parameters!$A$4:$A$33,$G32)&gt;0,COUNTIF(Parameters!$B$4:$B$33,$B32)=0),"procurement","cost_service"),"unclassified"))))))</f>
        <v/>
      </c>
    </row>
    <row r="33">
      <c r="A33" t="n">
        <v>2024</v>
      </c>
      <c r="B33" t="n">
        <v>17040</v>
      </c>
      <c r="C33" t="inlineStr">
        <is>
          <t>Shelby Electric Coop, Inc - (IL)</t>
        </is>
      </c>
      <c r="D33" t="inlineStr">
        <is>
          <t>A</t>
        </is>
      </c>
      <c r="E33" t="inlineStr">
        <is>
          <t>Bundled</t>
        </is>
      </c>
      <c r="F33" t="inlineStr">
        <is>
          <t>O</t>
        </is>
      </c>
      <c r="G33" t="inlineStr">
        <is>
          <t>IL</t>
        </is>
      </c>
      <c r="H33" t="inlineStr">
        <is>
          <t>Cooperative</t>
        </is>
      </c>
      <c r="I33" t="inlineStr">
        <is>
          <t>MISO</t>
        </is>
      </c>
      <c r="J33" t="n">
        <v>22822.4</v>
      </c>
      <c r="K33" t="n">
        <v>122528</v>
      </c>
      <c r="L33" t="n">
        <v>9871</v>
      </c>
      <c r="M33" t="n">
        <v>3541.1</v>
      </c>
      <c r="N33" t="n">
        <v>26695</v>
      </c>
      <c r="O33" t="n">
        <v>156</v>
      </c>
      <c r="P33" t="n">
        <v>9406.4</v>
      </c>
      <c r="Q33" t="n">
        <v>85641</v>
      </c>
      <c r="R33" t="n">
        <v>27</v>
      </c>
      <c r="S33" t="inlineStr">
        <is>
          <t>.</t>
        </is>
      </c>
      <c r="T33" t="inlineStr">
        <is>
          <t>.</t>
        </is>
      </c>
      <c r="U33" t="inlineStr">
        <is>
          <t>.</t>
        </is>
      </c>
      <c r="V33" t="n">
        <v>35769.9</v>
      </c>
      <c r="W33" t="n">
        <v>234864</v>
      </c>
      <c r="X33" t="n">
        <v>10054</v>
      </c>
      <c r="Y33">
        <f>IF(ISNUMBER($W33),$W33,0)</f>
        <v/>
      </c>
      <c r="Z33">
        <f>IF(ISNUMBER(SEARCH("Adjustment",$C33)),"excluded",IF($H33="Behind the Meter","excluded",IF(NOT(OR($E33="Bundled",$E33="Energy")),"excluded",IF(OR($H33="Retail Power Marketer",$H33="Community Choice Aggregator",$E33="Energy"),"procurement",IF(OR($H33="Municipal",$H33="Cooperative",$H33="Federal",$H33="State",$H33="Political Subdivision"),"cost_service",IF($H33="Investor Owned",IF(AND(COUNTIF(Parameters!$A$4:$A$33,$G33)&gt;0,COUNTIF(Parameters!$B$4:$B$33,$B33)=0),"procurement","cost_service"),"unclassified"))))))</f>
        <v/>
      </c>
    </row>
    <row r="34">
      <c r="A34" t="n">
        <v>2024</v>
      </c>
      <c r="B34" t="n">
        <v>17585</v>
      </c>
      <c r="C34" t="inlineStr">
        <is>
          <t>Southeastern IL Elec Coop, Inc</t>
        </is>
      </c>
      <c r="D34" t="inlineStr">
        <is>
          <t>A</t>
        </is>
      </c>
      <c r="E34" t="inlineStr">
        <is>
          <t>Bundled</t>
        </is>
      </c>
      <c r="F34" t="inlineStr">
        <is>
          <t>O</t>
        </is>
      </c>
      <c r="G34" t="inlineStr">
        <is>
          <t>IL</t>
        </is>
      </c>
      <c r="H34" t="inlineStr">
        <is>
          <t>Cooperative</t>
        </is>
      </c>
      <c r="I34" t="inlineStr">
        <is>
          <t>MISO</t>
        </is>
      </c>
      <c r="J34" t="n">
        <v>45231</v>
      </c>
      <c r="K34" t="n">
        <v>312673</v>
      </c>
      <c r="L34" t="n">
        <v>22731</v>
      </c>
      <c r="M34" t="n">
        <v>12731</v>
      </c>
      <c r="N34" t="n">
        <v>88535</v>
      </c>
      <c r="O34" t="n">
        <v>2429</v>
      </c>
      <c r="P34" t="n">
        <v>34575</v>
      </c>
      <c r="Q34" t="n">
        <v>332808</v>
      </c>
      <c r="R34" t="n">
        <v>28</v>
      </c>
      <c r="S34" t="inlineStr">
        <is>
          <t>.</t>
        </is>
      </c>
      <c r="T34" t="inlineStr">
        <is>
          <t>.</t>
        </is>
      </c>
      <c r="U34" t="inlineStr">
        <is>
          <t>.</t>
        </is>
      </c>
      <c r="V34" t="n">
        <v>92537</v>
      </c>
      <c r="W34" t="n">
        <v>734016</v>
      </c>
      <c r="X34" t="n">
        <v>25188</v>
      </c>
      <c r="Y34">
        <f>IF(ISNUMBER($W34),$W34,0)</f>
        <v/>
      </c>
      <c r="Z34">
        <f>IF(ISNUMBER(SEARCH("Adjustment",$C34)),"excluded",IF($H34="Behind the Meter","excluded",IF(NOT(OR($E34="Bundled",$E34="Energy")),"excluded",IF(OR($H34="Retail Power Marketer",$H34="Community Choice Aggregator",$E34="Energy"),"procurement",IF(OR($H34="Municipal",$H34="Cooperative",$H34="Federal",$H34="State",$H34="Political Subdivision"),"cost_service",IF($H34="Investor Owned",IF(AND(COUNTIF(Parameters!$A$4:$A$33,$G34)&gt;0,COUNTIF(Parameters!$B$4:$B$33,$B34)=0),"procurement","cost_service"),"unclassified"))))))</f>
        <v/>
      </c>
    </row>
    <row r="35">
      <c r="A35" t="n">
        <v>2024</v>
      </c>
      <c r="B35" t="n">
        <v>17697</v>
      </c>
      <c r="C35" t="inlineStr">
        <is>
          <t>Southwestern Electric Coop Inc - (IL)</t>
        </is>
      </c>
      <c r="D35" t="inlineStr">
        <is>
          <t>A</t>
        </is>
      </c>
      <c r="E35" t="inlineStr">
        <is>
          <t>Bundled</t>
        </is>
      </c>
      <c r="F35" t="inlineStr">
        <is>
          <t>O</t>
        </is>
      </c>
      <c r="G35" t="inlineStr">
        <is>
          <t>IL</t>
        </is>
      </c>
      <c r="H35" t="inlineStr">
        <is>
          <t>Cooperative</t>
        </is>
      </c>
      <c r="I35" t="inlineStr">
        <is>
          <t>MISO</t>
        </is>
      </c>
      <c r="J35" t="n">
        <v>45817.6</v>
      </c>
      <c r="K35" t="n">
        <v>334854</v>
      </c>
      <c r="L35" t="n">
        <v>24822</v>
      </c>
      <c r="M35" t="n">
        <v>10688.4</v>
      </c>
      <c r="N35" t="n">
        <v>81391</v>
      </c>
      <c r="O35" t="n">
        <v>445</v>
      </c>
      <c r="P35" t="n">
        <v>7811.3</v>
      </c>
      <c r="Q35" t="n">
        <v>67331</v>
      </c>
      <c r="R35" t="n">
        <v>17</v>
      </c>
      <c r="S35" t="inlineStr">
        <is>
          <t>.</t>
        </is>
      </c>
      <c r="T35" t="inlineStr">
        <is>
          <t>.</t>
        </is>
      </c>
      <c r="U35" t="inlineStr">
        <is>
          <t>.</t>
        </is>
      </c>
      <c r="V35" t="n">
        <v>64317.3</v>
      </c>
      <c r="W35" t="n">
        <v>483576</v>
      </c>
      <c r="X35" t="n">
        <v>25284</v>
      </c>
      <c r="Y35">
        <f>IF(ISNUMBER($W35),$W35,0)</f>
        <v/>
      </c>
      <c r="Z35">
        <f>IF(ISNUMBER(SEARCH("Adjustment",$C35)),"excluded",IF($H35="Behind the Meter","excluded",IF(NOT(OR($E35="Bundled",$E35="Energy")),"excluded",IF(OR($H35="Retail Power Marketer",$H35="Community Choice Aggregator",$E35="Energy"),"procurement",IF(OR($H35="Municipal",$H35="Cooperative",$H35="Federal",$H35="State",$H35="Political Subdivision"),"cost_service",IF($H35="Investor Owned",IF(AND(COUNTIF(Parameters!$A$4:$A$33,$G35)&gt;0,COUNTIF(Parameters!$B$4:$B$33,$B35)=0),"procurement","cost_service"),"unclassified"))))))</f>
        <v/>
      </c>
    </row>
    <row r="36">
      <c r="A36" t="n">
        <v>2024</v>
      </c>
      <c r="B36" t="n">
        <v>17710</v>
      </c>
      <c r="C36" t="inlineStr">
        <is>
          <t>Spark Energy, LP</t>
        </is>
      </c>
      <c r="D36" t="inlineStr">
        <is>
          <t>B</t>
        </is>
      </c>
      <c r="E36" t="inlineStr">
        <is>
          <t>Energy</t>
        </is>
      </c>
      <c r="F36" t="inlineStr">
        <is>
          <t>O</t>
        </is>
      </c>
      <c r="G36" t="inlineStr">
        <is>
          <t>IL</t>
        </is>
      </c>
      <c r="H36" t="inlineStr">
        <is>
          <t>Retail Power Marketer</t>
        </is>
      </c>
      <c r="I36" t="inlineStr">
        <is>
          <t>MISO</t>
        </is>
      </c>
      <c r="J36" t="n">
        <v>18955</v>
      </c>
      <c r="K36" t="n">
        <v>98716</v>
      </c>
      <c r="L36" t="n">
        <v>15356</v>
      </c>
      <c r="M36" t="n">
        <v>837</v>
      </c>
      <c r="N36" t="n">
        <v>4516</v>
      </c>
      <c r="O36" t="n">
        <v>483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19792</v>
      </c>
      <c r="W36" t="n">
        <v>103232</v>
      </c>
      <c r="X36" t="n">
        <v>15839</v>
      </c>
      <c r="Y36">
        <f>IF(ISNUMBER($W36),$W36,0)</f>
        <v/>
      </c>
      <c r="Z36">
        <f>IF(ISNUMBER(SEARCH("Adjustment",$C36)),"excluded",IF($H36="Behind the Meter","excluded",IF(NOT(OR($E36="Bundled",$E36="Energy")),"excluded",IF(OR($H36="Retail Power Marketer",$H36="Community Choice Aggregator",$E36="Energy"),"procurement",IF(OR($H36="Municipal",$H36="Cooperative",$H36="Federal",$H36="State",$H36="Political Subdivision"),"cost_service",IF($H36="Investor Owned",IF(AND(COUNTIF(Parameters!$A$4:$A$33,$G36)&gt;0,COUNTIF(Parameters!$B$4:$B$33,$B36)=0),"procurement","cost_service"),"unclassified"))))))</f>
        <v/>
      </c>
    </row>
    <row r="37">
      <c r="A37" t="n">
        <v>2024</v>
      </c>
      <c r="B37" t="n">
        <v>17828</v>
      </c>
      <c r="C37" t="inlineStr">
        <is>
          <t>City of Springfield - (IL)</t>
        </is>
      </c>
      <c r="D37" t="inlineStr">
        <is>
          <t>A</t>
        </is>
      </c>
      <c r="E37" t="inlineStr">
        <is>
          <t>Bundled</t>
        </is>
      </c>
      <c r="F37" t="inlineStr">
        <is>
          <t>O</t>
        </is>
      </c>
      <c r="G37" t="inlineStr">
        <is>
          <t>IL</t>
        </is>
      </c>
      <c r="H37" t="inlineStr">
        <is>
          <t>Municipal</t>
        </is>
      </c>
      <c r="I37" t="inlineStr">
        <is>
          <t>MISO</t>
        </is>
      </c>
      <c r="J37" t="n">
        <v>70964.8</v>
      </c>
      <c r="K37" t="n">
        <v>593685</v>
      </c>
      <c r="L37" t="n">
        <v>59621</v>
      </c>
      <c r="M37" t="n">
        <v>115980.9</v>
      </c>
      <c r="N37" t="n">
        <v>874808</v>
      </c>
      <c r="O37" t="n">
        <v>11558</v>
      </c>
      <c r="P37" t="inlineStr">
        <is>
          <t>.</t>
        </is>
      </c>
      <c r="Q37" t="inlineStr">
        <is>
          <t>.</t>
        </is>
      </c>
      <c r="R37" t="inlineStr">
        <is>
          <t>.</t>
        </is>
      </c>
      <c r="S37" t="inlineStr">
        <is>
          <t>.</t>
        </is>
      </c>
      <c r="T37" t="inlineStr">
        <is>
          <t>.</t>
        </is>
      </c>
      <c r="U37" t="inlineStr">
        <is>
          <t>.</t>
        </is>
      </c>
      <c r="V37" t="n">
        <v>186945.7</v>
      </c>
      <c r="W37" t="n">
        <v>1468493</v>
      </c>
      <c r="X37" t="n">
        <v>71179</v>
      </c>
      <c r="Y37">
        <f>IF(ISNUMBER($W37),$W37,0)</f>
        <v/>
      </c>
      <c r="Z37">
        <f>IF(ISNUMBER(SEARCH("Adjustment",$C37)),"excluded",IF($H37="Behind the Meter","excluded",IF(NOT(OR($E37="Bundled",$E37="Energy")),"excluded",IF(OR($H37="Retail Power Marketer",$H37="Community Choice Aggregator",$E37="Energy"),"procurement",IF(OR($H37="Municipal",$H37="Cooperative",$H37="Federal",$H37="State",$H37="Political Subdivision"),"cost_service",IF($H37="Investor Owned",IF(AND(COUNTIF(Parameters!$A$4:$A$33,$G37)&gt;0,COUNTIF(Parameters!$B$4:$B$33,$B37)=0),"procurement","cost_service"),"unclassified"))))))</f>
        <v/>
      </c>
    </row>
    <row r="38">
      <c r="A38" t="n">
        <v>2024</v>
      </c>
      <c r="B38" t="n">
        <v>17860</v>
      </c>
      <c r="C38" t="inlineStr">
        <is>
          <t>City of St Charles - (IL)</t>
        </is>
      </c>
      <c r="D38" t="inlineStr">
        <is>
          <t>A</t>
        </is>
      </c>
      <c r="E38" t="inlineStr">
        <is>
          <t>Bundled</t>
        </is>
      </c>
      <c r="F38" t="inlineStr">
        <is>
          <t>O</t>
        </is>
      </c>
      <c r="G38" t="inlineStr">
        <is>
          <t>IL</t>
        </is>
      </c>
      <c r="H38" t="inlineStr">
        <is>
          <t>Municipal</t>
        </is>
      </c>
      <c r="I38" t="inlineStr">
        <is>
          <t>PJM</t>
        </is>
      </c>
      <c r="J38" t="n">
        <v>17468</v>
      </c>
      <c r="K38" t="n">
        <v>113684</v>
      </c>
      <c r="L38" t="n">
        <v>14181</v>
      </c>
      <c r="M38" t="n">
        <v>23492</v>
      </c>
      <c r="N38" t="n">
        <v>170525</v>
      </c>
      <c r="O38" t="n">
        <v>2239</v>
      </c>
      <c r="P38" t="n">
        <v>19276</v>
      </c>
      <c r="Q38" t="n">
        <v>189472</v>
      </c>
      <c r="R38" t="n">
        <v>41</v>
      </c>
      <c r="S38" t="n">
        <v>0</v>
      </c>
      <c r="T38" t="n">
        <v>0</v>
      </c>
      <c r="U38" t="n">
        <v>0</v>
      </c>
      <c r="V38" t="n">
        <v>60236</v>
      </c>
      <c r="W38" t="n">
        <v>473681</v>
      </c>
      <c r="X38" t="n">
        <v>16461</v>
      </c>
      <c r="Y38">
        <f>IF(ISNUMBER($W38),$W38,0)</f>
        <v/>
      </c>
      <c r="Z38">
        <f>IF(ISNUMBER(SEARCH("Adjustment",$C38)),"excluded",IF($H38="Behind the Meter","excluded",IF(NOT(OR($E38="Bundled",$E38="Energy")),"excluded",IF(OR($H38="Retail Power Marketer",$H38="Community Choice Aggregator",$E38="Energy"),"procurement",IF(OR($H38="Municipal",$H38="Cooperative",$H38="Federal",$H38="State",$H38="Political Subdivision"),"cost_service",IF($H38="Investor Owned",IF(AND(COUNTIF(Parameters!$A$4:$A$33,$G38)&gt;0,COUNTIF(Parameters!$B$4:$B$33,$B38)=0),"procurement","cost_service"),"unclassified"))))))</f>
        <v/>
      </c>
    </row>
    <row r="39">
      <c r="A39" t="n">
        <v>2024</v>
      </c>
      <c r="B39" t="n">
        <v>18193</v>
      </c>
      <c r="C39" t="inlineStr">
        <is>
          <t>Direct Energy Business</t>
        </is>
      </c>
      <c r="D39" t="inlineStr">
        <is>
          <t>B</t>
        </is>
      </c>
      <c r="E39" t="inlineStr">
        <is>
          <t>Energy</t>
        </is>
      </c>
      <c r="F39" t="inlineStr">
        <is>
          <t>O</t>
        </is>
      </c>
      <c r="G39" t="inlineStr">
        <is>
          <t>IL</t>
        </is>
      </c>
      <c r="H39" t="inlineStr">
        <is>
          <t>Retail Power Marketer</t>
        </is>
      </c>
      <c r="I39" t="inlineStr">
        <is>
          <t>MISO</t>
        </is>
      </c>
      <c r="J39" t="n">
        <v>0</v>
      </c>
      <c r="K39" t="n">
        <v>0</v>
      </c>
      <c r="L39" t="n">
        <v>0</v>
      </c>
      <c r="M39" t="n">
        <v>191806.1</v>
      </c>
      <c r="N39" t="n">
        <v>1921950</v>
      </c>
      <c r="O39" t="n">
        <v>5481</v>
      </c>
      <c r="P39" t="n">
        <v>421320.8</v>
      </c>
      <c r="Q39" t="n">
        <v>4826406</v>
      </c>
      <c r="R39" t="n">
        <v>619</v>
      </c>
      <c r="S39" t="n">
        <v>0</v>
      </c>
      <c r="T39" t="n">
        <v>0</v>
      </c>
      <c r="U39" t="n">
        <v>0</v>
      </c>
      <c r="V39" t="n">
        <v>613126.9</v>
      </c>
      <c r="W39" t="n">
        <v>6748356</v>
      </c>
      <c r="X39" t="n">
        <v>6100</v>
      </c>
      <c r="Y39">
        <f>IF(ISNUMBER($W39),$W39,0)</f>
        <v/>
      </c>
      <c r="Z39">
        <f>IF(ISNUMBER(SEARCH("Adjustment",$C39)),"excluded",IF($H39="Behind the Meter","excluded",IF(NOT(OR($E39="Bundled",$E39="Energy")),"excluded",IF(OR($H39="Retail Power Marketer",$H39="Community Choice Aggregator",$E39="Energy"),"procurement",IF(OR($H39="Municipal",$H39="Cooperative",$H39="Federal",$H39="State",$H39="Political Subdivision"),"cost_service",IF($H39="Investor Owned",IF(AND(COUNTIF(Parameters!$A$4:$A$33,$G39)&gt;0,COUNTIF(Parameters!$B$4:$B$33,$B39)=0),"procurement","cost_service"),"unclassified"))))))</f>
        <v/>
      </c>
    </row>
    <row r="40">
      <c r="A40" t="n">
        <v>2024</v>
      </c>
      <c r="B40" t="n">
        <v>18955</v>
      </c>
      <c r="C40" t="inlineStr">
        <is>
          <t>Tri-County Electric Coop, Inc (IL)</t>
        </is>
      </c>
      <c r="D40" t="inlineStr">
        <is>
          <t>A</t>
        </is>
      </c>
      <c r="E40" t="inlineStr">
        <is>
          <t>Bundled</t>
        </is>
      </c>
      <c r="F40" t="inlineStr">
        <is>
          <t>O</t>
        </is>
      </c>
      <c r="G40" t="inlineStr">
        <is>
          <t>IL</t>
        </is>
      </c>
      <c r="H40" t="inlineStr">
        <is>
          <t>Cooperative</t>
        </is>
      </c>
      <c r="I40" t="inlineStr">
        <is>
          <t>MISO</t>
        </is>
      </c>
      <c r="J40" t="n">
        <v>36852.6</v>
      </c>
      <c r="K40" t="n">
        <v>229718</v>
      </c>
      <c r="L40" t="n">
        <v>16197</v>
      </c>
      <c r="M40" t="n">
        <v>4418.9</v>
      </c>
      <c r="N40" t="n">
        <v>32935</v>
      </c>
      <c r="O40" t="n">
        <v>356</v>
      </c>
      <c r="P40" t="n">
        <v>11058.2</v>
      </c>
      <c r="Q40" t="n">
        <v>113794</v>
      </c>
      <c r="R40" t="n">
        <v>51</v>
      </c>
      <c r="S40" t="inlineStr">
        <is>
          <t>.</t>
        </is>
      </c>
      <c r="T40" t="inlineStr">
        <is>
          <t>.</t>
        </is>
      </c>
      <c r="U40" t="inlineStr">
        <is>
          <t>.</t>
        </is>
      </c>
      <c r="V40" t="n">
        <v>52329.7</v>
      </c>
      <c r="W40" t="n">
        <v>376447</v>
      </c>
      <c r="X40" t="n">
        <v>16604</v>
      </c>
      <c r="Y40">
        <f>IF(ISNUMBER($W40),$W40,0)</f>
        <v/>
      </c>
      <c r="Z40">
        <f>IF(ISNUMBER(SEARCH("Adjustment",$C40)),"excluded",IF($H40="Behind the Meter","excluded",IF(NOT(OR($E40="Bundled",$E40="Energy")),"excluded",IF(OR($H40="Retail Power Marketer",$H40="Community Choice Aggregator",$E40="Energy"),"procurement",IF(OR($H40="Municipal",$H40="Cooperative",$H40="Federal",$H40="State",$H40="Political Subdivision"),"cost_service",IF($H40="Investor Owned",IF(AND(COUNTIF(Parameters!$A$4:$A$33,$G40)&gt;0,COUNTIF(Parameters!$B$4:$B$33,$B40)=0),"procurement","cost_service"),"unclassified"))))))</f>
        <v/>
      </c>
    </row>
    <row r="41">
      <c r="A41" t="n">
        <v>2024</v>
      </c>
      <c r="B41" t="n">
        <v>19107</v>
      </c>
      <c r="C41" t="inlineStr">
        <is>
          <t>ENGIE Resources LLC</t>
        </is>
      </c>
      <c r="D41" t="inlineStr">
        <is>
          <t>B</t>
        </is>
      </c>
      <c r="E41" t="inlineStr">
        <is>
          <t>Energy</t>
        </is>
      </c>
      <c r="F41" t="inlineStr">
        <is>
          <t>O</t>
        </is>
      </c>
      <c r="G41" t="inlineStr">
        <is>
          <t>IL</t>
        </is>
      </c>
      <c r="H41" t="inlineStr">
        <is>
          <t>Retail Power Marketer</t>
        </is>
      </c>
      <c r="I41" t="inlineStr">
        <is>
          <t>MISO</t>
        </is>
      </c>
      <c r="J41" t="n">
        <v>0</v>
      </c>
      <c r="K41" t="n">
        <v>0</v>
      </c>
      <c r="L41" t="n">
        <v>0</v>
      </c>
      <c r="M41" t="n">
        <v>243025.4</v>
      </c>
      <c r="N41" t="n">
        <v>2353819</v>
      </c>
      <c r="O41" t="n">
        <v>828</v>
      </c>
      <c r="P41" t="n">
        <v>76744.89999999999</v>
      </c>
      <c r="Q41" t="n">
        <v>743311</v>
      </c>
      <c r="R41" t="n">
        <v>262</v>
      </c>
      <c r="S41" t="n">
        <v>0</v>
      </c>
      <c r="T41" t="n">
        <v>0</v>
      </c>
      <c r="U41" t="n">
        <v>0</v>
      </c>
      <c r="V41" t="n">
        <v>319770.3</v>
      </c>
      <c r="W41" t="n">
        <v>3097130</v>
      </c>
      <c r="X41" t="n">
        <v>1090</v>
      </c>
      <c r="Y41">
        <f>IF(ISNUMBER($W41),$W41,0)</f>
        <v/>
      </c>
      <c r="Z41">
        <f>IF(ISNUMBER(SEARCH("Adjustment",$C41)),"excluded",IF($H41="Behind the Meter","excluded",IF(NOT(OR($E41="Bundled",$E41="Energy")),"excluded",IF(OR($H41="Retail Power Marketer",$H41="Community Choice Aggregator",$E41="Energy"),"procurement",IF(OR($H41="Municipal",$H41="Cooperative",$H41="Federal",$H41="State",$H41="Political Subdivision"),"cost_service",IF($H41="Investor Owned",IF(AND(COUNTIF(Parameters!$A$4:$A$33,$G41)&gt;0,COUNTIF(Parameters!$B$4:$B$33,$B41)=0),"procurement","cost_service"),"unclassified"))))))</f>
        <v/>
      </c>
    </row>
    <row r="42">
      <c r="A42" t="n">
        <v>2024</v>
      </c>
      <c r="B42" t="n">
        <v>20222</v>
      </c>
      <c r="C42" t="inlineStr">
        <is>
          <t>Wayne-White Counties Elec Coop</t>
        </is>
      </c>
      <c r="D42" t="inlineStr">
        <is>
          <t>A</t>
        </is>
      </c>
      <c r="E42" t="inlineStr">
        <is>
          <t>Bundled</t>
        </is>
      </c>
      <c r="F42" t="inlineStr">
        <is>
          <t>O</t>
        </is>
      </c>
      <c r="G42" t="inlineStr">
        <is>
          <t>IL</t>
        </is>
      </c>
      <c r="H42" t="inlineStr">
        <is>
          <t>Cooperative</t>
        </is>
      </c>
      <c r="I42" t="inlineStr">
        <is>
          <t>MISO</t>
        </is>
      </c>
      <c r="J42" t="n">
        <v>24960.2</v>
      </c>
      <c r="K42" t="n">
        <v>150579</v>
      </c>
      <c r="L42" t="n">
        <v>11957</v>
      </c>
      <c r="M42" t="n">
        <v>9950.1</v>
      </c>
      <c r="N42" t="n">
        <v>81523</v>
      </c>
      <c r="O42" t="n">
        <v>1518</v>
      </c>
      <c r="P42" t="n">
        <v>14442.1</v>
      </c>
      <c r="Q42" t="n">
        <v>161705</v>
      </c>
      <c r="R42" t="n">
        <v>179</v>
      </c>
      <c r="S42" t="n">
        <v>0</v>
      </c>
      <c r="T42" t="n">
        <v>0</v>
      </c>
      <c r="U42" t="n">
        <v>0</v>
      </c>
      <c r="V42" t="n">
        <v>49352.4</v>
      </c>
      <c r="W42" t="n">
        <v>393807</v>
      </c>
      <c r="X42" t="n">
        <v>13654</v>
      </c>
      <c r="Y42">
        <f>IF(ISNUMBER($W42),$W42,0)</f>
        <v/>
      </c>
      <c r="Z42">
        <f>IF(ISNUMBER(SEARCH("Adjustment",$C42)),"excluded",IF($H42="Behind the Meter","excluded",IF(NOT(OR($E42="Bundled",$E42="Energy")),"excluded",IF(OR($H42="Retail Power Marketer",$H42="Community Choice Aggregator",$E42="Energy"),"procurement",IF(OR($H42="Municipal",$H42="Cooperative",$H42="Federal",$H42="State",$H42="Political Subdivision"),"cost_service",IF($H42="Investor Owned",IF(AND(COUNTIF(Parameters!$A$4:$A$33,$G42)&gt;0,COUNTIF(Parameters!$B$4:$B$33,$B42)=0),"procurement","cost_service"),"unclassified"))))))</f>
        <v/>
      </c>
    </row>
    <row r="43">
      <c r="A43" t="n">
        <v>2024</v>
      </c>
      <c r="B43" t="n">
        <v>49730</v>
      </c>
      <c r="C43" t="inlineStr">
        <is>
          <t>American PowerNet</t>
        </is>
      </c>
      <c r="D43" t="inlineStr">
        <is>
          <t>B</t>
        </is>
      </c>
      <c r="E43" t="inlineStr">
        <is>
          <t>Energy</t>
        </is>
      </c>
      <c r="F43" t="inlineStr">
        <is>
          <t>O</t>
        </is>
      </c>
      <c r="G43" t="inlineStr">
        <is>
          <t>IL</t>
        </is>
      </c>
      <c r="H43" t="inlineStr">
        <is>
          <t>Retail Power Marketer</t>
        </is>
      </c>
      <c r="I43" t="inlineStr">
        <is>
          <t>PJM</t>
        </is>
      </c>
      <c r="J43" t="n">
        <v>0</v>
      </c>
      <c r="K43" t="n">
        <v>0</v>
      </c>
      <c r="L43" t="n">
        <v>0</v>
      </c>
      <c r="M43" t="n">
        <v>19344.8</v>
      </c>
      <c r="N43" t="n">
        <v>408525</v>
      </c>
      <c r="O43" t="n">
        <v>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19344.8</v>
      </c>
      <c r="W43" t="n">
        <v>408525</v>
      </c>
      <c r="X43" t="n">
        <v>4</v>
      </c>
      <c r="Y43">
        <f>IF(ISNUMBER($W43),$W43,0)</f>
        <v/>
      </c>
      <c r="Z43">
        <f>IF(ISNUMBER(SEARCH("Adjustment",$C43)),"excluded",IF($H43="Behind the Meter","excluded",IF(NOT(OR($E43="Bundled",$E43="Energy")),"excluded",IF(OR($H43="Retail Power Marketer",$H43="Community Choice Aggregator",$E43="Energy"),"procurement",IF(OR($H43="Municipal",$H43="Cooperative",$H43="Federal",$H43="State",$H43="Political Subdivision"),"cost_service",IF($H43="Investor Owned",IF(AND(COUNTIF(Parameters!$A$4:$A$33,$G43)&gt;0,COUNTIF(Parameters!$B$4:$B$33,$B43)=0),"procurement","cost_service"),"unclassified"))))))</f>
        <v/>
      </c>
    </row>
    <row r="44">
      <c r="A44" t="n">
        <v>2024</v>
      </c>
      <c r="B44" t="n">
        <v>50046</v>
      </c>
      <c r="C44" t="inlineStr">
        <is>
          <t>Texas Retail Energy, LLC</t>
        </is>
      </c>
      <c r="D44" t="inlineStr">
        <is>
          <t>B</t>
        </is>
      </c>
      <c r="E44" t="inlineStr">
        <is>
          <t>Energy</t>
        </is>
      </c>
      <c r="F44" t="inlineStr">
        <is>
          <t>O</t>
        </is>
      </c>
      <c r="G44" t="inlineStr">
        <is>
          <t>IL</t>
        </is>
      </c>
      <c r="H44" t="inlineStr">
        <is>
          <t>Retail Power Marketer</t>
        </is>
      </c>
      <c r="I44" t="inlineStr">
        <is>
          <t>PJM</t>
        </is>
      </c>
      <c r="J44" t="n">
        <v>0</v>
      </c>
      <c r="K44" t="n">
        <v>0</v>
      </c>
      <c r="L44" t="n">
        <v>0</v>
      </c>
      <c r="M44" t="n">
        <v>16837.4</v>
      </c>
      <c r="N44" t="n">
        <v>317286</v>
      </c>
      <c r="O44" t="n">
        <v>109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16837.4</v>
      </c>
      <c r="W44" t="n">
        <v>317286</v>
      </c>
      <c r="X44" t="n">
        <v>109</v>
      </c>
      <c r="Y44">
        <f>IF(ISNUMBER($W44),$W44,0)</f>
        <v/>
      </c>
      <c r="Z44">
        <f>IF(ISNUMBER(SEARCH("Adjustment",$C44)),"excluded",IF($H44="Behind the Meter","excluded",IF(NOT(OR($E44="Bundled",$E44="Energy")),"excluded",IF(OR($H44="Retail Power Marketer",$H44="Community Choice Aggregator",$E44="Energy"),"procurement",IF(OR($H44="Municipal",$H44="Cooperative",$H44="Federal",$H44="State",$H44="Political Subdivision"),"cost_service",IF($H44="Investor Owned",IF(AND(COUNTIF(Parameters!$A$4:$A$33,$G44)&gt;0,COUNTIF(Parameters!$B$4:$B$33,$B44)=0),"procurement","cost_service"),"unclassified"))))))</f>
        <v/>
      </c>
    </row>
    <row r="45">
      <c r="A45" t="n">
        <v>2024</v>
      </c>
      <c r="B45" t="n">
        <v>50046</v>
      </c>
      <c r="C45" t="inlineStr">
        <is>
          <t>Texas Retail Energy, LLC</t>
        </is>
      </c>
      <c r="D45" t="inlineStr">
        <is>
          <t>B</t>
        </is>
      </c>
      <c r="E45" t="inlineStr">
        <is>
          <t>Energy</t>
        </is>
      </c>
      <c r="F45" t="inlineStr">
        <is>
          <t>O</t>
        </is>
      </c>
      <c r="G45" t="inlineStr">
        <is>
          <t>IL</t>
        </is>
      </c>
      <c r="H45" t="inlineStr">
        <is>
          <t>Retail Power Marketer</t>
        </is>
      </c>
      <c r="I45" t="inlineStr">
        <is>
          <t>MISO</t>
        </is>
      </c>
      <c r="J45" t="n">
        <v>0</v>
      </c>
      <c r="K45" t="n">
        <v>0</v>
      </c>
      <c r="L45" t="n">
        <v>0</v>
      </c>
      <c r="M45" t="n">
        <v>10125.7</v>
      </c>
      <c r="N45" t="n">
        <v>213183</v>
      </c>
      <c r="O45" t="n">
        <v>79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10125.7</v>
      </c>
      <c r="W45" t="n">
        <v>213183</v>
      </c>
      <c r="X45" t="n">
        <v>79</v>
      </c>
      <c r="Y45">
        <f>IF(ISNUMBER($W45),$W45,0)</f>
        <v/>
      </c>
      <c r="Z45">
        <f>IF(ISNUMBER(SEARCH("Adjustment",$C45)),"excluded",IF($H45="Behind the Meter","excluded",IF(NOT(OR($E45="Bundled",$E45="Energy")),"excluded",IF(OR($H45="Retail Power Marketer",$H45="Community Choice Aggregator",$E45="Energy"),"procurement",IF(OR($H45="Municipal",$H45="Cooperative",$H45="Federal",$H45="State",$H45="Political Subdivision"),"cost_service",IF($H45="Investor Owned",IF(AND(COUNTIF(Parameters!$A$4:$A$33,$G45)&gt;0,COUNTIF(Parameters!$B$4:$B$33,$B45)=0),"procurement","cost_service"),"unclassified"))))))</f>
        <v/>
      </c>
    </row>
    <row r="46">
      <c r="A46" t="n">
        <v>2024</v>
      </c>
      <c r="B46" t="n">
        <v>54820</v>
      </c>
      <c r="C46" t="inlineStr">
        <is>
          <t>Direct Energy Services</t>
        </is>
      </c>
      <c r="D46" t="inlineStr">
        <is>
          <t>B</t>
        </is>
      </c>
      <c r="E46" t="inlineStr">
        <is>
          <t>Energy</t>
        </is>
      </c>
      <c r="F46" t="inlineStr">
        <is>
          <t>O</t>
        </is>
      </c>
      <c r="G46" t="inlineStr">
        <is>
          <t>IL</t>
        </is>
      </c>
      <c r="H46" t="inlineStr">
        <is>
          <t>Retail Power Marketer</t>
        </is>
      </c>
      <c r="I46" t="inlineStr">
        <is>
          <t>MISO</t>
        </is>
      </c>
      <c r="J46" t="n">
        <v>32403</v>
      </c>
      <c r="K46" t="n">
        <v>272756</v>
      </c>
      <c r="L46" t="n">
        <v>35775</v>
      </c>
      <c r="M46" t="n">
        <v>8329</v>
      </c>
      <c r="N46" t="n">
        <v>95039</v>
      </c>
      <c r="O46" t="n">
        <v>6707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40732</v>
      </c>
      <c r="W46" t="n">
        <v>367795</v>
      </c>
      <c r="X46" t="n">
        <v>42482</v>
      </c>
      <c r="Y46">
        <f>IF(ISNUMBER($W46),$W46,0)</f>
        <v/>
      </c>
      <c r="Z46">
        <f>IF(ISNUMBER(SEARCH("Adjustment",$C46)),"excluded",IF($H46="Behind the Meter","excluded",IF(NOT(OR($E46="Bundled",$E46="Energy")),"excluded",IF(OR($H46="Retail Power Marketer",$H46="Community Choice Aggregator",$E46="Energy"),"procurement",IF(OR($H46="Municipal",$H46="Cooperative",$H46="Federal",$H46="State",$H46="Political Subdivision"),"cost_service",IF($H46="Investor Owned",IF(AND(COUNTIF(Parameters!$A$4:$A$33,$G46)&gt;0,COUNTIF(Parameters!$B$4:$B$33,$B46)=0),"procurement","cost_service"),"unclassified"))))))</f>
        <v/>
      </c>
    </row>
    <row r="47">
      <c r="A47" t="n">
        <v>2024</v>
      </c>
      <c r="B47" t="n">
        <v>54862</v>
      </c>
      <c r="C47" t="inlineStr">
        <is>
          <t>Champion Energy Services</t>
        </is>
      </c>
      <c r="D47" t="inlineStr">
        <is>
          <t>B</t>
        </is>
      </c>
      <c r="E47" t="inlineStr">
        <is>
          <t>Energy</t>
        </is>
      </c>
      <c r="F47" t="inlineStr">
        <is>
          <t>O</t>
        </is>
      </c>
      <c r="G47" t="inlineStr">
        <is>
          <t>IL</t>
        </is>
      </c>
      <c r="H47" t="inlineStr">
        <is>
          <t>Retail Power Marketer</t>
        </is>
      </c>
      <c r="I47" t="inlineStr">
        <is>
          <t>MISO</t>
        </is>
      </c>
      <c r="J47" t="n">
        <v>0</v>
      </c>
      <c r="K47" t="n">
        <v>0</v>
      </c>
      <c r="L47" t="n">
        <v>0</v>
      </c>
      <c r="M47" t="n">
        <v>18788.3</v>
      </c>
      <c r="N47" t="n">
        <v>397609</v>
      </c>
      <c r="O47" t="n">
        <v>289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18788.3</v>
      </c>
      <c r="W47" t="n">
        <v>397609</v>
      </c>
      <c r="X47" t="n">
        <v>289</v>
      </c>
      <c r="Y47">
        <f>IF(ISNUMBER($W47),$W47,0)</f>
        <v/>
      </c>
      <c r="Z47">
        <f>IF(ISNUMBER(SEARCH("Adjustment",$C47)),"excluded",IF($H47="Behind the Meter","excluded",IF(NOT(OR($E47="Bundled",$E47="Energy")),"excluded",IF(OR($H47="Retail Power Marketer",$H47="Community Choice Aggregator",$E47="Energy"),"procurement",IF(OR($H47="Municipal",$H47="Cooperative",$H47="Federal",$H47="State",$H47="Political Subdivision"),"cost_service",IF($H47="Investor Owned",IF(AND(COUNTIF(Parameters!$A$4:$A$33,$G47)&gt;0,COUNTIF(Parameters!$B$4:$B$33,$B47)=0),"procurement","cost_service"),"unclassified"))))))</f>
        <v/>
      </c>
    </row>
    <row r="48">
      <c r="A48" t="n">
        <v>2024</v>
      </c>
      <c r="B48" t="n">
        <v>55722</v>
      </c>
      <c r="C48" t="inlineStr">
        <is>
          <t>AEP Energy</t>
        </is>
      </c>
      <c r="D48" t="inlineStr">
        <is>
          <t>B</t>
        </is>
      </c>
      <c r="E48" t="inlineStr">
        <is>
          <t>Energy</t>
        </is>
      </c>
      <c r="F48" t="inlineStr">
        <is>
          <t>O</t>
        </is>
      </c>
      <c r="G48" t="inlineStr">
        <is>
          <t>IL</t>
        </is>
      </c>
      <c r="H48" t="inlineStr">
        <is>
          <t>Retail Power Marketer</t>
        </is>
      </c>
      <c r="I48" t="inlineStr">
        <is>
          <t>PJM</t>
        </is>
      </c>
      <c r="J48" t="n">
        <v>3519.3</v>
      </c>
      <c r="K48" t="n">
        <v>51097</v>
      </c>
      <c r="L48" t="n">
        <v>5632</v>
      </c>
      <c r="M48" t="n">
        <v>321450.5</v>
      </c>
      <c r="N48" t="n">
        <v>3349355</v>
      </c>
      <c r="O48" t="n">
        <v>16684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324969.8</v>
      </c>
      <c r="W48" t="n">
        <v>3400452</v>
      </c>
      <c r="X48" t="n">
        <v>22316</v>
      </c>
      <c r="Y48">
        <f>IF(ISNUMBER($W48),$W48,0)</f>
        <v/>
      </c>
      <c r="Z48">
        <f>IF(ISNUMBER(SEARCH("Adjustment",$C48)),"excluded",IF($H48="Behind the Meter","excluded",IF(NOT(OR($E48="Bundled",$E48="Energy")),"excluded",IF(OR($H48="Retail Power Marketer",$H48="Community Choice Aggregator",$E48="Energy"),"procurement",IF(OR($H48="Municipal",$H48="Cooperative",$H48="Federal",$H48="State",$H48="Political Subdivision"),"cost_service",IF($H48="Investor Owned",IF(AND(COUNTIF(Parameters!$A$4:$A$33,$G48)&gt;0,COUNTIF(Parameters!$B$4:$B$33,$B48)=0),"procurement","cost_service"),"unclassified"))))))</f>
        <v/>
      </c>
    </row>
    <row r="49">
      <c r="A49" t="n">
        <v>2024</v>
      </c>
      <c r="B49" t="n">
        <v>55815</v>
      </c>
      <c r="C49" t="inlineStr">
        <is>
          <t>IDT Energy, Inc.</t>
        </is>
      </c>
      <c r="D49" t="inlineStr">
        <is>
          <t>B</t>
        </is>
      </c>
      <c r="E49" t="inlineStr">
        <is>
          <t>Energy</t>
        </is>
      </c>
      <c r="F49" t="inlineStr">
        <is>
          <t>O</t>
        </is>
      </c>
      <c r="G49" t="inlineStr">
        <is>
          <t>IL</t>
        </is>
      </c>
      <c r="H49" t="inlineStr">
        <is>
          <t>Retail Power Marketer</t>
        </is>
      </c>
      <c r="I49" t="inlineStr">
        <is>
          <t>PJM</t>
        </is>
      </c>
      <c r="J49" t="n">
        <v>10190.9</v>
      </c>
      <c r="K49" t="n">
        <v>82468</v>
      </c>
      <c r="L49" t="n">
        <v>13193</v>
      </c>
      <c r="M49" t="n">
        <v>805.4</v>
      </c>
      <c r="N49" t="n">
        <v>6630</v>
      </c>
      <c r="O49" t="n">
        <v>239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10996.3</v>
      </c>
      <c r="W49" t="n">
        <v>89098</v>
      </c>
      <c r="X49" t="n">
        <v>13432</v>
      </c>
      <c r="Y49">
        <f>IF(ISNUMBER($W49),$W49,0)</f>
        <v/>
      </c>
      <c r="Z49">
        <f>IF(ISNUMBER(SEARCH("Adjustment",$C49)),"excluded",IF($H49="Behind the Meter","excluded",IF(NOT(OR($E49="Bundled",$E49="Energy")),"excluded",IF(OR($H49="Retail Power Marketer",$H49="Community Choice Aggregator",$E49="Energy"),"procurement",IF(OR($H49="Municipal",$H49="Cooperative",$H49="Federal",$H49="State",$H49="Political Subdivision"),"cost_service",IF($H49="Investor Owned",IF(AND(COUNTIF(Parameters!$A$4:$A$33,$G49)&gt;0,COUNTIF(Parameters!$B$4:$B$33,$B49)=0),"procurement","cost_service"),"unclassified"))))))</f>
        <v/>
      </c>
    </row>
    <row r="50">
      <c r="A50" t="n">
        <v>2024</v>
      </c>
      <c r="B50" t="n">
        <v>55874</v>
      </c>
      <c r="C50" t="inlineStr">
        <is>
          <t>Energy Services Providers, Inc</t>
        </is>
      </c>
      <c r="D50" t="inlineStr">
        <is>
          <t>B</t>
        </is>
      </c>
      <c r="E50" t="inlineStr">
        <is>
          <t>Energy</t>
        </is>
      </c>
      <c r="F50" t="inlineStr">
        <is>
          <t>O</t>
        </is>
      </c>
      <c r="G50" t="inlineStr">
        <is>
          <t>IL</t>
        </is>
      </c>
      <c r="H50" t="inlineStr">
        <is>
          <t>Retail Power Marketer</t>
        </is>
      </c>
      <c r="I50" t="inlineStr">
        <is>
          <t>MISO</t>
        </is>
      </c>
      <c r="J50" t="n">
        <v>30574</v>
      </c>
      <c r="K50" t="n">
        <v>224440</v>
      </c>
      <c r="L50" t="n">
        <v>30192</v>
      </c>
      <c r="M50" t="n">
        <v>1424.7</v>
      </c>
      <c r="N50" t="n">
        <v>11659</v>
      </c>
      <c r="O50" t="n">
        <v>391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31998.7</v>
      </c>
      <c r="W50" t="n">
        <v>236099</v>
      </c>
      <c r="X50" t="n">
        <v>30583</v>
      </c>
      <c r="Y50">
        <f>IF(ISNUMBER($W50),$W50,0)</f>
        <v/>
      </c>
      <c r="Z50">
        <f>IF(ISNUMBER(SEARCH("Adjustment",$C50)),"excluded",IF($H50="Behind the Meter","excluded",IF(NOT(OR($E50="Bundled",$E50="Energy")),"excluded",IF(OR($H50="Retail Power Marketer",$H50="Community Choice Aggregator",$E50="Energy"),"procurement",IF(OR($H50="Municipal",$H50="Cooperative",$H50="Federal",$H50="State",$H50="Political Subdivision"),"cost_service",IF($H50="Investor Owned",IF(AND(COUNTIF(Parameters!$A$4:$A$33,$G50)&gt;0,COUNTIF(Parameters!$B$4:$B$33,$B50)=0),"procurement","cost_service"),"unclassified"))))))</f>
        <v/>
      </c>
    </row>
    <row r="51">
      <c r="A51" t="n">
        <v>2024</v>
      </c>
      <c r="B51" t="n">
        <v>55878</v>
      </c>
      <c r="C51" t="inlineStr">
        <is>
          <t>Hudson Energy Services</t>
        </is>
      </c>
      <c r="D51" t="inlineStr">
        <is>
          <t>B</t>
        </is>
      </c>
      <c r="E51" t="inlineStr">
        <is>
          <t>Energy</t>
        </is>
      </c>
      <c r="F51" t="inlineStr">
        <is>
          <t>O</t>
        </is>
      </c>
      <c r="G51" t="inlineStr">
        <is>
          <t>IL</t>
        </is>
      </c>
      <c r="H51" t="inlineStr">
        <is>
          <t>Retail Power Marketer</t>
        </is>
      </c>
      <c r="I51" t="inlineStr">
        <is>
          <t>PJM</t>
        </is>
      </c>
      <c r="J51" t="n">
        <v>0</v>
      </c>
      <c r="K51" t="n">
        <v>0</v>
      </c>
      <c r="L51" t="n">
        <v>0</v>
      </c>
      <c r="M51" t="n">
        <v>34301.3</v>
      </c>
      <c r="N51" t="n">
        <v>482178</v>
      </c>
      <c r="O51" t="n">
        <v>3049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34301.3</v>
      </c>
      <c r="W51" t="n">
        <v>482178</v>
      </c>
      <c r="X51" t="n">
        <v>3049</v>
      </c>
      <c r="Y51">
        <f>IF(ISNUMBER($W51),$W51,0)</f>
        <v/>
      </c>
      <c r="Z51">
        <f>IF(ISNUMBER(SEARCH("Adjustment",$C51)),"excluded",IF($H51="Behind the Meter","excluded",IF(NOT(OR($E51="Bundled",$E51="Energy")),"excluded",IF(OR($H51="Retail Power Marketer",$H51="Community Choice Aggregator",$E51="Energy"),"procurement",IF(OR($H51="Municipal",$H51="Cooperative",$H51="Federal",$H51="State",$H51="Political Subdivision"),"cost_service",IF($H51="Investor Owned",IF(AND(COUNTIF(Parameters!$A$4:$A$33,$G51)&gt;0,COUNTIF(Parameters!$B$4:$B$33,$B51)=0),"procurement","cost_service"),"unclassified"))))))</f>
        <v/>
      </c>
    </row>
    <row r="52">
      <c r="A52" t="n">
        <v>2024</v>
      </c>
      <c r="B52" t="n">
        <v>55878</v>
      </c>
      <c r="C52" t="inlineStr">
        <is>
          <t>Hudson Energy Services</t>
        </is>
      </c>
      <c r="D52" t="inlineStr">
        <is>
          <t>B</t>
        </is>
      </c>
      <c r="E52" t="inlineStr">
        <is>
          <t>Energy</t>
        </is>
      </c>
      <c r="F52" t="inlineStr">
        <is>
          <t>O</t>
        </is>
      </c>
      <c r="G52" t="inlineStr">
        <is>
          <t>IL</t>
        </is>
      </c>
      <c r="H52" t="inlineStr">
        <is>
          <t>Retail Power Marketer</t>
        </is>
      </c>
      <c r="I52" t="inlineStr">
        <is>
          <t>MISO</t>
        </is>
      </c>
      <c r="J52" t="n">
        <v>0</v>
      </c>
      <c r="K52" t="n">
        <v>0</v>
      </c>
      <c r="L52" t="n">
        <v>0</v>
      </c>
      <c r="M52" t="n">
        <v>1160.1</v>
      </c>
      <c r="N52" t="n">
        <v>17275</v>
      </c>
      <c r="O52" t="n">
        <v>284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1160.1</v>
      </c>
      <c r="W52" t="n">
        <v>17275</v>
      </c>
      <c r="X52" t="n">
        <v>284</v>
      </c>
      <c r="Y52">
        <f>IF(ISNUMBER($W52),$W52,0)</f>
        <v/>
      </c>
      <c r="Z52">
        <f>IF(ISNUMBER(SEARCH("Adjustment",$C52)),"excluded",IF($H52="Behind the Meter","excluded",IF(NOT(OR($E52="Bundled",$E52="Energy")),"excluded",IF(OR($H52="Retail Power Marketer",$H52="Community Choice Aggregator",$E52="Energy"),"procurement",IF(OR($H52="Municipal",$H52="Cooperative",$H52="Federal",$H52="State",$H52="Political Subdivision"),"cost_service",IF($H52="Investor Owned",IF(AND(COUNTIF(Parameters!$A$4:$A$33,$G52)&gt;0,COUNTIF(Parameters!$B$4:$B$33,$B52)=0),"procurement","cost_service"),"unclassified"))))))</f>
        <v/>
      </c>
    </row>
    <row r="53">
      <c r="A53" t="n">
        <v>2024</v>
      </c>
      <c r="B53" t="n">
        <v>56212</v>
      </c>
      <c r="C53" t="inlineStr">
        <is>
          <t>Ambit Energy Holdings, LLC</t>
        </is>
      </c>
      <c r="D53" t="inlineStr">
        <is>
          <t>B</t>
        </is>
      </c>
      <c r="E53" t="inlineStr">
        <is>
          <t>Energy</t>
        </is>
      </c>
      <c r="F53" t="inlineStr">
        <is>
          <t>O</t>
        </is>
      </c>
      <c r="G53" t="inlineStr">
        <is>
          <t>IL</t>
        </is>
      </c>
      <c r="H53" t="inlineStr">
        <is>
          <t>Retail Power Marketer</t>
        </is>
      </c>
      <c r="I53" t="inlineStr">
        <is>
          <t>MISO</t>
        </is>
      </c>
      <c r="J53" t="n">
        <v>22458.7</v>
      </c>
      <c r="K53" t="n">
        <v>201116</v>
      </c>
      <c r="L53" t="n">
        <v>24490</v>
      </c>
      <c r="M53" t="n">
        <v>11326.6</v>
      </c>
      <c r="N53" t="n">
        <v>89529</v>
      </c>
      <c r="O53" t="n">
        <v>4949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33785.3</v>
      </c>
      <c r="W53" t="n">
        <v>290645</v>
      </c>
      <c r="X53" t="n">
        <v>29439</v>
      </c>
      <c r="Y53">
        <f>IF(ISNUMBER($W53),$W53,0)</f>
        <v/>
      </c>
      <c r="Z53">
        <f>IF(ISNUMBER(SEARCH("Adjustment",$C53)),"excluded",IF($H53="Behind the Meter","excluded",IF(NOT(OR($E53="Bundled",$E53="Energy")),"excluded",IF(OR($H53="Retail Power Marketer",$H53="Community Choice Aggregator",$E53="Energy"),"procurement",IF(OR($H53="Municipal",$H53="Cooperative",$H53="Federal",$H53="State",$H53="Political Subdivision"),"cost_service",IF($H53="Investor Owned",IF(AND(COUNTIF(Parameters!$A$4:$A$33,$G53)&gt;0,COUNTIF(Parameters!$B$4:$B$33,$B53)=0),"procurement","cost_service"),"unclassified"))))))</f>
        <v/>
      </c>
    </row>
    <row r="54">
      <c r="A54" t="n">
        <v>2024</v>
      </c>
      <c r="B54" t="n">
        <v>56265</v>
      </c>
      <c r="C54" t="inlineStr">
        <is>
          <t>Energy Plus Holdings LLC</t>
        </is>
      </c>
      <c r="D54" t="inlineStr">
        <is>
          <t>B</t>
        </is>
      </c>
      <c r="E54" t="inlineStr">
        <is>
          <t>Energy</t>
        </is>
      </c>
      <c r="F54" t="inlineStr">
        <is>
          <t>O</t>
        </is>
      </c>
      <c r="G54" t="inlineStr">
        <is>
          <t>IL</t>
        </is>
      </c>
      <c r="H54" t="inlineStr">
        <is>
          <t>Retail Power Marketer</t>
        </is>
      </c>
      <c r="I54" t="inlineStr">
        <is>
          <t>PJM</t>
        </is>
      </c>
      <c r="J54" t="n">
        <v>5307.2</v>
      </c>
      <c r="K54" t="n">
        <v>42761</v>
      </c>
      <c r="L54" t="n">
        <v>6028</v>
      </c>
      <c r="M54" t="n">
        <v>533.9</v>
      </c>
      <c r="N54" t="n">
        <v>4302</v>
      </c>
      <c r="O54" t="n">
        <v>260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5841.1</v>
      </c>
      <c r="W54" t="n">
        <v>47063</v>
      </c>
      <c r="X54" t="n">
        <v>6288</v>
      </c>
      <c r="Y54">
        <f>IF(ISNUMBER($W54),$W54,0)</f>
        <v/>
      </c>
      <c r="Z54">
        <f>IF(ISNUMBER(SEARCH("Adjustment",$C54)),"excluded",IF($H54="Behind the Meter","excluded",IF(NOT(OR($E54="Bundled",$E54="Energy")),"excluded",IF(OR($H54="Retail Power Marketer",$H54="Community Choice Aggregator",$E54="Energy"),"procurement",IF(OR($H54="Municipal",$H54="Cooperative",$H54="Federal",$H54="State",$H54="Political Subdivision"),"cost_service",IF($H54="Investor Owned",IF(AND(COUNTIF(Parameters!$A$4:$A$33,$G54)&gt;0,COUNTIF(Parameters!$B$4:$B$33,$B54)=0),"procurement","cost_service"),"unclassified"))))))</f>
        <v/>
      </c>
    </row>
    <row r="55">
      <c r="A55" t="n">
        <v>2024</v>
      </c>
      <c r="B55" t="n">
        <v>56286</v>
      </c>
      <c r="C55" t="inlineStr">
        <is>
          <t>Frontier Utilities, LLC</t>
        </is>
      </c>
      <c r="D55" t="inlineStr">
        <is>
          <t>B</t>
        </is>
      </c>
      <c r="E55" t="inlineStr">
        <is>
          <t>Energy</t>
        </is>
      </c>
      <c r="F55" t="inlineStr">
        <is>
          <t>O</t>
        </is>
      </c>
      <c r="G55" t="inlineStr">
        <is>
          <t>IL</t>
        </is>
      </c>
      <c r="H55" t="inlineStr">
        <is>
          <t>Retail Power Marketer</t>
        </is>
      </c>
      <c r="I55" t="inlineStr">
        <is>
          <t>PJM</t>
        </is>
      </c>
      <c r="J55" t="n">
        <v>758.1</v>
      </c>
      <c r="K55" t="n">
        <v>5249</v>
      </c>
      <c r="L55" t="n">
        <v>820</v>
      </c>
      <c r="M55" t="inlineStr">
        <is>
          <t>.</t>
        </is>
      </c>
      <c r="N55" t="inlineStr">
        <is>
          <t>.</t>
        </is>
      </c>
      <c r="O55" t="inlineStr">
        <is>
          <t>.</t>
        </is>
      </c>
      <c r="P55" t="inlineStr">
        <is>
          <t>.</t>
        </is>
      </c>
      <c r="Q55" t="inlineStr">
        <is>
          <t>.</t>
        </is>
      </c>
      <c r="R55" t="inlineStr">
        <is>
          <t>.</t>
        </is>
      </c>
      <c r="S55" t="inlineStr">
        <is>
          <t>.</t>
        </is>
      </c>
      <c r="T55" t="inlineStr">
        <is>
          <t>.</t>
        </is>
      </c>
      <c r="U55" t="inlineStr">
        <is>
          <t>.</t>
        </is>
      </c>
      <c r="V55" t="n">
        <v>758.1</v>
      </c>
      <c r="W55" t="n">
        <v>5249</v>
      </c>
      <c r="X55" t="n">
        <v>820</v>
      </c>
      <c r="Y55">
        <f>IF(ISNUMBER($W55),$W55,0)</f>
        <v/>
      </c>
      <c r="Z55">
        <f>IF(ISNUMBER(SEARCH("Adjustment",$C55)),"excluded",IF($H55="Behind the Meter","excluded",IF(NOT(OR($E55="Bundled",$E55="Energy")),"excluded",IF(OR($H55="Retail Power Marketer",$H55="Community Choice Aggregator",$E55="Energy"),"procurement",IF(OR($H55="Municipal",$H55="Cooperative",$H55="Federal",$H55="State",$H55="Political Subdivision"),"cost_service",IF($H55="Investor Owned",IF(AND(COUNTIF(Parameters!$A$4:$A$33,$G55)&gt;0,COUNTIF(Parameters!$B$4:$B$33,$B55)=0),"procurement","cost_service"),"unclassified"))))))</f>
        <v/>
      </c>
    </row>
    <row r="56">
      <c r="A56" t="n">
        <v>2024</v>
      </c>
      <c r="B56" t="n">
        <v>56379</v>
      </c>
      <c r="C56" t="inlineStr">
        <is>
          <t>MC Squared Energy Services, LLC</t>
        </is>
      </c>
      <c r="D56" t="inlineStr">
        <is>
          <t>B</t>
        </is>
      </c>
      <c r="E56" t="inlineStr">
        <is>
          <t>Energy</t>
        </is>
      </c>
      <c r="F56" t="inlineStr">
        <is>
          <t>O</t>
        </is>
      </c>
      <c r="G56" t="inlineStr">
        <is>
          <t>IL</t>
        </is>
      </c>
      <c r="H56" t="inlineStr">
        <is>
          <t>Retail Power Marketer</t>
        </is>
      </c>
      <c r="I56" t="inlineStr">
        <is>
          <t>PJM</t>
        </is>
      </c>
      <c r="J56" t="n">
        <v>155344</v>
      </c>
      <c r="K56" t="n">
        <v>2289157</v>
      </c>
      <c r="L56" t="n">
        <v>244008</v>
      </c>
      <c r="M56" t="n">
        <v>38858</v>
      </c>
      <c r="N56" t="n">
        <v>520171</v>
      </c>
      <c r="O56" t="n">
        <v>18755</v>
      </c>
      <c r="P56" t="n">
        <v>1150</v>
      </c>
      <c r="Q56" t="n">
        <v>18475</v>
      </c>
      <c r="R56" t="n">
        <v>16</v>
      </c>
      <c r="S56" t="n">
        <v>0</v>
      </c>
      <c r="T56" t="n">
        <v>0</v>
      </c>
      <c r="U56" t="n">
        <v>0</v>
      </c>
      <c r="V56" t="n">
        <v>195352</v>
      </c>
      <c r="W56" t="n">
        <v>2827803</v>
      </c>
      <c r="X56" t="n">
        <v>262779</v>
      </c>
      <c r="Y56">
        <f>IF(ISNUMBER($W56),$W56,0)</f>
        <v/>
      </c>
      <c r="Z56">
        <f>IF(ISNUMBER(SEARCH("Adjustment",$C56)),"excluded",IF($H56="Behind the Meter","excluded",IF(NOT(OR($E56="Bundled",$E56="Energy")),"excluded",IF(OR($H56="Retail Power Marketer",$H56="Community Choice Aggregator",$E56="Energy"),"procurement",IF(OR($H56="Municipal",$H56="Cooperative",$H56="Federal",$H56="State",$H56="Political Subdivision"),"cost_service",IF($H56="Investor Owned",IF(AND(COUNTIF(Parameters!$A$4:$A$33,$G56)&gt;0,COUNTIF(Parameters!$B$4:$B$33,$B56)=0),"procurement","cost_service"),"unclassified"))))))</f>
        <v/>
      </c>
    </row>
    <row r="57">
      <c r="A57" t="n">
        <v>2024</v>
      </c>
      <c r="B57" t="n">
        <v>56504</v>
      </c>
      <c r="C57" t="inlineStr">
        <is>
          <t>Major Energy Electric Services</t>
        </is>
      </c>
      <c r="D57" t="inlineStr">
        <is>
          <t>B</t>
        </is>
      </c>
      <c r="E57" t="inlineStr">
        <is>
          <t>Energy</t>
        </is>
      </c>
      <c r="F57" t="inlineStr">
        <is>
          <t>O</t>
        </is>
      </c>
      <c r="G57" t="inlineStr">
        <is>
          <t>IL</t>
        </is>
      </c>
      <c r="H57" t="inlineStr">
        <is>
          <t>Retail Power Marketer</t>
        </is>
      </c>
      <c r="I57" t="inlineStr">
        <is>
          <t>PJM</t>
        </is>
      </c>
      <c r="J57" t="n">
        <v>921</v>
      </c>
      <c r="K57" t="n">
        <v>6931</v>
      </c>
      <c r="L57" t="n">
        <v>1242</v>
      </c>
      <c r="M57" t="n">
        <v>469</v>
      </c>
      <c r="N57" t="n">
        <v>5856</v>
      </c>
      <c r="O57" t="n">
        <v>48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1390</v>
      </c>
      <c r="W57" t="n">
        <v>12787</v>
      </c>
      <c r="X57" t="n">
        <v>1290</v>
      </c>
      <c r="Y57">
        <f>IF(ISNUMBER($W57),$W57,0)</f>
        <v/>
      </c>
      <c r="Z57">
        <f>IF(ISNUMBER(SEARCH("Adjustment",$C57)),"excluded",IF($H57="Behind the Meter","excluded",IF(NOT(OR($E57="Bundled",$E57="Energy")),"excluded",IF(OR($H57="Retail Power Marketer",$H57="Community Choice Aggregator",$E57="Energy"),"procurement",IF(OR($H57="Municipal",$H57="Cooperative",$H57="Federal",$H57="State",$H57="Political Subdivision"),"cost_service",IF($H57="Investor Owned",IF(AND(COUNTIF(Parameters!$A$4:$A$33,$G57)&gt;0,COUNTIF(Parameters!$B$4:$B$33,$B57)=0),"procurement","cost_service"),"unclassified"))))))</f>
        <v/>
      </c>
    </row>
    <row r="58">
      <c r="A58" t="n">
        <v>2024</v>
      </c>
      <c r="B58" t="n">
        <v>56571</v>
      </c>
      <c r="C58" t="inlineStr">
        <is>
          <t>AP Holdings LLC</t>
        </is>
      </c>
      <c r="D58" t="inlineStr">
        <is>
          <t>B</t>
        </is>
      </c>
      <c r="E58" t="inlineStr">
        <is>
          <t>Energy</t>
        </is>
      </c>
      <c r="F58" t="inlineStr">
        <is>
          <t>O</t>
        </is>
      </c>
      <c r="G58" t="inlineStr">
        <is>
          <t>IL</t>
        </is>
      </c>
      <c r="H58" t="inlineStr">
        <is>
          <t>Retail Power Marketer</t>
        </is>
      </c>
      <c r="I58" t="inlineStr">
        <is>
          <t>PJM</t>
        </is>
      </c>
      <c r="J58" t="n">
        <v>0</v>
      </c>
      <c r="K58" t="n">
        <v>0</v>
      </c>
      <c r="L58" t="n">
        <v>0</v>
      </c>
      <c r="M58" t="n">
        <v>3835.7</v>
      </c>
      <c r="N58" t="n">
        <v>50474</v>
      </c>
      <c r="O58" t="n">
        <v>1038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3835.7</v>
      </c>
      <c r="W58" t="n">
        <v>50474</v>
      </c>
      <c r="X58" t="n">
        <v>1038</v>
      </c>
      <c r="Y58">
        <f>IF(ISNUMBER($W58),$W58,0)</f>
        <v/>
      </c>
      <c r="Z58">
        <f>IF(ISNUMBER(SEARCH("Adjustment",$C58)),"excluded",IF($H58="Behind the Meter","excluded",IF(NOT(OR($E58="Bundled",$E58="Energy")),"excluded",IF(OR($H58="Retail Power Marketer",$H58="Community Choice Aggregator",$E58="Energy"),"procurement",IF(OR($H58="Municipal",$H58="Cooperative",$H58="Federal",$H58="State",$H58="Political Subdivision"),"cost_service",IF($H58="Investor Owned",IF(AND(COUNTIF(Parameters!$A$4:$A$33,$G58)&gt;0,COUNTIF(Parameters!$B$4:$B$33,$B58)=0),"procurement","cost_service"),"unclassified"))))))</f>
        <v/>
      </c>
    </row>
    <row r="59">
      <c r="A59" t="n">
        <v>2024</v>
      </c>
      <c r="B59" t="n">
        <v>56697</v>
      </c>
      <c r="C59" t="inlineStr">
        <is>
          <t>Ameren Illinois Company</t>
        </is>
      </c>
      <c r="D59" t="inlineStr">
        <is>
          <t>A</t>
        </is>
      </c>
      <c r="E59" t="inlineStr">
        <is>
          <t>Bundled</t>
        </is>
      </c>
      <c r="F59" t="inlineStr">
        <is>
          <t>O</t>
        </is>
      </c>
      <c r="G59" t="inlineStr">
        <is>
          <t>IL</t>
        </is>
      </c>
      <c r="H59" t="inlineStr">
        <is>
          <t>Investor Owned</t>
        </is>
      </c>
      <c r="I59" t="inlineStr">
        <is>
          <t>MISO</t>
        </is>
      </c>
      <c r="J59" t="n">
        <v>813235.5</v>
      </c>
      <c r="K59" t="n">
        <v>5330247</v>
      </c>
      <c r="L59" t="n">
        <v>520498</v>
      </c>
      <c r="M59" t="n">
        <v>306949.1</v>
      </c>
      <c r="N59" t="n">
        <v>2353896</v>
      </c>
      <c r="O59" t="n">
        <v>67760</v>
      </c>
      <c r="P59" t="n">
        <v>27709.5</v>
      </c>
      <c r="Q59" t="n">
        <v>582773</v>
      </c>
      <c r="R59" t="n">
        <v>285</v>
      </c>
      <c r="S59" t="n">
        <v>1371.8</v>
      </c>
      <c r="T59" t="n">
        <v>15527</v>
      </c>
      <c r="U59" t="n">
        <v>1</v>
      </c>
      <c r="V59" t="n">
        <v>1149265.9</v>
      </c>
      <c r="W59" t="n">
        <v>8282443</v>
      </c>
      <c r="X59" t="n">
        <v>588544</v>
      </c>
      <c r="Y59">
        <f>IF(ISNUMBER($W59),$W59,0)</f>
        <v/>
      </c>
      <c r="Z59">
        <f>IF(ISNUMBER(SEARCH("Adjustment",$C59)),"excluded",IF($H59="Behind the Meter","excluded",IF(NOT(OR($E59="Bundled",$E59="Energy")),"excluded",IF(OR($H59="Retail Power Marketer",$H59="Community Choice Aggregator",$E59="Energy"),"procurement",IF(OR($H59="Municipal",$H59="Cooperative",$H59="Federal",$H59="State",$H59="Political Subdivision"),"cost_service",IF($H59="Investor Owned",IF(AND(COUNTIF(Parameters!$A$4:$A$33,$G59)&gt;0,COUNTIF(Parameters!$B$4:$B$33,$B59)=0),"procurement","cost_service"),"unclassified"))))))</f>
        <v/>
      </c>
    </row>
    <row r="60">
      <c r="A60" t="n">
        <v>2024</v>
      </c>
      <c r="B60" t="n">
        <v>56697</v>
      </c>
      <c r="C60" t="inlineStr">
        <is>
          <t>Ameren Illinois Company</t>
        </is>
      </c>
      <c r="D60" t="inlineStr">
        <is>
          <t>C</t>
        </is>
      </c>
      <c r="E60" t="inlineStr">
        <is>
          <t>Delivery</t>
        </is>
      </c>
      <c r="F60" t="inlineStr">
        <is>
          <t>O</t>
        </is>
      </c>
      <c r="G60" t="inlineStr">
        <is>
          <t>IL</t>
        </is>
      </c>
      <c r="H60" t="inlineStr">
        <is>
          <t>Investor Owned</t>
        </is>
      </c>
      <c r="I60" t="inlineStr">
        <is>
          <t>MISO</t>
        </is>
      </c>
      <c r="J60" t="n">
        <v>446476.9</v>
      </c>
      <c r="K60" t="n">
        <v>5385664</v>
      </c>
      <c r="L60" t="n">
        <v>540396</v>
      </c>
      <c r="M60" t="n">
        <v>409884.3</v>
      </c>
      <c r="N60" t="n">
        <v>9532274</v>
      </c>
      <c r="O60" t="n">
        <v>94480</v>
      </c>
      <c r="P60" t="n">
        <v>150438.4</v>
      </c>
      <c r="Q60" t="n">
        <v>10365978</v>
      </c>
      <c r="R60" t="n">
        <v>688</v>
      </c>
      <c r="S60" t="n">
        <v>0</v>
      </c>
      <c r="T60" t="n">
        <v>0</v>
      </c>
      <c r="U60" t="n">
        <v>0</v>
      </c>
      <c r="V60" t="n">
        <v>1006799.6</v>
      </c>
      <c r="W60" t="n">
        <v>25283916</v>
      </c>
      <c r="X60" t="n">
        <v>635564</v>
      </c>
      <c r="Y60">
        <f>IF(ISNUMBER($W60),$W60,0)</f>
        <v/>
      </c>
      <c r="Z60">
        <f>IF(ISNUMBER(SEARCH("Adjustment",$C60)),"excluded",IF($H60="Behind the Meter","excluded",IF(NOT(OR($E60="Bundled",$E60="Energy")),"excluded",IF(OR($H60="Retail Power Marketer",$H60="Community Choice Aggregator",$E60="Energy"),"procurement",IF(OR($H60="Municipal",$H60="Cooperative",$H60="Federal",$H60="State",$H60="Political Subdivision"),"cost_service",IF($H60="Investor Owned",IF(AND(COUNTIF(Parameters!$A$4:$A$33,$G60)&gt;0,COUNTIF(Parameters!$B$4:$B$33,$B60)=0),"procurement","cost_service"),"unclassified"))))))</f>
        <v/>
      </c>
    </row>
    <row r="61">
      <c r="A61" t="n">
        <v>2024</v>
      </c>
      <c r="B61" t="n">
        <v>57037</v>
      </c>
      <c r="C61" t="inlineStr">
        <is>
          <t>Reliant Energy Northeast LLC</t>
        </is>
      </c>
      <c r="D61" t="inlineStr">
        <is>
          <t>B</t>
        </is>
      </c>
      <c r="E61" t="inlineStr">
        <is>
          <t>Energy</t>
        </is>
      </c>
      <c r="F61" t="inlineStr">
        <is>
          <t>O</t>
        </is>
      </c>
      <c r="G61" t="inlineStr">
        <is>
          <t>IL</t>
        </is>
      </c>
      <c r="H61" t="inlineStr">
        <is>
          <t>Retail Power Marketer</t>
        </is>
      </c>
      <c r="I61" t="inlineStr">
        <is>
          <t>PJM</t>
        </is>
      </c>
      <c r="J61" t="n">
        <v>115415</v>
      </c>
      <c r="K61" t="n">
        <v>1017353</v>
      </c>
      <c r="L61" t="n">
        <v>129869</v>
      </c>
      <c r="M61" t="n">
        <v>76</v>
      </c>
      <c r="N61" t="n">
        <v>688</v>
      </c>
      <c r="O61" t="n">
        <v>61</v>
      </c>
      <c r="P61" t="n">
        <v>6953.1</v>
      </c>
      <c r="Q61" t="n">
        <v>80465</v>
      </c>
      <c r="R61" t="n">
        <v>22</v>
      </c>
      <c r="S61" t="n">
        <v>0</v>
      </c>
      <c r="T61" t="n">
        <v>0</v>
      </c>
      <c r="U61" t="n">
        <v>0</v>
      </c>
      <c r="V61" t="n">
        <v>122444.1</v>
      </c>
      <c r="W61" t="n">
        <v>1098506</v>
      </c>
      <c r="X61" t="n">
        <v>129952</v>
      </c>
      <c r="Y61">
        <f>IF(ISNUMBER($W61),$W61,0)</f>
        <v/>
      </c>
      <c r="Z61">
        <f>IF(ISNUMBER(SEARCH("Adjustment",$C61)),"excluded",IF($H61="Behind the Meter","excluded",IF(NOT(OR($E61="Bundled",$E61="Energy")),"excluded",IF(OR($H61="Retail Power Marketer",$H61="Community Choice Aggregator",$E61="Energy"),"procurement",IF(OR($H61="Municipal",$H61="Cooperative",$H61="Federal",$H61="State",$H61="Political Subdivision"),"cost_service",IF($H61="Investor Owned",IF(AND(COUNTIF(Parameters!$A$4:$A$33,$G61)&gt;0,COUNTIF(Parameters!$B$4:$B$33,$B61)=0),"procurement","cost_service"),"unclassified"))))))</f>
        <v/>
      </c>
    </row>
    <row r="62">
      <c r="A62" t="n">
        <v>2024</v>
      </c>
      <c r="B62" t="n">
        <v>57307</v>
      </c>
      <c r="C62" t="inlineStr">
        <is>
          <t>ENGIE Power &amp; Gas LLC</t>
        </is>
      </c>
      <c r="D62" t="inlineStr">
        <is>
          <t>B</t>
        </is>
      </c>
      <c r="E62" t="inlineStr">
        <is>
          <t>Energy</t>
        </is>
      </c>
      <c r="F62" t="inlineStr">
        <is>
          <t>O</t>
        </is>
      </c>
      <c r="G62" t="inlineStr">
        <is>
          <t>IL</t>
        </is>
      </c>
      <c r="H62" t="inlineStr">
        <is>
          <t>Retail Power Marketer</t>
        </is>
      </c>
      <c r="I62" t="inlineStr">
        <is>
          <t>PJM</t>
        </is>
      </c>
      <c r="J62" t="n">
        <v>309.7</v>
      </c>
      <c r="K62" t="n">
        <v>2542</v>
      </c>
      <c r="L62" t="n">
        <v>384</v>
      </c>
      <c r="M62" t="n">
        <v>86.40000000000001</v>
      </c>
      <c r="N62" t="n">
        <v>885</v>
      </c>
      <c r="O62" t="n">
        <v>33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396.1</v>
      </c>
      <c r="W62" t="n">
        <v>3427</v>
      </c>
      <c r="X62" t="n">
        <v>417</v>
      </c>
      <c r="Y62">
        <f>IF(ISNUMBER($W62),$W62,0)</f>
        <v/>
      </c>
      <c r="Z62">
        <f>IF(ISNUMBER(SEARCH("Adjustment",$C62)),"excluded",IF($H62="Behind the Meter","excluded",IF(NOT(OR($E62="Bundled",$E62="Energy")),"excluded",IF(OR($H62="Retail Power Marketer",$H62="Community Choice Aggregator",$E62="Energy"),"procurement",IF(OR($H62="Municipal",$H62="Cooperative",$H62="Federal",$H62="State",$H62="Political Subdivision"),"cost_service",IF($H62="Investor Owned",IF(AND(COUNTIF(Parameters!$A$4:$A$33,$G62)&gt;0,COUNTIF(Parameters!$B$4:$B$33,$B62)=0),"procurement","cost_service"),"unclassified"))))))</f>
        <v/>
      </c>
    </row>
    <row r="63">
      <c r="A63" t="n">
        <v>2024</v>
      </c>
      <c r="B63" t="n">
        <v>57313</v>
      </c>
      <c r="C63" t="inlineStr">
        <is>
          <t>Tesla Inc.</t>
        </is>
      </c>
      <c r="D63" t="inlineStr">
        <is>
          <t>A</t>
        </is>
      </c>
      <c r="E63" t="inlineStr">
        <is>
          <t>Bundled</t>
        </is>
      </c>
      <c r="F63" t="inlineStr">
        <is>
          <t>O</t>
        </is>
      </c>
      <c r="G63" t="inlineStr">
        <is>
          <t>IL</t>
        </is>
      </c>
      <c r="H63" t="inlineStr">
        <is>
          <t>Behind the Meter</t>
        </is>
      </c>
      <c r="I63" t="inlineStr">
        <is>
          <t>PJM</t>
        </is>
      </c>
      <c r="J63" t="n">
        <v>2.1</v>
      </c>
      <c r="K63" t="n">
        <v>22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2.1</v>
      </c>
      <c r="W63" t="n">
        <v>22</v>
      </c>
      <c r="X63" t="n">
        <v>4</v>
      </c>
      <c r="Y63">
        <f>IF(ISNUMBER($W63),$W63,0)</f>
        <v/>
      </c>
      <c r="Z63">
        <f>IF(ISNUMBER(SEARCH("Adjustment",$C63)),"excluded",IF($H63="Behind the Meter","excluded",IF(NOT(OR($E63="Bundled",$E63="Energy")),"excluded",IF(OR($H63="Retail Power Marketer",$H63="Community Choice Aggregator",$E63="Energy"),"procurement",IF(OR($H63="Municipal",$H63="Cooperative",$H63="Federal",$H63="State",$H63="Political Subdivision"),"cost_service",IF($H63="Investor Owned",IF(AND(COUNTIF(Parameters!$A$4:$A$33,$G63)&gt;0,COUNTIF(Parameters!$B$4:$B$33,$B63)=0),"procurement","cost_service"),"unclassified"))))))</f>
        <v/>
      </c>
    </row>
    <row r="64">
      <c r="A64" t="n">
        <v>2024</v>
      </c>
      <c r="B64" t="n">
        <v>57488</v>
      </c>
      <c r="C64" t="inlineStr">
        <is>
          <t>XOOM Energy Illinois, LLC</t>
        </is>
      </c>
      <c r="D64" t="inlineStr">
        <is>
          <t>B</t>
        </is>
      </c>
      <c r="E64" t="inlineStr">
        <is>
          <t>Energy</t>
        </is>
      </c>
      <c r="F64" t="inlineStr">
        <is>
          <t>O</t>
        </is>
      </c>
      <c r="G64" t="inlineStr">
        <is>
          <t>IL</t>
        </is>
      </c>
      <c r="H64" t="inlineStr">
        <is>
          <t>Retail Power Marketer</t>
        </is>
      </c>
      <c r="I64" t="inlineStr">
        <is>
          <t>PJM</t>
        </is>
      </c>
      <c r="J64" t="n">
        <v>9284</v>
      </c>
      <c r="K64" t="n">
        <v>83803</v>
      </c>
      <c r="L64" t="n">
        <v>11083</v>
      </c>
      <c r="M64" t="n">
        <v>3979</v>
      </c>
      <c r="N64" t="n">
        <v>39587</v>
      </c>
      <c r="O64" t="n">
        <v>1760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13263</v>
      </c>
      <c r="W64" t="n">
        <v>123390</v>
      </c>
      <c r="X64" t="n">
        <v>12843</v>
      </c>
      <c r="Y64">
        <f>IF(ISNUMBER($W64),$W64,0)</f>
        <v/>
      </c>
      <c r="Z64">
        <f>IF(ISNUMBER(SEARCH("Adjustment",$C64)),"excluded",IF($H64="Behind the Meter","excluded",IF(NOT(OR($E64="Bundled",$E64="Energy")),"excluded",IF(OR($H64="Retail Power Marketer",$H64="Community Choice Aggregator",$E64="Energy"),"procurement",IF(OR($H64="Municipal",$H64="Cooperative",$H64="Federal",$H64="State",$H64="Political Subdivision"),"cost_service",IF($H64="Investor Owned",IF(AND(COUNTIF(Parameters!$A$4:$A$33,$G64)&gt;0,COUNTIF(Parameters!$B$4:$B$33,$B64)=0),"procurement","cost_service"),"unclassified"))))))</f>
        <v/>
      </c>
    </row>
    <row r="65">
      <c r="A65" t="n">
        <v>2024</v>
      </c>
      <c r="B65" t="n">
        <v>58119</v>
      </c>
      <c r="C65" t="inlineStr">
        <is>
          <t>Public Power LLC (CT)</t>
        </is>
      </c>
      <c r="D65" t="inlineStr">
        <is>
          <t>B</t>
        </is>
      </c>
      <c r="E65" t="inlineStr">
        <is>
          <t>Energy</t>
        </is>
      </c>
      <c r="F65" t="inlineStr">
        <is>
          <t>O</t>
        </is>
      </c>
      <c r="G65" t="inlineStr">
        <is>
          <t>IL</t>
        </is>
      </c>
      <c r="H65" t="inlineStr">
        <is>
          <t>Retail Power Marketer</t>
        </is>
      </c>
      <c r="I65" t="inlineStr">
        <is>
          <t>PJM</t>
        </is>
      </c>
      <c r="J65" t="n">
        <v>1456.3</v>
      </c>
      <c r="K65" t="n">
        <v>14017</v>
      </c>
      <c r="L65" t="n">
        <v>2165</v>
      </c>
      <c r="M65" t="n">
        <v>3789</v>
      </c>
      <c r="N65" t="n">
        <v>39595</v>
      </c>
      <c r="O65" t="n">
        <v>696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5245.3</v>
      </c>
      <c r="W65" t="n">
        <v>53612</v>
      </c>
      <c r="X65" t="n">
        <v>2861</v>
      </c>
      <c r="Y65">
        <f>IF(ISNUMBER($W65),$W65,0)</f>
        <v/>
      </c>
      <c r="Z65">
        <f>IF(ISNUMBER(SEARCH("Adjustment",$C65)),"excluded",IF($H65="Behind the Meter","excluded",IF(NOT(OR($E65="Bundled",$E65="Energy")),"excluded",IF(OR($H65="Retail Power Marketer",$H65="Community Choice Aggregator",$E65="Energy"),"procurement",IF(OR($H65="Municipal",$H65="Cooperative",$H65="Federal",$H65="State",$H65="Political Subdivision"),"cost_service",IF($H65="Investor Owned",IF(AND(COUNTIF(Parameters!$A$4:$A$33,$G65)&gt;0,COUNTIF(Parameters!$B$4:$B$33,$B65)=0),"procurement","cost_service"),"unclassified"))))))</f>
        <v/>
      </c>
    </row>
    <row r="66">
      <c r="A66" t="n">
        <v>2024</v>
      </c>
      <c r="B66" t="n">
        <v>58162</v>
      </c>
      <c r="C66" t="inlineStr">
        <is>
          <t>Viridian Energy PA LLC</t>
        </is>
      </c>
      <c r="D66" t="inlineStr">
        <is>
          <t>B</t>
        </is>
      </c>
      <c r="E66" t="inlineStr">
        <is>
          <t>Energy</t>
        </is>
      </c>
      <c r="F66" t="inlineStr">
        <is>
          <t>O</t>
        </is>
      </c>
      <c r="G66" t="inlineStr">
        <is>
          <t>IL</t>
        </is>
      </c>
      <c r="H66" t="inlineStr">
        <is>
          <t>Retail Power Marketer</t>
        </is>
      </c>
      <c r="I66" t="inlineStr">
        <is>
          <t>PJM</t>
        </is>
      </c>
      <c r="J66" t="n">
        <v>3196.8</v>
      </c>
      <c r="K66" t="n">
        <v>24036</v>
      </c>
      <c r="L66" t="n">
        <v>3120</v>
      </c>
      <c r="M66" t="n">
        <v>1265.3</v>
      </c>
      <c r="N66" t="n">
        <v>8048</v>
      </c>
      <c r="O66" t="n">
        <v>400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4462.1</v>
      </c>
      <c r="W66" t="n">
        <v>32084</v>
      </c>
      <c r="X66" t="n">
        <v>3520</v>
      </c>
      <c r="Y66">
        <f>IF(ISNUMBER($W66),$W66,0)</f>
        <v/>
      </c>
      <c r="Z66">
        <f>IF(ISNUMBER(SEARCH("Adjustment",$C66)),"excluded",IF($H66="Behind the Meter","excluded",IF(NOT(OR($E66="Bundled",$E66="Energy")),"excluded",IF(OR($H66="Retail Power Marketer",$H66="Community Choice Aggregator",$E66="Energy"),"procurement",IF(OR($H66="Municipal",$H66="Cooperative",$H66="Federal",$H66="State",$H66="Political Subdivision"),"cost_service",IF($H66="Investor Owned",IF(AND(COUNTIF(Parameters!$A$4:$A$33,$G66)&gt;0,COUNTIF(Parameters!$B$4:$B$33,$B66)=0),"procurement","cost_service"),"unclassified"))))))</f>
        <v/>
      </c>
    </row>
    <row r="67">
      <c r="A67" t="n">
        <v>2024</v>
      </c>
      <c r="B67" t="n">
        <v>58314</v>
      </c>
      <c r="C67" t="inlineStr">
        <is>
          <t>Palmco Power IL, LLC</t>
        </is>
      </c>
      <c r="D67" t="inlineStr">
        <is>
          <t>B</t>
        </is>
      </c>
      <c r="E67" t="inlineStr">
        <is>
          <t>Energy</t>
        </is>
      </c>
      <c r="F67" t="inlineStr">
        <is>
          <t>O</t>
        </is>
      </c>
      <c r="G67" t="inlineStr">
        <is>
          <t>IL</t>
        </is>
      </c>
      <c r="H67" t="inlineStr">
        <is>
          <t>Retail Power Marketer</t>
        </is>
      </c>
      <c r="I67" t="inlineStr">
        <is>
          <t>PJM</t>
        </is>
      </c>
      <c r="J67" t="n">
        <v>18759.7</v>
      </c>
      <c r="K67" t="n">
        <v>106292</v>
      </c>
      <c r="L67" t="n">
        <v>20713</v>
      </c>
      <c r="M67" t="n">
        <v>4822.7</v>
      </c>
      <c r="N67" t="n">
        <v>41781</v>
      </c>
      <c r="O67" t="n">
        <v>619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23582.4</v>
      </c>
      <c r="W67" t="n">
        <v>148073</v>
      </c>
      <c r="X67" t="n">
        <v>21332</v>
      </c>
      <c r="Y67">
        <f>IF(ISNUMBER($W67),$W67,0)</f>
        <v/>
      </c>
      <c r="Z67">
        <f>IF(ISNUMBER(SEARCH("Adjustment",$C67)),"excluded",IF($H67="Behind the Meter","excluded",IF(NOT(OR($E67="Bundled",$E67="Energy")),"excluded",IF(OR($H67="Retail Power Marketer",$H67="Community Choice Aggregator",$E67="Energy"),"procurement",IF(OR($H67="Municipal",$H67="Cooperative",$H67="Federal",$H67="State",$H67="Political Subdivision"),"cost_service",IF($H67="Investor Owned",IF(AND(COUNTIF(Parameters!$A$4:$A$33,$G67)&gt;0,COUNTIF(Parameters!$B$4:$B$33,$B67)=0),"procurement","cost_service"),"unclassified"))))))</f>
        <v/>
      </c>
    </row>
    <row r="68">
      <c r="A68" t="n">
        <v>2024</v>
      </c>
      <c r="B68" t="n">
        <v>58667</v>
      </c>
      <c r="C68" t="inlineStr">
        <is>
          <t>North American Power and Gas, LLC</t>
        </is>
      </c>
      <c r="D68" t="inlineStr">
        <is>
          <t>B</t>
        </is>
      </c>
      <c r="E68" t="inlineStr">
        <is>
          <t>Energy</t>
        </is>
      </c>
      <c r="F68" t="inlineStr">
        <is>
          <t>O</t>
        </is>
      </c>
      <c r="G68" t="inlineStr">
        <is>
          <t>IL</t>
        </is>
      </c>
      <c r="H68" t="inlineStr">
        <is>
          <t>Retail Power Marketer</t>
        </is>
      </c>
      <c r="I68" t="inlineStr">
        <is>
          <t>PJM</t>
        </is>
      </c>
      <c r="J68" t="n">
        <v>1686.6</v>
      </c>
      <c r="K68" t="n">
        <v>10534</v>
      </c>
      <c r="L68" t="n">
        <v>1486</v>
      </c>
      <c r="M68" t="n">
        <v>96.2</v>
      </c>
      <c r="N68" t="n">
        <v>597</v>
      </c>
      <c r="O68" t="n">
        <v>37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1782.8</v>
      </c>
      <c r="W68" t="n">
        <v>11131</v>
      </c>
      <c r="X68" t="n">
        <v>1523</v>
      </c>
      <c r="Y68">
        <f>IF(ISNUMBER($W68),$W68,0)</f>
        <v/>
      </c>
      <c r="Z68">
        <f>IF(ISNUMBER(SEARCH("Adjustment",$C68)),"excluded",IF($H68="Behind the Meter","excluded",IF(NOT(OR($E68="Bundled",$E68="Energy")),"excluded",IF(OR($H68="Retail Power Marketer",$H68="Community Choice Aggregator",$E68="Energy"),"procurement",IF(OR($H68="Municipal",$H68="Cooperative",$H68="Federal",$H68="State",$H68="Political Subdivision"),"cost_service",IF($H68="Investor Owned",IF(AND(COUNTIF(Parameters!$A$4:$A$33,$G68)&gt;0,COUNTIF(Parameters!$B$4:$B$33,$B68)=0),"procurement","cost_service"),"unclassified"))))))</f>
        <v/>
      </c>
    </row>
    <row r="69">
      <c r="A69" t="n">
        <v>2024</v>
      </c>
      <c r="B69" t="n">
        <v>58951</v>
      </c>
      <c r="C69" t="inlineStr">
        <is>
          <t>CleanChoice Energy, Inc.</t>
        </is>
      </c>
      <c r="D69" t="inlineStr">
        <is>
          <t>B</t>
        </is>
      </c>
      <c r="E69" t="inlineStr">
        <is>
          <t>Energy</t>
        </is>
      </c>
      <c r="F69" t="inlineStr">
        <is>
          <t>O</t>
        </is>
      </c>
      <c r="G69" t="inlineStr">
        <is>
          <t>IL</t>
        </is>
      </c>
      <c r="H69" t="inlineStr">
        <is>
          <t>Retail Power Marketer</t>
        </is>
      </c>
      <c r="I69" t="inlineStr">
        <is>
          <t>PJM</t>
        </is>
      </c>
      <c r="J69" t="n">
        <v>17466.1</v>
      </c>
      <c r="K69" t="n">
        <v>147905</v>
      </c>
      <c r="L69" t="n">
        <v>24315</v>
      </c>
      <c r="M69" t="n">
        <v>52.4</v>
      </c>
      <c r="N69" t="n">
        <v>365</v>
      </c>
      <c r="O69" t="n">
        <v>50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17518.5</v>
      </c>
      <c r="W69" t="n">
        <v>148270</v>
      </c>
      <c r="X69" t="n">
        <v>24365</v>
      </c>
      <c r="Y69">
        <f>IF(ISNUMBER($W69),$W69,0)</f>
        <v/>
      </c>
      <c r="Z69">
        <f>IF(ISNUMBER(SEARCH("Adjustment",$C69)),"excluded",IF($H69="Behind the Meter","excluded",IF(NOT(OR($E69="Bundled",$E69="Energy")),"excluded",IF(OR($H69="Retail Power Marketer",$H69="Community Choice Aggregator",$E69="Energy"),"procurement",IF(OR($H69="Municipal",$H69="Cooperative",$H69="Federal",$H69="State",$H69="Political Subdivision"),"cost_service",IF($H69="Investor Owned",IF(AND(COUNTIF(Parameters!$A$4:$A$33,$G69)&gt;0,COUNTIF(Parameters!$B$4:$B$33,$B69)=0),"procurement","cost_service"),"unclassified"))))))</f>
        <v/>
      </c>
    </row>
    <row r="70">
      <c r="A70" t="n">
        <v>2024</v>
      </c>
      <c r="B70" t="n">
        <v>58952</v>
      </c>
      <c r="C70" t="inlineStr">
        <is>
          <t>Tomorrow Energy Corp.</t>
        </is>
      </c>
      <c r="D70" t="inlineStr">
        <is>
          <t>B</t>
        </is>
      </c>
      <c r="E70" t="inlineStr">
        <is>
          <t>Energy</t>
        </is>
      </c>
      <c r="F70" t="inlineStr">
        <is>
          <t>O</t>
        </is>
      </c>
      <c r="G70" t="inlineStr">
        <is>
          <t>IL</t>
        </is>
      </c>
      <c r="H70" t="inlineStr">
        <is>
          <t>Retail Power Marketer</t>
        </is>
      </c>
      <c r="I70" t="inlineStr">
        <is>
          <t>PJM</t>
        </is>
      </c>
      <c r="J70" t="n">
        <v>3131.3</v>
      </c>
      <c r="K70" t="n">
        <v>10489</v>
      </c>
      <c r="L70" t="n">
        <v>1724</v>
      </c>
      <c r="M70" t="n">
        <v>410.8</v>
      </c>
      <c r="N70" t="n">
        <v>1370</v>
      </c>
      <c r="O70" t="n">
        <v>54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3542.1</v>
      </c>
      <c r="W70" t="n">
        <v>11859</v>
      </c>
      <c r="X70" t="n">
        <v>1778</v>
      </c>
      <c r="Y70">
        <f>IF(ISNUMBER($W70),$W70,0)</f>
        <v/>
      </c>
      <c r="Z70">
        <f>IF(ISNUMBER(SEARCH("Adjustment",$C70)),"excluded",IF($H70="Behind the Meter","excluded",IF(NOT(OR($E70="Bundled",$E70="Energy")),"excluded",IF(OR($H70="Retail Power Marketer",$H70="Community Choice Aggregator",$E70="Energy"),"procurement",IF(OR($H70="Municipal",$H70="Cooperative",$H70="Federal",$H70="State",$H70="Political Subdivision"),"cost_service",IF($H70="Investor Owned",IF(AND(COUNTIF(Parameters!$A$4:$A$33,$G70)&gt;0,COUNTIF(Parameters!$B$4:$B$33,$B70)=0),"procurement","cost_service"),"unclassified"))))))</f>
        <v/>
      </c>
    </row>
    <row r="71">
      <c r="A71" t="n">
        <v>2024</v>
      </c>
      <c r="B71" t="n">
        <v>58956</v>
      </c>
      <c r="C71" t="inlineStr">
        <is>
          <t>SmartEnergy Holdings, LLC</t>
        </is>
      </c>
      <c r="D71" t="inlineStr">
        <is>
          <t>B</t>
        </is>
      </c>
      <c r="E71" t="inlineStr">
        <is>
          <t>Energy</t>
        </is>
      </c>
      <c r="F71" t="inlineStr">
        <is>
          <t>O</t>
        </is>
      </c>
      <c r="G71" t="inlineStr">
        <is>
          <t>IL</t>
        </is>
      </c>
      <c r="H71" t="inlineStr">
        <is>
          <t>Retail Power Marketer</t>
        </is>
      </c>
      <c r="I71" t="inlineStr">
        <is>
          <t>PJM</t>
        </is>
      </c>
      <c r="J71" t="n">
        <v>13795</v>
      </c>
      <c r="K71" t="n">
        <v>130429</v>
      </c>
      <c r="L71" t="n">
        <v>23102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13795</v>
      </c>
      <c r="W71" t="n">
        <v>130429</v>
      </c>
      <c r="X71" t="n">
        <v>23102</v>
      </c>
      <c r="Y71">
        <f>IF(ISNUMBER($W71),$W71,0)</f>
        <v/>
      </c>
      <c r="Z71">
        <f>IF(ISNUMBER(SEARCH("Adjustment",$C71)),"excluded",IF($H71="Behind the Meter","excluded",IF(NOT(OR($E71="Bundled",$E71="Energy")),"excluded",IF(OR($H71="Retail Power Marketer",$H71="Community Choice Aggregator",$E71="Energy"),"procurement",IF(OR($H71="Municipal",$H71="Cooperative",$H71="Federal",$H71="State",$H71="Political Subdivision"),"cost_service",IF($H71="Investor Owned",IF(AND(COUNTIF(Parameters!$A$4:$A$33,$G71)&gt;0,COUNTIF(Parameters!$B$4:$B$33,$B71)=0),"procurement","cost_service"),"unclassified"))))))</f>
        <v/>
      </c>
    </row>
    <row r="72">
      <c r="A72" t="n">
        <v>2024</v>
      </c>
      <c r="B72" t="n">
        <v>58956</v>
      </c>
      <c r="C72" t="inlineStr">
        <is>
          <t>SmartEnergy Holdings, LLC</t>
        </is>
      </c>
      <c r="D72" t="inlineStr">
        <is>
          <t>B</t>
        </is>
      </c>
      <c r="E72" t="inlineStr">
        <is>
          <t>Energy</t>
        </is>
      </c>
      <c r="F72" t="inlineStr">
        <is>
          <t>O</t>
        </is>
      </c>
      <c r="G72" t="inlineStr">
        <is>
          <t>IL</t>
        </is>
      </c>
      <c r="H72" t="inlineStr">
        <is>
          <t>Retail Power Marketer</t>
        </is>
      </c>
      <c r="I72" t="inlineStr">
        <is>
          <t>MISO</t>
        </is>
      </c>
      <c r="J72" t="n">
        <v>10986</v>
      </c>
      <c r="K72" t="n">
        <v>97903</v>
      </c>
      <c r="L72" t="n">
        <v>12101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10986</v>
      </c>
      <c r="W72" t="n">
        <v>97903</v>
      </c>
      <c r="X72" t="n">
        <v>12101</v>
      </c>
      <c r="Y72">
        <f>IF(ISNUMBER($W72),$W72,0)</f>
        <v/>
      </c>
      <c r="Z72">
        <f>IF(ISNUMBER(SEARCH("Adjustment",$C72)),"excluded",IF($H72="Behind the Meter","excluded",IF(NOT(OR($E72="Bundled",$E72="Energy")),"excluded",IF(OR($H72="Retail Power Marketer",$H72="Community Choice Aggregator",$E72="Energy"),"procurement",IF(OR($H72="Municipal",$H72="Cooperative",$H72="Federal",$H72="State",$H72="Political Subdivision"),"cost_service",IF($H72="Investor Owned",IF(AND(COUNTIF(Parameters!$A$4:$A$33,$G72)&gt;0,COUNTIF(Parameters!$B$4:$B$33,$B72)=0),"procurement","cost_service"),"unclassified"))))))</f>
        <v/>
      </c>
    </row>
    <row r="73">
      <c r="A73" t="n">
        <v>2024</v>
      </c>
      <c r="B73" t="n">
        <v>58957</v>
      </c>
      <c r="C73" t="inlineStr">
        <is>
          <t>Interstate Gas Supply, Inc.</t>
        </is>
      </c>
      <c r="D73" t="inlineStr">
        <is>
          <t>B</t>
        </is>
      </c>
      <c r="E73" t="inlineStr">
        <is>
          <t>Energy</t>
        </is>
      </c>
      <c r="F73" t="inlineStr">
        <is>
          <t>O</t>
        </is>
      </c>
      <c r="G73" t="inlineStr">
        <is>
          <t>IL</t>
        </is>
      </c>
      <c r="H73" t="inlineStr">
        <is>
          <t>Retail Power Marketer</t>
        </is>
      </c>
      <c r="I73" t="inlineStr">
        <is>
          <t>PJM</t>
        </is>
      </c>
      <c r="J73" t="n">
        <v>17761</v>
      </c>
      <c r="K73" t="n">
        <v>156059</v>
      </c>
      <c r="L73" t="n">
        <v>21808</v>
      </c>
      <c r="M73" t="n">
        <v>78607</v>
      </c>
      <c r="N73" t="n">
        <v>1055662</v>
      </c>
      <c r="O73" t="n">
        <v>5656</v>
      </c>
      <c r="P73" t="inlineStr">
        <is>
          <t>.</t>
        </is>
      </c>
      <c r="Q73" t="inlineStr">
        <is>
          <t>.</t>
        </is>
      </c>
      <c r="R73" t="inlineStr">
        <is>
          <t>.</t>
        </is>
      </c>
      <c r="S73" t="inlineStr">
        <is>
          <t>.</t>
        </is>
      </c>
      <c r="T73" t="inlineStr">
        <is>
          <t>.</t>
        </is>
      </c>
      <c r="U73" t="inlineStr">
        <is>
          <t>.</t>
        </is>
      </c>
      <c r="V73" t="n">
        <v>96368</v>
      </c>
      <c r="W73" t="n">
        <v>1211721</v>
      </c>
      <c r="X73" t="n">
        <v>27464</v>
      </c>
      <c r="Y73">
        <f>IF(ISNUMBER($W73),$W73,0)</f>
        <v/>
      </c>
      <c r="Z73">
        <f>IF(ISNUMBER(SEARCH("Adjustment",$C73)),"excluded",IF($H73="Behind the Meter","excluded",IF(NOT(OR($E73="Bundled",$E73="Energy")),"excluded",IF(OR($H73="Retail Power Marketer",$H73="Community Choice Aggregator",$E73="Energy"),"procurement",IF(OR($H73="Municipal",$H73="Cooperative",$H73="Federal",$H73="State",$H73="Political Subdivision"),"cost_service",IF($H73="Investor Owned",IF(AND(COUNTIF(Parameters!$A$4:$A$33,$G73)&gt;0,COUNTIF(Parameters!$B$4:$B$33,$B73)=0),"procurement","cost_service"),"unclassified"))))))</f>
        <v/>
      </c>
    </row>
    <row r="74">
      <c r="A74" t="n">
        <v>2024</v>
      </c>
      <c r="B74" t="n">
        <v>58964</v>
      </c>
      <c r="C74" t="inlineStr">
        <is>
          <t>Alpha Gas and Electric, LLC</t>
        </is>
      </c>
      <c r="D74" t="inlineStr">
        <is>
          <t>B</t>
        </is>
      </c>
      <c r="E74" t="inlineStr">
        <is>
          <t>Energy</t>
        </is>
      </c>
      <c r="F74" t="inlineStr">
        <is>
          <t>O</t>
        </is>
      </c>
      <c r="G74" t="inlineStr">
        <is>
          <t>IL</t>
        </is>
      </c>
      <c r="H74" t="inlineStr">
        <is>
          <t>Retail Power Marketer</t>
        </is>
      </c>
      <c r="I74" t="inlineStr">
        <is>
          <t>PJM</t>
        </is>
      </c>
      <c r="J74" t="n">
        <v>1800.8</v>
      </c>
      <c r="K74" t="n">
        <v>11534</v>
      </c>
      <c r="L74" t="n">
        <v>2026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1800.8</v>
      </c>
      <c r="W74" t="n">
        <v>11534</v>
      </c>
      <c r="X74" t="n">
        <v>2026</v>
      </c>
      <c r="Y74">
        <f>IF(ISNUMBER($W74),$W74,0)</f>
        <v/>
      </c>
      <c r="Z74">
        <f>IF(ISNUMBER(SEARCH("Adjustment",$C74)),"excluded",IF($H74="Behind the Meter","excluded",IF(NOT(OR($E74="Bundled",$E74="Energy")),"excluded",IF(OR($H74="Retail Power Marketer",$H74="Community Choice Aggregator",$E74="Energy"),"procurement",IF(OR($H74="Municipal",$H74="Cooperative",$H74="Federal",$H74="State",$H74="Political Subdivision"),"cost_service",IF($H74="Investor Owned",IF(AND(COUNTIF(Parameters!$A$4:$A$33,$G74)&gt;0,COUNTIF(Parameters!$B$4:$B$33,$B74)=0),"procurement","cost_service"),"unclassified"))))))</f>
        <v/>
      </c>
    </row>
    <row r="75">
      <c r="A75" t="n">
        <v>2024</v>
      </c>
      <c r="B75" t="n">
        <v>58972</v>
      </c>
      <c r="C75" t="inlineStr">
        <is>
          <t>Realgy, LLC</t>
        </is>
      </c>
      <c r="D75" t="inlineStr">
        <is>
          <t>B</t>
        </is>
      </c>
      <c r="E75" t="inlineStr">
        <is>
          <t>Energy</t>
        </is>
      </c>
      <c r="F75" t="inlineStr">
        <is>
          <t>O</t>
        </is>
      </c>
      <c r="G75" t="inlineStr">
        <is>
          <t>IL</t>
        </is>
      </c>
      <c r="H75" t="inlineStr">
        <is>
          <t>Retail Power Marketer</t>
        </is>
      </c>
      <c r="I75" t="inlineStr">
        <is>
          <t>PJM</t>
        </is>
      </c>
      <c r="J75" t="n">
        <v>1823.2</v>
      </c>
      <c r="K75" t="n">
        <v>18201</v>
      </c>
      <c r="L75" t="n">
        <v>3467</v>
      </c>
      <c r="M75" t="n">
        <v>3343</v>
      </c>
      <c r="N75" t="n">
        <v>56027</v>
      </c>
      <c r="O75" t="n">
        <v>1061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5166.2</v>
      </c>
      <c r="W75" t="n">
        <v>74228</v>
      </c>
      <c r="X75" t="n">
        <v>4528</v>
      </c>
      <c r="Y75">
        <f>IF(ISNUMBER($W75),$W75,0)</f>
        <v/>
      </c>
      <c r="Z75">
        <f>IF(ISNUMBER(SEARCH("Adjustment",$C75)),"excluded",IF($H75="Behind the Meter","excluded",IF(NOT(OR($E75="Bundled",$E75="Energy")),"excluded",IF(OR($H75="Retail Power Marketer",$H75="Community Choice Aggregator",$E75="Energy"),"procurement",IF(OR($H75="Municipal",$H75="Cooperative",$H75="Federal",$H75="State",$H75="Political Subdivision"),"cost_service",IF($H75="Investor Owned",IF(AND(COUNTIF(Parameters!$A$4:$A$33,$G75)&gt;0,COUNTIF(Parameters!$B$4:$B$33,$B75)=0),"procurement","cost_service"),"unclassified"))))))</f>
        <v/>
      </c>
    </row>
    <row r="76">
      <c r="A76" t="n">
        <v>2024</v>
      </c>
      <c r="B76" t="n">
        <v>58974</v>
      </c>
      <c r="C76" t="inlineStr">
        <is>
          <t>Clearview Electric Inc.</t>
        </is>
      </c>
      <c r="D76" t="inlineStr">
        <is>
          <t>B</t>
        </is>
      </c>
      <c r="E76" t="inlineStr">
        <is>
          <t>Energy</t>
        </is>
      </c>
      <c r="F76" t="inlineStr">
        <is>
          <t>O</t>
        </is>
      </c>
      <c r="G76" t="inlineStr">
        <is>
          <t>IL</t>
        </is>
      </c>
      <c r="H76" t="inlineStr">
        <is>
          <t>Retail Power Marketer</t>
        </is>
      </c>
      <c r="I76" t="inlineStr">
        <is>
          <t>MISO</t>
        </is>
      </c>
      <c r="J76" t="n">
        <v>10964.7</v>
      </c>
      <c r="K76" t="n">
        <v>54565</v>
      </c>
      <c r="L76" t="n">
        <v>7220</v>
      </c>
      <c r="M76" t="n">
        <v>110.9</v>
      </c>
      <c r="N76" t="n">
        <v>484</v>
      </c>
      <c r="O76" t="n">
        <v>58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11075.6</v>
      </c>
      <c r="W76" t="n">
        <v>55049</v>
      </c>
      <c r="X76" t="n">
        <v>7278</v>
      </c>
      <c r="Y76">
        <f>IF(ISNUMBER($W76),$W76,0)</f>
        <v/>
      </c>
      <c r="Z76">
        <f>IF(ISNUMBER(SEARCH("Adjustment",$C76)),"excluded",IF($H76="Behind the Meter","excluded",IF(NOT(OR($E76="Bundled",$E76="Energy")),"excluded",IF(OR($H76="Retail Power Marketer",$H76="Community Choice Aggregator",$E76="Energy"),"procurement",IF(OR($H76="Municipal",$H76="Cooperative",$H76="Federal",$H76="State",$H76="Political Subdivision"),"cost_service",IF($H76="Investor Owned",IF(AND(COUNTIF(Parameters!$A$4:$A$33,$G76)&gt;0,COUNTIF(Parameters!$B$4:$B$33,$B76)=0),"procurement","cost_service"),"unclassified"))))))</f>
        <v/>
      </c>
    </row>
    <row r="77">
      <c r="A77" t="n">
        <v>2024</v>
      </c>
      <c r="B77" t="n">
        <v>59054</v>
      </c>
      <c r="C77" t="inlineStr">
        <is>
          <t>Eligo Energy, LLC</t>
        </is>
      </c>
      <c r="D77" t="inlineStr">
        <is>
          <t>B</t>
        </is>
      </c>
      <c r="E77" t="inlineStr">
        <is>
          <t>Energy</t>
        </is>
      </c>
      <c r="F77" t="inlineStr">
        <is>
          <t>O</t>
        </is>
      </c>
      <c r="G77" t="inlineStr">
        <is>
          <t>IL</t>
        </is>
      </c>
      <c r="H77" t="inlineStr">
        <is>
          <t>Retail Power Marketer</t>
        </is>
      </c>
      <c r="I77" t="inlineStr">
        <is>
          <t>PJM</t>
        </is>
      </c>
      <c r="J77" t="n">
        <v>6498</v>
      </c>
      <c r="K77" t="n">
        <v>70889</v>
      </c>
      <c r="L77" t="n">
        <v>9099</v>
      </c>
      <c r="M77" t="n">
        <v>7229.6</v>
      </c>
      <c r="N77" t="n">
        <v>66719</v>
      </c>
      <c r="O77" t="n">
        <v>2045</v>
      </c>
      <c r="P77" t="inlineStr">
        <is>
          <t>.</t>
        </is>
      </c>
      <c r="Q77" t="inlineStr">
        <is>
          <t>.</t>
        </is>
      </c>
      <c r="R77" t="inlineStr">
        <is>
          <t>.</t>
        </is>
      </c>
      <c r="S77" t="inlineStr">
        <is>
          <t>.</t>
        </is>
      </c>
      <c r="T77" t="inlineStr">
        <is>
          <t>.</t>
        </is>
      </c>
      <c r="U77" t="inlineStr">
        <is>
          <t>.</t>
        </is>
      </c>
      <c r="V77" t="n">
        <v>13727.6</v>
      </c>
      <c r="W77" t="n">
        <v>137608</v>
      </c>
      <c r="X77" t="n">
        <v>11144</v>
      </c>
      <c r="Y77">
        <f>IF(ISNUMBER($W77),$W77,0)</f>
        <v/>
      </c>
      <c r="Z77">
        <f>IF(ISNUMBER(SEARCH("Adjustment",$C77)),"excluded",IF($H77="Behind the Meter","excluded",IF(NOT(OR($E77="Bundled",$E77="Energy")),"excluded",IF(OR($H77="Retail Power Marketer",$H77="Community Choice Aggregator",$E77="Energy"),"procurement",IF(OR($H77="Municipal",$H77="Cooperative",$H77="Federal",$H77="State",$H77="Political Subdivision"),"cost_service",IF($H77="Investor Owned",IF(AND(COUNTIF(Parameters!$A$4:$A$33,$G77)&gt;0,COUNTIF(Parameters!$B$4:$B$33,$B77)=0),"procurement","cost_service"),"unclassified"))))))</f>
        <v/>
      </c>
    </row>
    <row r="78">
      <c r="A78" t="n">
        <v>2024</v>
      </c>
      <c r="B78" t="n">
        <v>59064</v>
      </c>
      <c r="C78" t="inlineStr">
        <is>
          <t>Great American Power, LLC</t>
        </is>
      </c>
      <c r="D78" t="inlineStr">
        <is>
          <t>B</t>
        </is>
      </c>
      <c r="E78" t="inlineStr">
        <is>
          <t>Energy</t>
        </is>
      </c>
      <c r="F78" t="inlineStr">
        <is>
          <t>O</t>
        </is>
      </c>
      <c r="G78" t="inlineStr">
        <is>
          <t>IL</t>
        </is>
      </c>
      <c r="H78" t="inlineStr">
        <is>
          <t>Retail Power Marketer</t>
        </is>
      </c>
      <c r="I78" t="inlineStr">
        <is>
          <t>PJM</t>
        </is>
      </c>
      <c r="J78" t="n">
        <v>1355.8</v>
      </c>
      <c r="K78" t="n">
        <v>13105</v>
      </c>
      <c r="L78" t="n">
        <v>1989</v>
      </c>
      <c r="M78" t="n">
        <v>4.5</v>
      </c>
      <c r="N78" t="n">
        <v>57</v>
      </c>
      <c r="O78" t="n">
        <v>11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1360.3</v>
      </c>
      <c r="W78" t="n">
        <v>13162</v>
      </c>
      <c r="X78" t="n">
        <v>2000</v>
      </c>
      <c r="Y78">
        <f>IF(ISNUMBER($W78),$W78,0)</f>
        <v/>
      </c>
      <c r="Z78">
        <f>IF(ISNUMBER(SEARCH("Adjustment",$C78)),"excluded",IF($H78="Behind the Meter","excluded",IF(NOT(OR($E78="Bundled",$E78="Energy")),"excluded",IF(OR($H78="Retail Power Marketer",$H78="Community Choice Aggregator",$E78="Energy"),"procurement",IF(OR($H78="Municipal",$H78="Cooperative",$H78="Federal",$H78="State",$H78="Political Subdivision"),"cost_service",IF($H78="Investor Owned",IF(AND(COUNTIF(Parameters!$A$4:$A$33,$G78)&gt;0,COUNTIF(Parameters!$B$4:$B$33,$B78)=0),"procurement","cost_service"),"unclassified"))))))</f>
        <v/>
      </c>
    </row>
    <row r="79">
      <c r="A79" t="n">
        <v>2024</v>
      </c>
      <c r="B79" t="n">
        <v>59065</v>
      </c>
      <c r="C79" t="inlineStr">
        <is>
          <t>Titan Gas LLC</t>
        </is>
      </c>
      <c r="D79" t="inlineStr">
        <is>
          <t>B</t>
        </is>
      </c>
      <c r="E79" t="inlineStr">
        <is>
          <t>Energy</t>
        </is>
      </c>
      <c r="F79" t="inlineStr">
        <is>
          <t>O</t>
        </is>
      </c>
      <c r="G79" t="inlineStr">
        <is>
          <t>IL</t>
        </is>
      </c>
      <c r="H79" t="inlineStr">
        <is>
          <t>Retail Power Marketer</t>
        </is>
      </c>
      <c r="I79" t="inlineStr">
        <is>
          <t>PJM</t>
        </is>
      </c>
      <c r="J79" t="n">
        <v>24</v>
      </c>
      <c r="K79" t="n">
        <v>287</v>
      </c>
      <c r="L79" t="n">
        <v>14</v>
      </c>
      <c r="M79" t="n">
        <v>1816.3</v>
      </c>
      <c r="N79" t="n">
        <v>24858</v>
      </c>
      <c r="O79" t="n">
        <v>218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1840.3</v>
      </c>
      <c r="W79" t="n">
        <v>25145</v>
      </c>
      <c r="X79" t="n">
        <v>232</v>
      </c>
      <c r="Y79">
        <f>IF(ISNUMBER($W79),$W79,0)</f>
        <v/>
      </c>
      <c r="Z79">
        <f>IF(ISNUMBER(SEARCH("Adjustment",$C79)),"excluded",IF($H79="Behind the Meter","excluded",IF(NOT(OR($E79="Bundled",$E79="Energy")),"excluded",IF(OR($H79="Retail Power Marketer",$H79="Community Choice Aggregator",$E79="Energy"),"procurement",IF(OR($H79="Municipal",$H79="Cooperative",$H79="Federal",$H79="State",$H79="Political Subdivision"),"cost_service",IF($H79="Investor Owned",IF(AND(COUNTIF(Parameters!$A$4:$A$33,$G79)&gt;0,COUNTIF(Parameters!$B$4:$B$33,$B79)=0),"procurement","cost_service"),"unclassified"))))))</f>
        <v/>
      </c>
    </row>
    <row r="80">
      <c r="A80" t="n">
        <v>2024</v>
      </c>
      <c r="B80" t="n">
        <v>59088</v>
      </c>
      <c r="C80" t="inlineStr">
        <is>
          <t>Nordic Energy Services, LLC</t>
        </is>
      </c>
      <c r="D80" t="inlineStr">
        <is>
          <t>B</t>
        </is>
      </c>
      <c r="E80" t="inlineStr">
        <is>
          <t>Energy</t>
        </is>
      </c>
      <c r="F80" t="inlineStr">
        <is>
          <t>O</t>
        </is>
      </c>
      <c r="G80" t="inlineStr">
        <is>
          <t>IL</t>
        </is>
      </c>
      <c r="H80" t="inlineStr">
        <is>
          <t>Retail Power Marketer</t>
        </is>
      </c>
      <c r="I80" t="inlineStr">
        <is>
          <t>PJM</t>
        </is>
      </c>
      <c r="J80" t="n">
        <v>5346</v>
      </c>
      <c r="K80" t="n">
        <v>53932</v>
      </c>
      <c r="L80" t="n">
        <v>7533</v>
      </c>
      <c r="M80" t="n">
        <v>1991.4</v>
      </c>
      <c r="N80" t="n">
        <v>18834</v>
      </c>
      <c r="O80" t="n">
        <v>693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7337.4</v>
      </c>
      <c r="W80" t="n">
        <v>72766</v>
      </c>
      <c r="X80" t="n">
        <v>8226</v>
      </c>
      <c r="Y80">
        <f>IF(ISNUMBER($W80),$W80,0)</f>
        <v/>
      </c>
      <c r="Z80">
        <f>IF(ISNUMBER(SEARCH("Adjustment",$C80)),"excluded",IF($H80="Behind the Meter","excluded",IF(NOT(OR($E80="Bundled",$E80="Energy")),"excluded",IF(OR($H80="Retail Power Marketer",$H80="Community Choice Aggregator",$E80="Energy"),"procurement",IF(OR($H80="Municipal",$H80="Cooperative",$H80="Federal",$H80="State",$H80="Political Subdivision"),"cost_service",IF($H80="Investor Owned",IF(AND(COUNTIF(Parameters!$A$4:$A$33,$G80)&gt;0,COUNTIF(Parameters!$B$4:$B$33,$B80)=0),"procurement","cost_service"),"unclassified"))))))</f>
        <v/>
      </c>
    </row>
    <row r="81">
      <c r="A81" t="n">
        <v>2024</v>
      </c>
      <c r="B81" t="n">
        <v>59088</v>
      </c>
      <c r="C81" t="inlineStr">
        <is>
          <t>Nordic Energy Services, LLC</t>
        </is>
      </c>
      <c r="D81" t="inlineStr">
        <is>
          <t>B</t>
        </is>
      </c>
      <c r="E81" t="inlineStr">
        <is>
          <t>Energy</t>
        </is>
      </c>
      <c r="F81" t="inlineStr">
        <is>
          <t>O</t>
        </is>
      </c>
      <c r="G81" t="inlineStr">
        <is>
          <t>IL</t>
        </is>
      </c>
      <c r="H81" t="inlineStr">
        <is>
          <t>Retail Power Marketer</t>
        </is>
      </c>
      <c r="I81" t="inlineStr">
        <is>
          <t>MISO</t>
        </is>
      </c>
      <c r="J81" t="n">
        <v>4559.9</v>
      </c>
      <c r="K81" t="n">
        <v>29259</v>
      </c>
      <c r="L81" t="n">
        <v>3746</v>
      </c>
      <c r="M81" t="n">
        <v>1566.6</v>
      </c>
      <c r="N81" t="n">
        <v>14207</v>
      </c>
      <c r="O81" t="n">
        <v>458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6126.5</v>
      </c>
      <c r="W81" t="n">
        <v>43466</v>
      </c>
      <c r="X81" t="n">
        <v>4204</v>
      </c>
      <c r="Y81">
        <f>IF(ISNUMBER($W81),$W81,0)</f>
        <v/>
      </c>
      <c r="Z81">
        <f>IF(ISNUMBER(SEARCH("Adjustment",$C81)),"excluded",IF($H81="Behind the Meter","excluded",IF(NOT(OR($E81="Bundled",$E81="Energy")),"excluded",IF(OR($H81="Retail Power Marketer",$H81="Community Choice Aggregator",$E81="Energy"),"procurement",IF(OR($H81="Municipal",$H81="Cooperative",$H81="Federal",$H81="State",$H81="Political Subdivision"),"cost_service",IF($H81="Investor Owned",IF(AND(COUNTIF(Parameters!$A$4:$A$33,$G81)&gt;0,COUNTIF(Parameters!$B$4:$B$33,$B81)=0),"procurement","cost_service"),"unclassified"))))))</f>
        <v/>
      </c>
    </row>
    <row r="82">
      <c r="A82" t="n">
        <v>2024</v>
      </c>
      <c r="B82" t="n">
        <v>59310</v>
      </c>
      <c r="C82" t="inlineStr">
        <is>
          <t>Inspire Energy Holdings, LLC</t>
        </is>
      </c>
      <c r="D82" t="inlineStr">
        <is>
          <t>B</t>
        </is>
      </c>
      <c r="E82" t="inlineStr">
        <is>
          <t>Energy</t>
        </is>
      </c>
      <c r="F82" t="inlineStr">
        <is>
          <t>O</t>
        </is>
      </c>
      <c r="G82" t="inlineStr">
        <is>
          <t>IL</t>
        </is>
      </c>
      <c r="H82" t="inlineStr">
        <is>
          <t>Retail Power Marketer</t>
        </is>
      </c>
      <c r="I82" t="inlineStr">
        <is>
          <t>PJM</t>
        </is>
      </c>
      <c r="J82" t="n">
        <v>8464.5</v>
      </c>
      <c r="K82" t="n">
        <v>65044</v>
      </c>
      <c r="L82" t="n">
        <v>8052</v>
      </c>
      <c r="M82" t="inlineStr">
        <is>
          <t>.</t>
        </is>
      </c>
      <c r="N82" t="inlineStr">
        <is>
          <t>.</t>
        </is>
      </c>
      <c r="O82" t="inlineStr">
        <is>
          <t>.</t>
        </is>
      </c>
      <c r="P82" t="inlineStr">
        <is>
          <t>.</t>
        </is>
      </c>
      <c r="Q82" t="inlineStr">
        <is>
          <t>.</t>
        </is>
      </c>
      <c r="R82" t="inlineStr">
        <is>
          <t>.</t>
        </is>
      </c>
      <c r="S82" t="inlineStr">
        <is>
          <t>.</t>
        </is>
      </c>
      <c r="T82" t="inlineStr">
        <is>
          <t>.</t>
        </is>
      </c>
      <c r="U82" t="inlineStr">
        <is>
          <t>.</t>
        </is>
      </c>
      <c r="V82" t="n">
        <v>8464.5</v>
      </c>
      <c r="W82" t="n">
        <v>65044</v>
      </c>
      <c r="X82" t="n">
        <v>8052</v>
      </c>
      <c r="Y82">
        <f>IF(ISNUMBER($W82),$W82,0)</f>
        <v/>
      </c>
      <c r="Z82">
        <f>IF(ISNUMBER(SEARCH("Adjustment",$C82)),"excluded",IF($H82="Behind the Meter","excluded",IF(NOT(OR($E82="Bundled",$E82="Energy")),"excluded",IF(OR($H82="Retail Power Marketer",$H82="Community Choice Aggregator",$E82="Energy"),"procurement",IF(OR($H82="Municipal",$H82="Cooperative",$H82="Federal",$H82="State",$H82="Political Subdivision"),"cost_service",IF($H82="Investor Owned",IF(AND(COUNTIF(Parameters!$A$4:$A$33,$G82)&gt;0,COUNTIF(Parameters!$B$4:$B$33,$B82)=0),"procurement","cost_service"),"unclassified"))))))</f>
        <v/>
      </c>
    </row>
    <row r="83">
      <c r="A83" t="n">
        <v>2024</v>
      </c>
      <c r="B83" t="n">
        <v>59385</v>
      </c>
      <c r="C83" t="inlineStr">
        <is>
          <t>Dynegy Energy Services, LLC</t>
        </is>
      </c>
      <c r="D83" t="inlineStr">
        <is>
          <t>B</t>
        </is>
      </c>
      <c r="E83" t="inlineStr">
        <is>
          <t>Energy</t>
        </is>
      </c>
      <c r="F83" t="inlineStr">
        <is>
          <t>O</t>
        </is>
      </c>
      <c r="G83" t="inlineStr">
        <is>
          <t>IL</t>
        </is>
      </c>
      <c r="H83" t="inlineStr">
        <is>
          <t>Retail Power Marketer</t>
        </is>
      </c>
      <c r="I83" t="inlineStr">
        <is>
          <t>PJM</t>
        </is>
      </c>
      <c r="J83" t="n">
        <v>21677.5</v>
      </c>
      <c r="K83" t="n">
        <v>323408</v>
      </c>
      <c r="L83" t="n">
        <v>33305</v>
      </c>
      <c r="M83" t="n">
        <v>239873.3</v>
      </c>
      <c r="N83" t="n">
        <v>3874703</v>
      </c>
      <c r="O83" t="n">
        <v>3158</v>
      </c>
      <c r="P83" t="n">
        <v>3266.5</v>
      </c>
      <c r="Q83" t="n">
        <v>53827</v>
      </c>
      <c r="R83" t="n">
        <v>24</v>
      </c>
      <c r="S83" t="n">
        <v>16714</v>
      </c>
      <c r="T83" t="n">
        <v>351103</v>
      </c>
      <c r="U83" t="n">
        <v>1</v>
      </c>
      <c r="V83" t="n">
        <v>281531.3</v>
      </c>
      <c r="W83" t="n">
        <v>4603041</v>
      </c>
      <c r="X83" t="n">
        <v>36488</v>
      </c>
      <c r="Y83">
        <f>IF(ISNUMBER($W83),$W83,0)</f>
        <v/>
      </c>
      <c r="Z83">
        <f>IF(ISNUMBER(SEARCH("Adjustment",$C83)),"excluded",IF($H83="Behind the Meter","excluded",IF(NOT(OR($E83="Bundled",$E83="Energy")),"excluded",IF(OR($H83="Retail Power Marketer",$H83="Community Choice Aggregator",$E83="Energy"),"procurement",IF(OR($H83="Municipal",$H83="Cooperative",$H83="Federal",$H83="State",$H83="Political Subdivision"),"cost_service",IF($H83="Investor Owned",IF(AND(COUNTIF(Parameters!$A$4:$A$33,$G83)&gt;0,COUNTIF(Parameters!$B$4:$B$33,$B83)=0),"procurement","cost_service"),"unclassified"))))))</f>
        <v/>
      </c>
    </row>
    <row r="84">
      <c r="A84" t="n">
        <v>2024</v>
      </c>
      <c r="B84" t="n">
        <v>59579</v>
      </c>
      <c r="C84" t="inlineStr">
        <is>
          <t>Sunnova</t>
        </is>
      </c>
      <c r="D84" t="inlineStr">
        <is>
          <t>A</t>
        </is>
      </c>
      <c r="E84" t="inlineStr">
        <is>
          <t>Bundled</t>
        </is>
      </c>
      <c r="F84" t="inlineStr">
        <is>
          <t>O</t>
        </is>
      </c>
      <c r="G84" t="inlineStr">
        <is>
          <t>IL</t>
        </is>
      </c>
      <c r="H84" t="inlineStr">
        <is>
          <t>Behind the Meter</t>
        </is>
      </c>
      <c r="I84" t="inlineStr">
        <is>
          <t>PJM</t>
        </is>
      </c>
      <c r="J84" t="n">
        <v>1126.7</v>
      </c>
      <c r="K84" t="n">
        <v>5469</v>
      </c>
      <c r="L84" t="n">
        <v>524</v>
      </c>
      <c r="M84" t="inlineStr">
        <is>
          <t>.</t>
        </is>
      </c>
      <c r="N84" t="inlineStr">
        <is>
          <t>.</t>
        </is>
      </c>
      <c r="O84" t="inlineStr">
        <is>
          <t>.</t>
        </is>
      </c>
      <c r="P84" t="inlineStr">
        <is>
          <t>.</t>
        </is>
      </c>
      <c r="Q84" t="inlineStr">
        <is>
          <t>.</t>
        </is>
      </c>
      <c r="R84" t="inlineStr">
        <is>
          <t>.</t>
        </is>
      </c>
      <c r="S84" t="inlineStr">
        <is>
          <t>.</t>
        </is>
      </c>
      <c r="T84" t="inlineStr">
        <is>
          <t>.</t>
        </is>
      </c>
      <c r="U84" t="inlineStr">
        <is>
          <t>.</t>
        </is>
      </c>
      <c r="V84" t="n">
        <v>1126.7</v>
      </c>
      <c r="W84" t="n">
        <v>5469</v>
      </c>
      <c r="X84" t="n">
        <v>524</v>
      </c>
      <c r="Y84">
        <f>IF(ISNUMBER($W84),$W84,0)</f>
        <v/>
      </c>
      <c r="Z84">
        <f>IF(ISNUMBER(SEARCH("Adjustment",$C84)),"excluded",IF($H84="Behind the Meter","excluded",IF(NOT(OR($E84="Bundled",$E84="Energy")),"excluded",IF(OR($H84="Retail Power Marketer",$H84="Community Choice Aggregator",$E84="Energy"),"procurement",IF(OR($H84="Municipal",$H84="Cooperative",$H84="Federal",$H84="State",$H84="Political Subdivision"),"cost_service",IF($H84="Investor Owned",IF(AND(COUNTIF(Parameters!$A$4:$A$33,$G84)&gt;0,COUNTIF(Parameters!$B$4:$B$33,$B84)=0),"procurement","cost_service"),"unclassified"))))))</f>
        <v/>
      </c>
    </row>
    <row r="85">
      <c r="A85" t="n">
        <v>2024</v>
      </c>
      <c r="B85" t="n">
        <v>59579</v>
      </c>
      <c r="C85" t="inlineStr">
        <is>
          <t>Sunnova</t>
        </is>
      </c>
      <c r="D85" t="inlineStr">
        <is>
          <t>A</t>
        </is>
      </c>
      <c r="E85" t="inlineStr">
        <is>
          <t>Bundled</t>
        </is>
      </c>
      <c r="F85" t="inlineStr">
        <is>
          <t>O</t>
        </is>
      </c>
      <c r="G85" t="inlineStr">
        <is>
          <t>IL</t>
        </is>
      </c>
      <c r="H85" t="inlineStr">
        <is>
          <t>Behind the Meter</t>
        </is>
      </c>
      <c r="I85" t="inlineStr">
        <is>
          <t>MISO</t>
        </is>
      </c>
      <c r="J85" t="n">
        <v>3073.8</v>
      </c>
      <c r="K85" t="n">
        <v>14921</v>
      </c>
      <c r="L85" t="n">
        <v>1431</v>
      </c>
      <c r="M85" t="inlineStr">
        <is>
          <t>.</t>
        </is>
      </c>
      <c r="N85" t="inlineStr">
        <is>
          <t>.</t>
        </is>
      </c>
      <c r="O85" t="inlineStr">
        <is>
          <t>.</t>
        </is>
      </c>
      <c r="P85" t="inlineStr">
        <is>
          <t>.</t>
        </is>
      </c>
      <c r="Q85" t="inlineStr">
        <is>
          <t>.</t>
        </is>
      </c>
      <c r="R85" t="inlineStr">
        <is>
          <t>.</t>
        </is>
      </c>
      <c r="S85" t="inlineStr">
        <is>
          <t>.</t>
        </is>
      </c>
      <c r="T85" t="inlineStr">
        <is>
          <t>.</t>
        </is>
      </c>
      <c r="U85" t="inlineStr">
        <is>
          <t>.</t>
        </is>
      </c>
      <c r="V85" t="n">
        <v>3073.8</v>
      </c>
      <c r="W85" t="n">
        <v>14921</v>
      </c>
      <c r="X85" t="n">
        <v>1431</v>
      </c>
      <c r="Y85">
        <f>IF(ISNUMBER($W85),$W85,0)</f>
        <v/>
      </c>
      <c r="Z85">
        <f>IF(ISNUMBER(SEARCH("Adjustment",$C85)),"excluded",IF($H85="Behind the Meter","excluded",IF(NOT(OR($E85="Bundled",$E85="Energy")),"excluded",IF(OR($H85="Retail Power Marketer",$H85="Community Choice Aggregator",$E85="Energy"),"procurement",IF(OR($H85="Municipal",$H85="Cooperative",$H85="Federal",$H85="State",$H85="Political Subdivision"),"cost_service",IF($H85="Investor Owned",IF(AND(COUNTIF(Parameters!$A$4:$A$33,$G85)&gt;0,COUNTIF(Parameters!$B$4:$B$33,$B85)=0),"procurement","cost_service"),"unclassified"))))))</f>
        <v/>
      </c>
    </row>
    <row r="86">
      <c r="A86" t="n">
        <v>2024</v>
      </c>
      <c r="B86" t="n">
        <v>59579</v>
      </c>
      <c r="C86" t="inlineStr">
        <is>
          <t>Sunnova</t>
        </is>
      </c>
      <c r="D86" t="inlineStr">
        <is>
          <t>A</t>
        </is>
      </c>
      <c r="E86" t="inlineStr">
        <is>
          <t>Bundled</t>
        </is>
      </c>
      <c r="F86" t="inlineStr">
        <is>
          <t>O</t>
        </is>
      </c>
      <c r="G86" t="inlineStr">
        <is>
          <t>IL</t>
        </is>
      </c>
      <c r="H86" t="inlineStr">
        <is>
          <t>Behind the Meter</t>
        </is>
      </c>
      <c r="I86" t="inlineStr">
        <is>
          <t>GLHB</t>
        </is>
      </c>
      <c r="J86" t="n">
        <v>0</v>
      </c>
      <c r="K86" t="n">
        <v>0</v>
      </c>
      <c r="L86" t="n">
        <v>0</v>
      </c>
      <c r="M86" t="inlineStr">
        <is>
          <t>.</t>
        </is>
      </c>
      <c r="N86" t="inlineStr">
        <is>
          <t>.</t>
        </is>
      </c>
      <c r="O86" t="inlineStr">
        <is>
          <t>.</t>
        </is>
      </c>
      <c r="P86" t="inlineStr">
        <is>
          <t>.</t>
        </is>
      </c>
      <c r="Q86" t="inlineStr">
        <is>
          <t>.</t>
        </is>
      </c>
      <c r="R86" t="inlineStr">
        <is>
          <t>.</t>
        </is>
      </c>
      <c r="S86" t="inlineStr">
        <is>
          <t>.</t>
        </is>
      </c>
      <c r="T86" t="inlineStr">
        <is>
          <t>.</t>
        </is>
      </c>
      <c r="U86" t="inlineStr">
        <is>
          <t>.</t>
        </is>
      </c>
      <c r="V86" t="n">
        <v>0</v>
      </c>
      <c r="W86" t="n">
        <v>0</v>
      </c>
      <c r="X86" t="n">
        <v>0</v>
      </c>
      <c r="Y86">
        <f>IF(ISNUMBER($W86),$W86,0)</f>
        <v/>
      </c>
      <c r="Z86">
        <f>IF(ISNUMBER(SEARCH("Adjustment",$C86)),"excluded",IF($H86="Behind the Meter","excluded",IF(NOT(OR($E86="Bundled",$E86="Energy")),"excluded",IF(OR($H86="Retail Power Marketer",$H86="Community Choice Aggregator",$E86="Energy"),"procurement",IF(OR($H86="Municipal",$H86="Cooperative",$H86="Federal",$H86="State",$H86="Political Subdivision"),"cost_service",IF($H86="Investor Owned",IF(AND(COUNTIF(Parameters!$A$4:$A$33,$G86)&gt;0,COUNTIF(Parameters!$B$4:$B$33,$B86)=0),"procurement","cost_service"),"unclassified"))))))</f>
        <v/>
      </c>
    </row>
    <row r="87">
      <c r="A87" t="n">
        <v>2024</v>
      </c>
      <c r="B87" t="n">
        <v>59622</v>
      </c>
      <c r="C87" t="inlineStr">
        <is>
          <t>Ahana Renewables, LLC</t>
        </is>
      </c>
      <c r="D87" t="inlineStr">
        <is>
          <t>A</t>
        </is>
      </c>
      <c r="E87" t="inlineStr">
        <is>
          <t>Bundled</t>
        </is>
      </c>
      <c r="F87" t="inlineStr">
        <is>
          <t>O</t>
        </is>
      </c>
      <c r="G87" t="inlineStr">
        <is>
          <t>IL</t>
        </is>
      </c>
      <c r="H87" t="inlineStr">
        <is>
          <t>Behind the Meter</t>
        </is>
      </c>
      <c r="I87" t="inlineStr">
        <is>
          <t>PJM</t>
        </is>
      </c>
      <c r="J87" t="n">
        <v>0</v>
      </c>
      <c r="K87" t="n">
        <v>0</v>
      </c>
      <c r="L87" t="n">
        <v>0</v>
      </c>
      <c r="M87" t="n">
        <v>14.6</v>
      </c>
      <c r="N87" t="n">
        <v>118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14.6</v>
      </c>
      <c r="W87" t="n">
        <v>118</v>
      </c>
      <c r="X87" t="n">
        <v>1</v>
      </c>
      <c r="Y87">
        <f>IF(ISNUMBER($W87),$W87,0)</f>
        <v/>
      </c>
      <c r="Z87">
        <f>IF(ISNUMBER(SEARCH("Adjustment",$C87)),"excluded",IF($H87="Behind the Meter","excluded",IF(NOT(OR($E87="Bundled",$E87="Energy")),"excluded",IF(OR($H87="Retail Power Marketer",$H87="Community Choice Aggregator",$E87="Energy"),"procurement",IF(OR($H87="Municipal",$H87="Cooperative",$H87="Federal",$H87="State",$H87="Political Subdivision"),"cost_service",IF($H87="Investor Owned",IF(AND(COUNTIF(Parameters!$A$4:$A$33,$G87)&gt;0,COUNTIF(Parameters!$B$4:$B$33,$B87)=0),"procurement","cost_service"),"unclassified"))))))</f>
        <v/>
      </c>
    </row>
    <row r="88">
      <c r="A88" t="n">
        <v>2024</v>
      </c>
      <c r="B88" t="n">
        <v>59647</v>
      </c>
      <c r="C88" t="inlineStr">
        <is>
          <t>Sunrun Inc.</t>
        </is>
      </c>
      <c r="D88" t="inlineStr">
        <is>
          <t>A</t>
        </is>
      </c>
      <c r="E88" t="inlineStr">
        <is>
          <t>Bundled</t>
        </is>
      </c>
      <c r="F88" t="inlineStr">
        <is>
          <t>O</t>
        </is>
      </c>
      <c r="G88" t="inlineStr">
        <is>
          <t>IL</t>
        </is>
      </c>
      <c r="H88" t="inlineStr">
        <is>
          <t>Behind the Meter</t>
        </is>
      </c>
      <c r="I88" t="inlineStr">
        <is>
          <t>PJM</t>
        </is>
      </c>
      <c r="J88" t="n">
        <v>40319.7</v>
      </c>
      <c r="K88" t="n">
        <v>267794</v>
      </c>
      <c r="L88" t="n">
        <v>31729</v>
      </c>
      <c r="M88" t="inlineStr">
        <is>
          <t>.</t>
        </is>
      </c>
      <c r="N88" t="inlineStr">
        <is>
          <t>.</t>
        </is>
      </c>
      <c r="O88" t="inlineStr">
        <is>
          <t>.</t>
        </is>
      </c>
      <c r="P88" t="inlineStr">
        <is>
          <t>.</t>
        </is>
      </c>
      <c r="Q88" t="inlineStr">
        <is>
          <t>.</t>
        </is>
      </c>
      <c r="R88" t="inlineStr">
        <is>
          <t>.</t>
        </is>
      </c>
      <c r="S88" t="inlineStr">
        <is>
          <t>.</t>
        </is>
      </c>
      <c r="T88" t="inlineStr">
        <is>
          <t>.</t>
        </is>
      </c>
      <c r="U88" t="inlineStr">
        <is>
          <t>.</t>
        </is>
      </c>
      <c r="V88" t="n">
        <v>40319.7</v>
      </c>
      <c r="W88" t="n">
        <v>267794</v>
      </c>
      <c r="X88" t="n">
        <v>31729</v>
      </c>
      <c r="Y88">
        <f>IF(ISNUMBER($W88),$W88,0)</f>
        <v/>
      </c>
      <c r="Z88">
        <f>IF(ISNUMBER(SEARCH("Adjustment",$C88)),"excluded",IF($H88="Behind the Meter","excluded",IF(NOT(OR($E88="Bundled",$E88="Energy")),"excluded",IF(OR($H88="Retail Power Marketer",$H88="Community Choice Aggregator",$E88="Energy"),"procurement",IF(OR($H88="Municipal",$H88="Cooperative",$H88="Federal",$H88="State",$H88="Political Subdivision"),"cost_service",IF($H88="Investor Owned",IF(AND(COUNTIF(Parameters!$A$4:$A$33,$G88)&gt;0,COUNTIF(Parameters!$B$4:$B$33,$B88)=0),"procurement","cost_service"),"unclassified"))))))</f>
        <v/>
      </c>
    </row>
    <row r="89">
      <c r="A89" t="n">
        <v>2024</v>
      </c>
      <c r="B89" t="n">
        <v>59797</v>
      </c>
      <c r="C89" t="inlineStr">
        <is>
          <t>Park Power LLC</t>
        </is>
      </c>
      <c r="D89" t="inlineStr">
        <is>
          <t>B</t>
        </is>
      </c>
      <c r="E89" t="inlineStr">
        <is>
          <t>Energy</t>
        </is>
      </c>
      <c r="F89" t="inlineStr">
        <is>
          <t>O</t>
        </is>
      </c>
      <c r="G89" t="inlineStr">
        <is>
          <t>IL</t>
        </is>
      </c>
      <c r="H89" t="inlineStr">
        <is>
          <t>Retail Power Marketer</t>
        </is>
      </c>
      <c r="I89" t="inlineStr">
        <is>
          <t>PJM</t>
        </is>
      </c>
      <c r="J89" t="n">
        <v>512.1</v>
      </c>
      <c r="K89" t="n">
        <v>2910</v>
      </c>
      <c r="L89" t="n">
        <v>447</v>
      </c>
      <c r="M89" t="inlineStr">
        <is>
          <t>.</t>
        </is>
      </c>
      <c r="N89" t="inlineStr">
        <is>
          <t>.</t>
        </is>
      </c>
      <c r="O89" t="inlineStr">
        <is>
          <t>.</t>
        </is>
      </c>
      <c r="P89" t="inlineStr">
        <is>
          <t>.</t>
        </is>
      </c>
      <c r="Q89" t="inlineStr">
        <is>
          <t>.</t>
        </is>
      </c>
      <c r="R89" t="inlineStr">
        <is>
          <t>.</t>
        </is>
      </c>
      <c r="S89" t="inlineStr">
        <is>
          <t>.</t>
        </is>
      </c>
      <c r="T89" t="inlineStr">
        <is>
          <t>.</t>
        </is>
      </c>
      <c r="U89" t="inlineStr">
        <is>
          <t>.</t>
        </is>
      </c>
      <c r="V89" t="n">
        <v>512.1</v>
      </c>
      <c r="W89" t="n">
        <v>2910</v>
      </c>
      <c r="X89" t="n">
        <v>447</v>
      </c>
      <c r="Y89">
        <f>IF(ISNUMBER($W89),$W89,0)</f>
        <v/>
      </c>
      <c r="Z89">
        <f>IF(ISNUMBER(SEARCH("Adjustment",$C89)),"excluded",IF($H89="Behind the Meter","excluded",IF(NOT(OR($E89="Bundled",$E89="Energy")),"excluded",IF(OR($H89="Retail Power Marketer",$H89="Community Choice Aggregator",$E89="Energy"),"procurement",IF(OR($H89="Municipal",$H89="Cooperative",$H89="Federal",$H89="State",$H89="Political Subdivision"),"cost_service",IF($H89="Investor Owned",IF(AND(COUNTIF(Parameters!$A$4:$A$33,$G89)&gt;0,COUNTIF(Parameters!$B$4:$B$33,$B89)=0),"procurement","cost_service"),"unclassified"))))))</f>
        <v/>
      </c>
    </row>
    <row r="90">
      <c r="A90" t="n">
        <v>2024</v>
      </c>
      <c r="B90" t="n">
        <v>59799</v>
      </c>
      <c r="C90" t="inlineStr">
        <is>
          <t>American Power &amp; Gas</t>
        </is>
      </c>
      <c r="D90" t="inlineStr">
        <is>
          <t>B</t>
        </is>
      </c>
      <c r="E90" t="inlineStr">
        <is>
          <t>Energy</t>
        </is>
      </c>
      <c r="F90" t="inlineStr">
        <is>
          <t>O</t>
        </is>
      </c>
      <c r="G90" t="inlineStr">
        <is>
          <t>IL</t>
        </is>
      </c>
      <c r="H90" t="inlineStr">
        <is>
          <t>Retail Power Marketer</t>
        </is>
      </c>
      <c r="I90" t="inlineStr">
        <is>
          <t>PJM</t>
        </is>
      </c>
      <c r="J90" t="n">
        <v>998.9</v>
      </c>
      <c r="K90" t="n">
        <v>5973</v>
      </c>
      <c r="L90" t="n">
        <v>730</v>
      </c>
      <c r="M90" t="n">
        <v>2278.4</v>
      </c>
      <c r="N90" t="n">
        <v>16185</v>
      </c>
      <c r="O90" t="n">
        <v>767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3277.3</v>
      </c>
      <c r="W90" t="n">
        <v>22158</v>
      </c>
      <c r="X90" t="n">
        <v>1497</v>
      </c>
      <c r="Y90">
        <f>IF(ISNUMBER($W90),$W90,0)</f>
        <v/>
      </c>
      <c r="Z90">
        <f>IF(ISNUMBER(SEARCH("Adjustment",$C90)),"excluded",IF($H90="Behind the Meter","excluded",IF(NOT(OR($E90="Bundled",$E90="Energy")),"excluded",IF(OR($H90="Retail Power Marketer",$H90="Community Choice Aggregator",$E90="Energy"),"procurement",IF(OR($H90="Municipal",$H90="Cooperative",$H90="Federal",$H90="State",$H90="Political Subdivision"),"cost_service",IF($H90="Investor Owned",IF(AND(COUNTIF(Parameters!$A$4:$A$33,$G90)&gt;0,COUNTIF(Parameters!$B$4:$B$33,$B90)=0),"procurement","cost_service"),"unclassified"))))))</f>
        <v/>
      </c>
    </row>
    <row r="91">
      <c r="A91" t="n">
        <v>2024</v>
      </c>
      <c r="B91" t="n">
        <v>59807</v>
      </c>
      <c r="C91" t="inlineStr">
        <is>
          <t>Rushmore Energy, LLC</t>
        </is>
      </c>
      <c r="D91" t="inlineStr">
        <is>
          <t>B</t>
        </is>
      </c>
      <c r="E91" t="inlineStr">
        <is>
          <t>Energy</t>
        </is>
      </c>
      <c r="F91" t="inlineStr">
        <is>
          <t>O</t>
        </is>
      </c>
      <c r="G91" t="inlineStr">
        <is>
          <t>IL</t>
        </is>
      </c>
      <c r="H91" t="inlineStr">
        <is>
          <t>Retail Power Marketer</t>
        </is>
      </c>
      <c r="I91" t="inlineStr">
        <is>
          <t>PJM</t>
        </is>
      </c>
      <c r="J91" t="n">
        <v>3840.5</v>
      </c>
      <c r="K91" t="n">
        <v>35330</v>
      </c>
      <c r="L91" t="n">
        <v>6738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3840.5</v>
      </c>
      <c r="W91" t="n">
        <v>35330</v>
      </c>
      <c r="X91" t="n">
        <v>6738</v>
      </c>
      <c r="Y91">
        <f>IF(ISNUMBER($W91),$W91,0)</f>
        <v/>
      </c>
      <c r="Z91">
        <f>IF(ISNUMBER(SEARCH("Adjustment",$C91)),"excluded",IF($H91="Behind the Meter","excluded",IF(NOT(OR($E91="Bundled",$E91="Energy")),"excluded",IF(OR($H91="Retail Power Marketer",$H91="Community Choice Aggregator",$E91="Energy"),"procurement",IF(OR($H91="Municipal",$H91="Cooperative",$H91="Federal",$H91="State",$H91="Political Subdivision"),"cost_service",IF($H91="Investor Owned",IF(AND(COUNTIF(Parameters!$A$4:$A$33,$G91)&gt;0,COUNTIF(Parameters!$B$4:$B$33,$B91)=0),"procurement","cost_service"),"unclassified"))))))</f>
        <v/>
      </c>
    </row>
    <row r="92">
      <c r="A92" t="n">
        <v>2024</v>
      </c>
      <c r="B92" t="n">
        <v>59807</v>
      </c>
      <c r="C92" t="inlineStr">
        <is>
          <t>Rushmore Energy, LLC</t>
        </is>
      </c>
      <c r="D92" t="inlineStr">
        <is>
          <t>B</t>
        </is>
      </c>
      <c r="E92" t="inlineStr">
        <is>
          <t>Energy</t>
        </is>
      </c>
      <c r="F92" t="inlineStr">
        <is>
          <t>O</t>
        </is>
      </c>
      <c r="G92" t="inlineStr">
        <is>
          <t>IL</t>
        </is>
      </c>
      <c r="H92" t="inlineStr">
        <is>
          <t>Retail Power Marketer</t>
        </is>
      </c>
      <c r="I92" t="inlineStr">
        <is>
          <t>MISO</t>
        </is>
      </c>
      <c r="J92" t="n">
        <v>1578.7</v>
      </c>
      <c r="K92" t="n">
        <v>11742</v>
      </c>
      <c r="L92" t="n">
        <v>1473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1578.7</v>
      </c>
      <c r="W92" t="n">
        <v>11742</v>
      </c>
      <c r="X92" t="n">
        <v>1473</v>
      </c>
      <c r="Y92">
        <f>IF(ISNUMBER($W92),$W92,0)</f>
        <v/>
      </c>
      <c r="Z92">
        <f>IF(ISNUMBER(SEARCH("Adjustment",$C92)),"excluded",IF($H92="Behind the Meter","excluded",IF(NOT(OR($E92="Bundled",$E92="Energy")),"excluded",IF(OR($H92="Retail Power Marketer",$H92="Community Choice Aggregator",$E92="Energy"),"procurement",IF(OR($H92="Municipal",$H92="Cooperative",$H92="Federal",$H92="State",$H92="Political Subdivision"),"cost_service",IF($H92="Investor Owned",IF(AND(COUNTIF(Parameters!$A$4:$A$33,$G92)&gt;0,COUNTIF(Parameters!$B$4:$B$33,$B92)=0),"procurement","cost_service"),"unclassified"))))))</f>
        <v/>
      </c>
    </row>
    <row r="93">
      <c r="A93" t="n">
        <v>2024</v>
      </c>
      <c r="B93" t="n">
        <v>59808</v>
      </c>
      <c r="C93" t="inlineStr">
        <is>
          <t>MP2 Energy LLC</t>
        </is>
      </c>
      <c r="D93" t="inlineStr">
        <is>
          <t>B</t>
        </is>
      </c>
      <c r="E93" t="inlineStr">
        <is>
          <t>Energy</t>
        </is>
      </c>
      <c r="F93" t="inlineStr">
        <is>
          <t>O</t>
        </is>
      </c>
      <c r="G93" t="inlineStr">
        <is>
          <t>IL</t>
        </is>
      </c>
      <c r="H93" t="inlineStr">
        <is>
          <t>Retail Power Marketer</t>
        </is>
      </c>
      <c r="I93" t="inlineStr">
        <is>
          <t>PJM</t>
        </is>
      </c>
      <c r="J93" t="n">
        <v>0</v>
      </c>
      <c r="K93" t="n">
        <v>0</v>
      </c>
      <c r="L93" t="n">
        <v>0</v>
      </c>
      <c r="M93" t="n">
        <v>114503.6</v>
      </c>
      <c r="N93" t="n">
        <v>1955843</v>
      </c>
      <c r="O93" t="n">
        <v>1930</v>
      </c>
      <c r="P93" t="n">
        <v>23542.5</v>
      </c>
      <c r="Q93" t="n">
        <v>440112</v>
      </c>
      <c r="R93" t="n">
        <v>101</v>
      </c>
      <c r="S93" t="n">
        <v>4596.8</v>
      </c>
      <c r="T93" t="n">
        <v>108933</v>
      </c>
      <c r="U93" t="n">
        <v>1</v>
      </c>
      <c r="V93" t="n">
        <v>142642.9</v>
      </c>
      <c r="W93" t="n">
        <v>2504888</v>
      </c>
      <c r="X93" t="n">
        <v>2032</v>
      </c>
      <c r="Y93">
        <f>IF(ISNUMBER($W93),$W93,0)</f>
        <v/>
      </c>
      <c r="Z93">
        <f>IF(ISNUMBER(SEARCH("Adjustment",$C93)),"excluded",IF($H93="Behind the Meter","excluded",IF(NOT(OR($E93="Bundled",$E93="Energy")),"excluded",IF(OR($H93="Retail Power Marketer",$H93="Community Choice Aggregator",$E93="Energy"),"procurement",IF(OR($H93="Municipal",$H93="Cooperative",$H93="Federal",$H93="State",$H93="Political Subdivision"),"cost_service",IF($H93="Investor Owned",IF(AND(COUNTIF(Parameters!$A$4:$A$33,$G93)&gt;0,COUNTIF(Parameters!$B$4:$B$33,$B93)=0),"procurement","cost_service"),"unclassified"))))))</f>
        <v/>
      </c>
    </row>
    <row r="94">
      <c r="A94" t="n">
        <v>2024</v>
      </c>
      <c r="B94" t="n">
        <v>59809</v>
      </c>
      <c r="C94" t="inlineStr">
        <is>
          <t>Residents Energy, LLC</t>
        </is>
      </c>
      <c r="D94" t="inlineStr">
        <is>
          <t>B</t>
        </is>
      </c>
      <c r="E94" t="inlineStr">
        <is>
          <t>Energy</t>
        </is>
      </c>
      <c r="F94" t="inlineStr">
        <is>
          <t>O</t>
        </is>
      </c>
      <c r="G94" t="inlineStr">
        <is>
          <t>IL</t>
        </is>
      </c>
      <c r="H94" t="inlineStr">
        <is>
          <t>Retail Power Marketer</t>
        </is>
      </c>
      <c r="I94" t="inlineStr">
        <is>
          <t>PJM</t>
        </is>
      </c>
      <c r="J94" t="n">
        <v>30759.1</v>
      </c>
      <c r="K94" t="n">
        <v>214261</v>
      </c>
      <c r="L94" t="n">
        <v>31062</v>
      </c>
      <c r="M94" t="n">
        <v>2741.1</v>
      </c>
      <c r="N94" t="n">
        <v>24812</v>
      </c>
      <c r="O94" t="n">
        <v>703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33500.2</v>
      </c>
      <c r="W94" t="n">
        <v>239073</v>
      </c>
      <c r="X94" t="n">
        <v>31765</v>
      </c>
      <c r="Y94">
        <f>IF(ISNUMBER($W94),$W94,0)</f>
        <v/>
      </c>
      <c r="Z94">
        <f>IF(ISNUMBER(SEARCH("Adjustment",$C94)),"excluded",IF($H94="Behind the Meter","excluded",IF(NOT(OR($E94="Bundled",$E94="Energy")),"excluded",IF(OR($H94="Retail Power Marketer",$H94="Community Choice Aggregator",$E94="Energy"),"procurement",IF(OR($H94="Municipal",$H94="Cooperative",$H94="Federal",$H94="State",$H94="Political Subdivision"),"cost_service",IF($H94="Investor Owned",IF(AND(COUNTIF(Parameters!$A$4:$A$33,$G94)&gt;0,COUNTIF(Parameters!$B$4:$B$33,$B94)=0),"procurement","cost_service"),"unclassified"))))))</f>
        <v/>
      </c>
    </row>
    <row r="95">
      <c r="A95" t="n">
        <v>2024</v>
      </c>
      <c r="B95" t="n">
        <v>59810</v>
      </c>
      <c r="C95" t="inlineStr">
        <is>
          <t>Greenlight Energy Inc.</t>
        </is>
      </c>
      <c r="D95" t="inlineStr">
        <is>
          <t>B</t>
        </is>
      </c>
      <c r="E95" t="inlineStr">
        <is>
          <t>Energy</t>
        </is>
      </c>
      <c r="F95" t="inlineStr">
        <is>
          <t>O</t>
        </is>
      </c>
      <c r="G95" t="inlineStr">
        <is>
          <t>IL</t>
        </is>
      </c>
      <c r="H95" t="inlineStr">
        <is>
          <t>Retail Power Marketer</t>
        </is>
      </c>
      <c r="I95" t="inlineStr">
        <is>
          <t>MISO</t>
        </is>
      </c>
      <c r="J95" t="n">
        <v>239</v>
      </c>
      <c r="K95" t="n">
        <v>1776</v>
      </c>
      <c r="L95" t="n">
        <v>287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239</v>
      </c>
      <c r="W95" t="n">
        <v>1776</v>
      </c>
      <c r="X95" t="n">
        <v>287</v>
      </c>
      <c r="Y95">
        <f>IF(ISNUMBER($W95),$W95,0)</f>
        <v/>
      </c>
      <c r="Z95">
        <f>IF(ISNUMBER(SEARCH("Adjustment",$C95)),"excluded",IF($H95="Behind the Meter","excluded",IF(NOT(OR($E95="Bundled",$E95="Energy")),"excluded",IF(OR($H95="Retail Power Marketer",$H95="Community Choice Aggregator",$E95="Energy"),"procurement",IF(OR($H95="Municipal",$H95="Cooperative",$H95="Federal",$H95="State",$H95="Political Subdivision"),"cost_service",IF($H95="Investor Owned",IF(AND(COUNTIF(Parameters!$A$4:$A$33,$G95)&gt;0,COUNTIF(Parameters!$B$4:$B$33,$B95)=0),"procurement","cost_service"),"unclassified"))))))</f>
        <v/>
      </c>
    </row>
    <row r="96">
      <c r="A96" t="n">
        <v>2024</v>
      </c>
      <c r="B96" t="n">
        <v>59811</v>
      </c>
      <c r="C96" t="inlineStr">
        <is>
          <t>Santanna Energy Services</t>
        </is>
      </c>
      <c r="D96" t="inlineStr">
        <is>
          <t>B</t>
        </is>
      </c>
      <c r="E96" t="inlineStr">
        <is>
          <t>Energy</t>
        </is>
      </c>
      <c r="F96" t="inlineStr">
        <is>
          <t>O</t>
        </is>
      </c>
      <c r="G96" t="inlineStr">
        <is>
          <t>IL</t>
        </is>
      </c>
      <c r="H96" t="inlineStr">
        <is>
          <t>Retail Power Marketer</t>
        </is>
      </c>
      <c r="I96" t="inlineStr">
        <is>
          <t>PJM</t>
        </is>
      </c>
      <c r="J96" t="n">
        <v>4377.6</v>
      </c>
      <c r="K96" t="n">
        <v>44414</v>
      </c>
      <c r="L96" t="n">
        <v>5621</v>
      </c>
      <c r="M96" t="n">
        <v>1545.1</v>
      </c>
      <c r="N96" t="n">
        <v>17735</v>
      </c>
      <c r="O96" t="n">
        <v>473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5922.7</v>
      </c>
      <c r="W96" t="n">
        <v>62149</v>
      </c>
      <c r="X96" t="n">
        <v>6094</v>
      </c>
      <c r="Y96">
        <f>IF(ISNUMBER($W96),$W96,0)</f>
        <v/>
      </c>
      <c r="Z96">
        <f>IF(ISNUMBER(SEARCH("Adjustment",$C96)),"excluded",IF($H96="Behind the Meter","excluded",IF(NOT(OR($E96="Bundled",$E96="Energy")),"excluded",IF(OR($H96="Retail Power Marketer",$H96="Community Choice Aggregator",$E96="Energy"),"procurement",IF(OR($H96="Municipal",$H96="Cooperative",$H96="Federal",$H96="State",$H96="Political Subdivision"),"cost_service",IF($H96="Investor Owned",IF(AND(COUNTIF(Parameters!$A$4:$A$33,$G96)&gt;0,COUNTIF(Parameters!$B$4:$B$33,$B96)=0),"procurement","cost_service"),"unclassified"))))))</f>
        <v/>
      </c>
    </row>
    <row r="97">
      <c r="A97" t="n">
        <v>2024</v>
      </c>
      <c r="B97" t="n">
        <v>59848</v>
      </c>
      <c r="C97" t="inlineStr">
        <is>
          <t>ResCom Energy, LLC</t>
        </is>
      </c>
      <c r="D97" t="inlineStr">
        <is>
          <t>B</t>
        </is>
      </c>
      <c r="E97" t="inlineStr">
        <is>
          <t>Energy</t>
        </is>
      </c>
      <c r="F97" t="inlineStr">
        <is>
          <t>O</t>
        </is>
      </c>
      <c r="G97" t="inlineStr">
        <is>
          <t>IL</t>
        </is>
      </c>
      <c r="H97" t="inlineStr">
        <is>
          <t>Retail Power Marketer</t>
        </is>
      </c>
      <c r="I97" t="inlineStr">
        <is>
          <t>PJM</t>
        </is>
      </c>
      <c r="J97" t="n">
        <v>1025.5</v>
      </c>
      <c r="K97" t="n">
        <v>13140</v>
      </c>
      <c r="L97" t="n">
        <v>2833</v>
      </c>
      <c r="M97" t="inlineStr">
        <is>
          <t>.</t>
        </is>
      </c>
      <c r="N97" t="inlineStr">
        <is>
          <t>.</t>
        </is>
      </c>
      <c r="O97" t="inlineStr">
        <is>
          <t>.</t>
        </is>
      </c>
      <c r="P97" t="inlineStr">
        <is>
          <t>.</t>
        </is>
      </c>
      <c r="Q97" t="inlineStr">
        <is>
          <t>.</t>
        </is>
      </c>
      <c r="R97" t="inlineStr">
        <is>
          <t>.</t>
        </is>
      </c>
      <c r="S97" t="inlineStr">
        <is>
          <t>.</t>
        </is>
      </c>
      <c r="T97" t="inlineStr">
        <is>
          <t>.</t>
        </is>
      </c>
      <c r="U97" t="inlineStr">
        <is>
          <t>.</t>
        </is>
      </c>
      <c r="V97" t="n">
        <v>1025.5</v>
      </c>
      <c r="W97" t="n">
        <v>13140</v>
      </c>
      <c r="X97" t="n">
        <v>2833</v>
      </c>
      <c r="Y97">
        <f>IF(ISNUMBER($W97),$W97,0)</f>
        <v/>
      </c>
      <c r="Z97">
        <f>IF(ISNUMBER(SEARCH("Adjustment",$C97)),"excluded",IF($H97="Behind the Meter","excluded",IF(NOT(OR($E97="Bundled",$E97="Energy")),"excluded",IF(OR($H97="Retail Power Marketer",$H97="Community Choice Aggregator",$E97="Energy"),"procurement",IF(OR($H97="Municipal",$H97="Cooperative",$H97="Federal",$H97="State",$H97="Political Subdivision"),"cost_service",IF($H97="Investor Owned",IF(AND(COUNTIF(Parameters!$A$4:$A$33,$G97)&gt;0,COUNTIF(Parameters!$B$4:$B$33,$B97)=0),"procurement","cost_service"),"unclassified"))))))</f>
        <v/>
      </c>
    </row>
    <row r="98">
      <c r="A98" t="n">
        <v>2024</v>
      </c>
      <c r="B98" t="n">
        <v>59931</v>
      </c>
      <c r="C98" t="inlineStr">
        <is>
          <t>MidAmerican Energy Services, LLC</t>
        </is>
      </c>
      <c r="D98" t="inlineStr">
        <is>
          <t>B</t>
        </is>
      </c>
      <c r="E98" t="inlineStr">
        <is>
          <t>Energy</t>
        </is>
      </c>
      <c r="F98" t="inlineStr">
        <is>
          <t>O</t>
        </is>
      </c>
      <c r="G98" t="inlineStr">
        <is>
          <t>IL</t>
        </is>
      </c>
      <c r="H98" t="inlineStr">
        <is>
          <t>Retail Power Marketer</t>
        </is>
      </c>
      <c r="I98" t="inlineStr">
        <is>
          <t>PJM</t>
        </is>
      </c>
      <c r="J98" t="n">
        <v>3</v>
      </c>
      <c r="K98" t="n">
        <v>28</v>
      </c>
      <c r="L98" t="n">
        <v>1</v>
      </c>
      <c r="M98" t="n">
        <v>36675.8</v>
      </c>
      <c r="N98" t="n">
        <v>608671</v>
      </c>
      <c r="O98" t="n">
        <v>3156</v>
      </c>
      <c r="P98" t="n">
        <v>42147.7</v>
      </c>
      <c r="Q98" t="n">
        <v>785515</v>
      </c>
      <c r="R98" t="n">
        <v>87</v>
      </c>
      <c r="S98" t="n">
        <v>0</v>
      </c>
      <c r="T98" t="n">
        <v>0</v>
      </c>
      <c r="U98" t="n">
        <v>0</v>
      </c>
      <c r="V98" t="n">
        <v>78826.5</v>
      </c>
      <c r="W98" t="n">
        <v>1394214</v>
      </c>
      <c r="X98" t="n">
        <v>3244</v>
      </c>
      <c r="Y98">
        <f>IF(ISNUMBER($W98),$W98,0)</f>
        <v/>
      </c>
      <c r="Z98">
        <f>IF(ISNUMBER(SEARCH("Adjustment",$C98)),"excluded",IF($H98="Behind the Meter","excluded",IF(NOT(OR($E98="Bundled",$E98="Energy")),"excluded",IF(OR($H98="Retail Power Marketer",$H98="Community Choice Aggregator",$E98="Energy"),"procurement",IF(OR($H98="Municipal",$H98="Cooperative",$H98="Federal",$H98="State",$H98="Political Subdivision"),"cost_service",IF($H98="Investor Owned",IF(AND(COUNTIF(Parameters!$A$4:$A$33,$G98)&gt;0,COUNTIF(Parameters!$B$4:$B$33,$B98)=0),"procurement","cost_service"),"unclassified"))))))</f>
        <v/>
      </c>
    </row>
    <row r="99">
      <c r="A99" t="n">
        <v>2024</v>
      </c>
      <c r="B99" t="n">
        <v>59931</v>
      </c>
      <c r="C99" t="inlineStr">
        <is>
          <t>MidAmerican Energy Services, LLC</t>
        </is>
      </c>
      <c r="D99" t="inlineStr">
        <is>
          <t>B</t>
        </is>
      </c>
      <c r="E99" t="inlineStr">
        <is>
          <t>Energy</t>
        </is>
      </c>
      <c r="F99" t="inlineStr">
        <is>
          <t>O</t>
        </is>
      </c>
      <c r="G99" t="inlineStr">
        <is>
          <t>IL</t>
        </is>
      </c>
      <c r="H99" t="inlineStr">
        <is>
          <t>Retail Power Marketer</t>
        </is>
      </c>
      <c r="I99" t="inlineStr">
        <is>
          <t>MISO</t>
        </is>
      </c>
      <c r="J99" t="n">
        <v>0</v>
      </c>
      <c r="K99" t="n">
        <v>0</v>
      </c>
      <c r="L99" t="n">
        <v>0</v>
      </c>
      <c r="M99" t="n">
        <v>9296.9</v>
      </c>
      <c r="N99" t="n">
        <v>150970</v>
      </c>
      <c r="O99" t="n">
        <v>881</v>
      </c>
      <c r="P99" t="n">
        <v>21597.5</v>
      </c>
      <c r="Q99" t="n">
        <v>384302</v>
      </c>
      <c r="R99" t="n">
        <v>19</v>
      </c>
      <c r="S99" t="n">
        <v>0</v>
      </c>
      <c r="T99" t="n">
        <v>0</v>
      </c>
      <c r="U99" t="n">
        <v>0</v>
      </c>
      <c r="V99" t="n">
        <v>30894.4</v>
      </c>
      <c r="W99" t="n">
        <v>535272</v>
      </c>
      <c r="X99" t="n">
        <v>900</v>
      </c>
      <c r="Y99">
        <f>IF(ISNUMBER($W99),$W99,0)</f>
        <v/>
      </c>
      <c r="Z99">
        <f>IF(ISNUMBER(SEARCH("Adjustment",$C99)),"excluded",IF($H99="Behind the Meter","excluded",IF(NOT(OR($E99="Bundled",$E99="Energy")),"excluded",IF(OR($H99="Retail Power Marketer",$H99="Community Choice Aggregator",$E99="Energy"),"procurement",IF(OR($H99="Municipal",$H99="Cooperative",$H99="Federal",$H99="State",$H99="Political Subdivision"),"cost_service",IF($H99="Investor Owned",IF(AND(COUNTIF(Parameters!$A$4:$A$33,$G99)&gt;0,COUNTIF(Parameters!$B$4:$B$33,$B99)=0),"procurement","cost_service"),"unclassified"))))))</f>
        <v/>
      </c>
    </row>
    <row r="100">
      <c r="A100" t="n">
        <v>2024</v>
      </c>
      <c r="B100" t="n">
        <v>60218</v>
      </c>
      <c r="C100" t="inlineStr">
        <is>
          <t>MPower Energy NJ LLC</t>
        </is>
      </c>
      <c r="D100" t="inlineStr">
        <is>
          <t>B</t>
        </is>
      </c>
      <c r="E100" t="inlineStr">
        <is>
          <t>Energy</t>
        </is>
      </c>
      <c r="F100" t="inlineStr">
        <is>
          <t>O</t>
        </is>
      </c>
      <c r="G100" t="inlineStr">
        <is>
          <t>IL</t>
        </is>
      </c>
      <c r="H100" t="inlineStr">
        <is>
          <t>Retail Power Marketer</t>
        </is>
      </c>
      <c r="I100" t="inlineStr">
        <is>
          <t>PJM</t>
        </is>
      </c>
      <c r="J100" t="n">
        <v>1504.3</v>
      </c>
      <c r="K100" t="n">
        <v>8101</v>
      </c>
      <c r="L100" t="n">
        <v>1951</v>
      </c>
      <c r="M100" t="n">
        <v>19.8</v>
      </c>
      <c r="N100" t="n">
        <v>140</v>
      </c>
      <c r="O100" t="n">
        <v>6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1524.1</v>
      </c>
      <c r="W100" t="n">
        <v>8241</v>
      </c>
      <c r="X100" t="n">
        <v>1957</v>
      </c>
      <c r="Y100">
        <f>IF(ISNUMBER($W100),$W100,0)</f>
        <v/>
      </c>
      <c r="Z100">
        <f>IF(ISNUMBER(SEARCH("Adjustment",$C100)),"excluded",IF($H100="Behind the Meter","excluded",IF(NOT(OR($E100="Bundled",$E100="Energy")),"excluded",IF(OR($H100="Retail Power Marketer",$H100="Community Choice Aggregator",$E100="Energy"),"procurement",IF(OR($H100="Municipal",$H100="Cooperative",$H100="Federal",$H100="State",$H100="Political Subdivision"),"cost_service",IF($H100="Investor Owned",IF(AND(COUNTIF(Parameters!$A$4:$A$33,$G100)&gt;0,COUNTIF(Parameters!$B$4:$B$33,$B100)=0),"procurement","cost_service"),"unclassified"))))))</f>
        <v/>
      </c>
    </row>
    <row r="101">
      <c r="A101" t="n">
        <v>2024</v>
      </c>
      <c r="B101" t="n">
        <v>60583</v>
      </c>
      <c r="C101" t="inlineStr">
        <is>
          <t>Atlantic Energy LLC</t>
        </is>
      </c>
      <c r="D101" t="inlineStr">
        <is>
          <t>B</t>
        </is>
      </c>
      <c r="E101" t="inlineStr">
        <is>
          <t>Energy</t>
        </is>
      </c>
      <c r="F101" t="inlineStr">
        <is>
          <t>O</t>
        </is>
      </c>
      <c r="G101" t="inlineStr">
        <is>
          <t>IL</t>
        </is>
      </c>
      <c r="H101" t="inlineStr">
        <is>
          <t>Retail Power Marketer</t>
        </is>
      </c>
      <c r="I101" t="inlineStr">
        <is>
          <t>PJM</t>
        </is>
      </c>
      <c r="J101" t="n">
        <v>618.7</v>
      </c>
      <c r="K101" t="n">
        <v>5909</v>
      </c>
      <c r="L101" t="n">
        <v>865</v>
      </c>
      <c r="M101" t="n">
        <v>1.7</v>
      </c>
      <c r="N101" t="n">
        <v>13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620.4</v>
      </c>
      <c r="W101" t="n">
        <v>5922</v>
      </c>
      <c r="X101" t="n">
        <v>867</v>
      </c>
      <c r="Y101">
        <f>IF(ISNUMBER($W101),$W101,0)</f>
        <v/>
      </c>
      <c r="Z101">
        <f>IF(ISNUMBER(SEARCH("Adjustment",$C101)),"excluded",IF($H101="Behind the Meter","excluded",IF(NOT(OR($E101="Bundled",$E101="Energy")),"excluded",IF(OR($H101="Retail Power Marketer",$H101="Community Choice Aggregator",$E101="Energy"),"procurement",IF(OR($H101="Municipal",$H101="Cooperative",$H101="Federal",$H101="State",$H101="Political Subdivision"),"cost_service",IF($H101="Investor Owned",IF(AND(COUNTIF(Parameters!$A$4:$A$33,$G101)&gt;0,COUNTIF(Parameters!$B$4:$B$33,$B101)=0),"procurement","cost_service"),"unclassified"))))))</f>
        <v/>
      </c>
    </row>
    <row r="102">
      <c r="A102" t="n">
        <v>2024</v>
      </c>
      <c r="B102" t="n">
        <v>60696</v>
      </c>
      <c r="C102" t="inlineStr">
        <is>
          <t>Vista Energy Marketing, L.P.</t>
        </is>
      </c>
      <c r="D102" t="inlineStr">
        <is>
          <t>B</t>
        </is>
      </c>
      <c r="E102" t="inlineStr">
        <is>
          <t>Energy</t>
        </is>
      </c>
      <c r="F102" t="inlineStr">
        <is>
          <t>O</t>
        </is>
      </c>
      <c r="G102" t="inlineStr">
        <is>
          <t>IL</t>
        </is>
      </c>
      <c r="H102" t="inlineStr">
        <is>
          <t>Retail Power Marketer</t>
        </is>
      </c>
      <c r="I102" t="inlineStr">
        <is>
          <t>PJM</t>
        </is>
      </c>
      <c r="J102" t="n">
        <v>5620.6</v>
      </c>
      <c r="K102" t="n">
        <v>38186</v>
      </c>
      <c r="L102" t="n">
        <v>7059</v>
      </c>
      <c r="M102" t="n">
        <v>55.8</v>
      </c>
      <c r="N102" t="n">
        <v>504</v>
      </c>
      <c r="O102" t="n">
        <v>11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5676.4</v>
      </c>
      <c r="W102" t="n">
        <v>38690</v>
      </c>
      <c r="X102" t="n">
        <v>7070</v>
      </c>
      <c r="Y102">
        <f>IF(ISNUMBER($W102),$W102,0)</f>
        <v/>
      </c>
      <c r="Z102">
        <f>IF(ISNUMBER(SEARCH("Adjustment",$C102)),"excluded",IF($H102="Behind the Meter","excluded",IF(NOT(OR($E102="Bundled",$E102="Energy")),"excluded",IF(OR($H102="Retail Power Marketer",$H102="Community Choice Aggregator",$E102="Energy"),"procurement",IF(OR($H102="Municipal",$H102="Cooperative",$H102="Federal",$H102="State",$H102="Political Subdivision"),"cost_service",IF($H102="Investor Owned",IF(AND(COUNTIF(Parameters!$A$4:$A$33,$G102)&gt;0,COUNTIF(Parameters!$B$4:$B$33,$B102)=0),"procurement","cost_service"),"unclassified"))))))</f>
        <v/>
      </c>
    </row>
    <row r="103">
      <c r="A103" t="n">
        <v>2024</v>
      </c>
      <c r="B103" t="n">
        <v>60696</v>
      </c>
      <c r="C103" t="inlineStr">
        <is>
          <t>Vista Energy Marketing, L.P.</t>
        </is>
      </c>
      <c r="D103" t="inlineStr">
        <is>
          <t>B</t>
        </is>
      </c>
      <c r="E103" t="inlineStr">
        <is>
          <t>Energy</t>
        </is>
      </c>
      <c r="F103" t="inlineStr">
        <is>
          <t>O</t>
        </is>
      </c>
      <c r="G103" t="inlineStr">
        <is>
          <t>IL</t>
        </is>
      </c>
      <c r="H103" t="inlineStr">
        <is>
          <t>Retail Power Marketer</t>
        </is>
      </c>
      <c r="I103" t="inlineStr">
        <is>
          <t>MISO</t>
        </is>
      </c>
      <c r="J103" t="n">
        <v>8703.200000000001</v>
      </c>
      <c r="K103" t="n">
        <v>68974</v>
      </c>
      <c r="L103" t="n">
        <v>8227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8703.200000000001</v>
      </c>
      <c r="W103" t="n">
        <v>68974</v>
      </c>
      <c r="X103" t="n">
        <v>8227</v>
      </c>
      <c r="Y103">
        <f>IF(ISNUMBER($W103),$W103,0)</f>
        <v/>
      </c>
      <c r="Z103">
        <f>IF(ISNUMBER(SEARCH("Adjustment",$C103)),"excluded",IF($H103="Behind the Meter","excluded",IF(NOT(OR($E103="Bundled",$E103="Energy")),"excluded",IF(OR($H103="Retail Power Marketer",$H103="Community Choice Aggregator",$E103="Energy"),"procurement",IF(OR($H103="Municipal",$H103="Cooperative",$H103="Federal",$H103="State",$H103="Political Subdivision"),"cost_service",IF($H103="Investor Owned",IF(AND(COUNTIF(Parameters!$A$4:$A$33,$G103)&gt;0,COUNTIF(Parameters!$B$4:$B$33,$B103)=0),"procurement","cost_service"),"unclassified"))))))</f>
        <v/>
      </c>
    </row>
    <row r="104">
      <c r="A104" t="n">
        <v>2024</v>
      </c>
      <c r="B104" t="n">
        <v>61092</v>
      </c>
      <c r="C104" t="inlineStr">
        <is>
          <t>Stream Energy Illinois, LLC</t>
        </is>
      </c>
      <c r="D104" t="inlineStr">
        <is>
          <t>B</t>
        </is>
      </c>
      <c r="E104" t="inlineStr">
        <is>
          <t>Energy</t>
        </is>
      </c>
      <c r="F104" t="inlineStr">
        <is>
          <t>O</t>
        </is>
      </c>
      <c r="G104" t="inlineStr">
        <is>
          <t>IL</t>
        </is>
      </c>
      <c r="H104" t="inlineStr">
        <is>
          <t>Retail Power Marketer</t>
        </is>
      </c>
      <c r="I104" t="inlineStr">
        <is>
          <t>PJM</t>
        </is>
      </c>
      <c r="J104" t="n">
        <v>2482</v>
      </c>
      <c r="K104" t="n">
        <v>20042</v>
      </c>
      <c r="L104" t="n">
        <v>2989</v>
      </c>
      <c r="M104" t="n">
        <v>531</v>
      </c>
      <c r="N104" t="n">
        <v>4795</v>
      </c>
      <c r="O104" t="n">
        <v>163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3013</v>
      </c>
      <c r="W104" t="n">
        <v>24837</v>
      </c>
      <c r="X104" t="n">
        <v>3152</v>
      </c>
      <c r="Y104">
        <f>IF(ISNUMBER($W104),$W104,0)</f>
        <v/>
      </c>
      <c r="Z104">
        <f>IF(ISNUMBER(SEARCH("Adjustment",$C104)),"excluded",IF($H104="Behind the Meter","excluded",IF(NOT(OR($E104="Bundled",$E104="Energy")),"excluded",IF(OR($H104="Retail Power Marketer",$H104="Community Choice Aggregator",$E104="Energy"),"procurement",IF(OR($H104="Municipal",$H104="Cooperative",$H104="Federal",$H104="State",$H104="Political Subdivision"),"cost_service",IF($H104="Investor Owned",IF(AND(COUNTIF(Parameters!$A$4:$A$33,$G104)&gt;0,COUNTIF(Parameters!$B$4:$B$33,$B104)=0),"procurement","cost_service"),"unclassified"))))))</f>
        <v/>
      </c>
    </row>
    <row r="105">
      <c r="A105" t="n">
        <v>2024</v>
      </c>
      <c r="B105" t="n">
        <v>61131</v>
      </c>
      <c r="C105" t="inlineStr">
        <is>
          <t>Freepoint Energy Solutions LLC</t>
        </is>
      </c>
      <c r="D105" t="inlineStr">
        <is>
          <t>B</t>
        </is>
      </c>
      <c r="E105" t="inlineStr">
        <is>
          <t>Energy</t>
        </is>
      </c>
      <c r="F105" t="inlineStr">
        <is>
          <t>O</t>
        </is>
      </c>
      <c r="G105" t="inlineStr">
        <is>
          <t>IL</t>
        </is>
      </c>
      <c r="H105" t="inlineStr">
        <is>
          <t>Retail Power Marketer</t>
        </is>
      </c>
      <c r="I105" t="inlineStr">
        <is>
          <t>PJM</t>
        </is>
      </c>
      <c r="J105" t="n">
        <v>0</v>
      </c>
      <c r="K105" t="n">
        <v>0</v>
      </c>
      <c r="L105" t="n">
        <v>0</v>
      </c>
      <c r="M105" t="n">
        <v>40258</v>
      </c>
      <c r="N105" t="n">
        <v>591065</v>
      </c>
      <c r="O105" t="n">
        <v>1317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40258</v>
      </c>
      <c r="W105" t="n">
        <v>591065</v>
      </c>
      <c r="X105" t="n">
        <v>1317</v>
      </c>
      <c r="Y105">
        <f>IF(ISNUMBER($W105),$W105,0)</f>
        <v/>
      </c>
      <c r="Z105">
        <f>IF(ISNUMBER(SEARCH("Adjustment",$C105)),"excluded",IF($H105="Behind the Meter","excluded",IF(NOT(OR($E105="Bundled",$E105="Energy")),"excluded",IF(OR($H105="Retail Power Marketer",$H105="Community Choice Aggregator",$E105="Energy"),"procurement",IF(OR($H105="Municipal",$H105="Cooperative",$H105="Federal",$H105="State",$H105="Political Subdivision"),"cost_service",IF($H105="Investor Owned",IF(AND(COUNTIF(Parameters!$A$4:$A$33,$G105)&gt;0,COUNTIF(Parameters!$B$4:$B$33,$B105)=0),"procurement","cost_service"),"unclassified"))))))</f>
        <v/>
      </c>
    </row>
    <row r="106">
      <c r="A106" t="n">
        <v>2024</v>
      </c>
      <c r="B106" t="n">
        <v>61367</v>
      </c>
      <c r="C106" t="inlineStr">
        <is>
          <t>South Bay Energy Corp.</t>
        </is>
      </c>
      <c r="D106" t="inlineStr">
        <is>
          <t>B</t>
        </is>
      </c>
      <c r="E106" t="inlineStr">
        <is>
          <t>Energy</t>
        </is>
      </c>
      <c r="F106" t="inlineStr">
        <is>
          <t>O</t>
        </is>
      </c>
      <c r="G106" t="inlineStr">
        <is>
          <t>IL</t>
        </is>
      </c>
      <c r="H106" t="inlineStr">
        <is>
          <t>Retail Power Marketer</t>
        </is>
      </c>
      <c r="I106" t="inlineStr">
        <is>
          <t>PJM</t>
        </is>
      </c>
      <c r="J106" t="n">
        <v>76</v>
      </c>
      <c r="K106" t="n">
        <v>592</v>
      </c>
      <c r="L106" t="n">
        <v>107</v>
      </c>
      <c r="M106" t="n">
        <v>232</v>
      </c>
      <c r="N106" t="n">
        <v>1886</v>
      </c>
      <c r="O106" t="n">
        <v>78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308</v>
      </c>
      <c r="W106" t="n">
        <v>2478</v>
      </c>
      <c r="X106" t="n">
        <v>185</v>
      </c>
      <c r="Y106">
        <f>IF(ISNUMBER($W106),$W106,0)</f>
        <v/>
      </c>
      <c r="Z106">
        <f>IF(ISNUMBER(SEARCH("Adjustment",$C106)),"excluded",IF($H106="Behind the Meter","excluded",IF(NOT(OR($E106="Bundled",$E106="Energy")),"excluded",IF(OR($H106="Retail Power Marketer",$H106="Community Choice Aggregator",$E106="Energy"),"procurement",IF(OR($H106="Municipal",$H106="Cooperative",$H106="Federal",$H106="State",$H106="Political Subdivision"),"cost_service",IF($H106="Investor Owned",IF(AND(COUNTIF(Parameters!$A$4:$A$33,$G106)&gt;0,COUNTIF(Parameters!$B$4:$B$33,$B106)=0),"procurement","cost_service"),"unclassified"))))))</f>
        <v/>
      </c>
    </row>
    <row r="107">
      <c r="A107" t="n">
        <v>2024</v>
      </c>
      <c r="B107" t="n">
        <v>61922</v>
      </c>
      <c r="C107" t="inlineStr">
        <is>
          <t>Pure Energy USA, LLC</t>
        </is>
      </c>
      <c r="D107" t="inlineStr">
        <is>
          <t>B</t>
        </is>
      </c>
      <c r="E107" t="inlineStr">
        <is>
          <t>Energy</t>
        </is>
      </c>
      <c r="F107" t="inlineStr">
        <is>
          <t>O</t>
        </is>
      </c>
      <c r="G107" t="inlineStr">
        <is>
          <t>IL</t>
        </is>
      </c>
      <c r="H107" t="inlineStr">
        <is>
          <t>Retail Power Marketer</t>
        </is>
      </c>
      <c r="I107" t="inlineStr">
        <is>
          <t>PJM</t>
        </is>
      </c>
      <c r="J107" t="n">
        <v>1633.9</v>
      </c>
      <c r="K107" t="n">
        <v>5993</v>
      </c>
      <c r="L107" t="n">
        <v>1138</v>
      </c>
      <c r="M107" t="n">
        <v>942.3</v>
      </c>
      <c r="N107" t="n">
        <v>3993</v>
      </c>
      <c r="O107" t="n">
        <v>278</v>
      </c>
      <c r="P107" t="inlineStr">
        <is>
          <t>.</t>
        </is>
      </c>
      <c r="Q107" t="inlineStr">
        <is>
          <t>.</t>
        </is>
      </c>
      <c r="R107" t="inlineStr">
        <is>
          <t>.</t>
        </is>
      </c>
      <c r="S107" t="inlineStr">
        <is>
          <t>.</t>
        </is>
      </c>
      <c r="T107" t="inlineStr">
        <is>
          <t>.</t>
        </is>
      </c>
      <c r="U107" t="inlineStr">
        <is>
          <t>.</t>
        </is>
      </c>
      <c r="V107" t="n">
        <v>2576.2</v>
      </c>
      <c r="W107" t="n">
        <v>9986</v>
      </c>
      <c r="X107" t="n">
        <v>1416</v>
      </c>
      <c r="Y107">
        <f>IF(ISNUMBER($W107),$W107,0)</f>
        <v/>
      </c>
      <c r="Z107">
        <f>IF(ISNUMBER(SEARCH("Adjustment",$C107)),"excluded",IF($H107="Behind the Meter","excluded",IF(NOT(OR($E107="Bundled",$E107="Energy")),"excluded",IF(OR($H107="Retail Power Marketer",$H107="Community Choice Aggregator",$E107="Energy"),"procurement",IF(OR($H107="Municipal",$H107="Cooperative",$H107="Federal",$H107="State",$H107="Political Subdivision"),"cost_service",IF($H107="Investor Owned",IF(AND(COUNTIF(Parameters!$A$4:$A$33,$G107)&gt;0,COUNTIF(Parameters!$B$4:$B$33,$B107)=0),"procurement","cost_service"),"unclassified"))))))</f>
        <v/>
      </c>
    </row>
    <row r="108">
      <c r="A108" t="n">
        <v>2024</v>
      </c>
      <c r="B108" t="n">
        <v>62094</v>
      </c>
      <c r="C108" t="inlineStr">
        <is>
          <t>SFE Energy Illinois, Inc.</t>
        </is>
      </c>
      <c r="D108" t="inlineStr">
        <is>
          <t>B</t>
        </is>
      </c>
      <c r="E108" t="inlineStr">
        <is>
          <t>Energy</t>
        </is>
      </c>
      <c r="F108" t="inlineStr">
        <is>
          <t>O</t>
        </is>
      </c>
      <c r="G108" t="inlineStr">
        <is>
          <t>IL</t>
        </is>
      </c>
      <c r="H108" t="inlineStr">
        <is>
          <t>Retail Power Marketer</t>
        </is>
      </c>
      <c r="I108" t="inlineStr">
        <is>
          <t>MISO</t>
        </is>
      </c>
      <c r="J108" t="n">
        <v>323.9</v>
      </c>
      <c r="K108" t="n">
        <v>3170</v>
      </c>
      <c r="L108" t="n">
        <v>385</v>
      </c>
      <c r="M108" t="n">
        <v>7527.5</v>
      </c>
      <c r="N108" t="n">
        <v>73761</v>
      </c>
      <c r="O108" t="n">
        <v>1232</v>
      </c>
      <c r="P108" t="inlineStr">
        <is>
          <t>.</t>
        </is>
      </c>
      <c r="Q108" t="inlineStr">
        <is>
          <t>.</t>
        </is>
      </c>
      <c r="R108" t="inlineStr">
        <is>
          <t>.</t>
        </is>
      </c>
      <c r="S108" t="inlineStr">
        <is>
          <t>.</t>
        </is>
      </c>
      <c r="T108" t="inlineStr">
        <is>
          <t>.</t>
        </is>
      </c>
      <c r="U108" t="inlineStr">
        <is>
          <t>.</t>
        </is>
      </c>
      <c r="V108" t="n">
        <v>7851.4</v>
      </c>
      <c r="W108" t="n">
        <v>76931</v>
      </c>
      <c r="X108" t="n">
        <v>1617</v>
      </c>
      <c r="Y108">
        <f>IF(ISNUMBER($W108),$W108,0)</f>
        <v/>
      </c>
      <c r="Z108">
        <f>IF(ISNUMBER(SEARCH("Adjustment",$C108)),"excluded",IF($H108="Behind the Meter","excluded",IF(NOT(OR($E108="Bundled",$E108="Energy")),"excluded",IF(OR($H108="Retail Power Marketer",$H108="Community Choice Aggregator",$E108="Energy"),"procurement",IF(OR($H108="Municipal",$H108="Cooperative",$H108="Federal",$H108="State",$H108="Political Subdivision"),"cost_service",IF($H108="Investor Owned",IF(AND(COUNTIF(Parameters!$A$4:$A$33,$G108)&gt;0,COUNTIF(Parameters!$B$4:$B$33,$B108)=0),"procurement","cost_service"),"unclassified"))))))</f>
        <v/>
      </c>
    </row>
    <row r="109">
      <c r="A109" t="n">
        <v>2024</v>
      </c>
      <c r="B109" t="n">
        <v>62790</v>
      </c>
      <c r="C109" t="inlineStr">
        <is>
          <t>Summer Energy Midwest, LLC</t>
        </is>
      </c>
      <c r="D109" t="inlineStr">
        <is>
          <t>B</t>
        </is>
      </c>
      <c r="E109" t="inlineStr">
        <is>
          <t>Energy</t>
        </is>
      </c>
      <c r="F109" t="inlineStr">
        <is>
          <t>O</t>
        </is>
      </c>
      <c r="G109" t="inlineStr">
        <is>
          <t>IL</t>
        </is>
      </c>
      <c r="H109" t="inlineStr">
        <is>
          <t>Retail Power Marketer</t>
        </is>
      </c>
      <c r="I109" t="inlineStr">
        <is>
          <t>PJM</t>
        </is>
      </c>
      <c r="J109" t="n">
        <v>0</v>
      </c>
      <c r="K109" t="n">
        <v>0</v>
      </c>
      <c r="L109" t="n">
        <v>0</v>
      </c>
      <c r="M109" t="n">
        <v>9913.200000000001</v>
      </c>
      <c r="N109" t="n">
        <v>147768</v>
      </c>
      <c r="O109" t="n">
        <v>576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9913.200000000001</v>
      </c>
      <c r="W109" t="n">
        <v>147768</v>
      </c>
      <c r="X109" t="n">
        <v>576</v>
      </c>
      <c r="Y109">
        <f>IF(ISNUMBER($W109),$W109,0)</f>
        <v/>
      </c>
      <c r="Z109">
        <f>IF(ISNUMBER(SEARCH("Adjustment",$C109)),"excluded",IF($H109="Behind the Meter","excluded",IF(NOT(OR($E109="Bundled",$E109="Energy")),"excluded",IF(OR($H109="Retail Power Marketer",$H109="Community Choice Aggregator",$E109="Energy"),"procurement",IF(OR($H109="Municipal",$H109="Cooperative",$H109="Federal",$H109="State",$H109="Political Subdivision"),"cost_service",IF($H109="Investor Owned",IF(AND(COUNTIF(Parameters!$A$4:$A$33,$G109)&gt;0,COUNTIF(Parameters!$B$4:$B$33,$B109)=0),"procurement","cost_service"),"unclassified"))))))</f>
        <v/>
      </c>
    </row>
    <row r="110">
      <c r="A110" t="n">
        <v>2024</v>
      </c>
      <c r="B110" t="n">
        <v>63008</v>
      </c>
      <c r="C110" t="inlineStr">
        <is>
          <t>Agressive Energy LLC</t>
        </is>
      </c>
      <c r="D110" t="inlineStr">
        <is>
          <t>B</t>
        </is>
      </c>
      <c r="E110" t="inlineStr">
        <is>
          <t>Energy</t>
        </is>
      </c>
      <c r="F110" t="inlineStr">
        <is>
          <t>O</t>
        </is>
      </c>
      <c r="G110" t="inlineStr">
        <is>
          <t>IL</t>
        </is>
      </c>
      <c r="H110" t="inlineStr">
        <is>
          <t>Retail Power Marketer</t>
        </is>
      </c>
      <c r="I110" t="inlineStr">
        <is>
          <t>PJM</t>
        </is>
      </c>
      <c r="J110" t="n">
        <v>0</v>
      </c>
      <c r="K110" t="n">
        <v>0</v>
      </c>
      <c r="L110" t="n">
        <v>0</v>
      </c>
      <c r="M110" t="n">
        <v>33232.4</v>
      </c>
      <c r="N110" t="n">
        <v>491687</v>
      </c>
      <c r="O110" t="n">
        <v>653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33232.4</v>
      </c>
      <c r="W110" t="n">
        <v>491687</v>
      </c>
      <c r="X110" t="n">
        <v>653</v>
      </c>
      <c r="Y110">
        <f>IF(ISNUMBER($W110),$W110,0)</f>
        <v/>
      </c>
      <c r="Z110">
        <f>IF(ISNUMBER(SEARCH("Adjustment",$C110)),"excluded",IF($H110="Behind the Meter","excluded",IF(NOT(OR($E110="Bundled",$E110="Energy")),"excluded",IF(OR($H110="Retail Power Marketer",$H110="Community Choice Aggregator",$E110="Energy"),"procurement",IF(OR($H110="Municipal",$H110="Cooperative",$H110="Federal",$H110="State",$H110="Political Subdivision"),"cost_service",IF($H110="Investor Owned",IF(AND(COUNTIF(Parameters!$A$4:$A$33,$G110)&gt;0,COUNTIF(Parameters!$B$4:$B$33,$B110)=0),"procurement","cost_service"),"unclassified"))))))</f>
        <v/>
      </c>
    </row>
    <row r="111">
      <c r="A111" t="n">
        <v>2024</v>
      </c>
      <c r="B111" t="n">
        <v>63356</v>
      </c>
      <c r="C111" t="inlineStr">
        <is>
          <t>SmartestEnergy US LLC</t>
        </is>
      </c>
      <c r="D111" t="inlineStr">
        <is>
          <t>B</t>
        </is>
      </c>
      <c r="E111" t="inlineStr">
        <is>
          <t>Energy</t>
        </is>
      </c>
      <c r="F111" t="inlineStr">
        <is>
          <t>O</t>
        </is>
      </c>
      <c r="G111" t="inlineStr">
        <is>
          <t>IL</t>
        </is>
      </c>
      <c r="H111" t="inlineStr">
        <is>
          <t>Retail Power Marketer</t>
        </is>
      </c>
      <c r="I111" t="inlineStr">
        <is>
          <t>PJM</t>
        </is>
      </c>
      <c r="J111" t="n">
        <v>0</v>
      </c>
      <c r="K111" t="n">
        <v>0</v>
      </c>
      <c r="L111" t="n">
        <v>0</v>
      </c>
      <c r="M111" t="n">
        <v>19699</v>
      </c>
      <c r="N111" t="n">
        <v>296966</v>
      </c>
      <c r="O111" t="n">
        <v>257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19699</v>
      </c>
      <c r="W111" t="n">
        <v>296966</v>
      </c>
      <c r="X111" t="n">
        <v>257</v>
      </c>
      <c r="Y111">
        <f>IF(ISNUMBER($W111),$W111,0)</f>
        <v/>
      </c>
      <c r="Z111">
        <f>IF(ISNUMBER(SEARCH("Adjustment",$C111)),"excluded",IF($H111="Behind the Meter","excluded",IF(NOT(OR($E111="Bundled",$E111="Energy")),"excluded",IF(OR($H111="Retail Power Marketer",$H111="Community Choice Aggregator",$E111="Energy"),"procurement",IF(OR($H111="Municipal",$H111="Cooperative",$H111="Federal",$H111="State",$H111="Political Subdivision"),"cost_service",IF($H111="Investor Owned",IF(AND(COUNTIF(Parameters!$A$4:$A$33,$G111)&gt;0,COUNTIF(Parameters!$B$4:$B$33,$B111)=0),"procurement","cost_service"),"unclassified"))))))</f>
        <v/>
      </c>
    </row>
    <row r="112">
      <c r="A112" t="n">
        <v>2024</v>
      </c>
      <c r="B112" t="n">
        <v>63695</v>
      </c>
      <c r="C112" t="inlineStr">
        <is>
          <t>RPA Energy, Inc.</t>
        </is>
      </c>
      <c r="D112" t="inlineStr">
        <is>
          <t>B</t>
        </is>
      </c>
      <c r="E112" t="inlineStr">
        <is>
          <t>Energy</t>
        </is>
      </c>
      <c r="F112" t="inlineStr">
        <is>
          <t>O</t>
        </is>
      </c>
      <c r="G112" t="inlineStr">
        <is>
          <t>IL</t>
        </is>
      </c>
      <c r="H112" t="inlineStr">
        <is>
          <t>Retail Power Marketer</t>
        </is>
      </c>
      <c r="I112" t="inlineStr">
        <is>
          <t>PJM</t>
        </is>
      </c>
      <c r="J112" t="n">
        <v>5226</v>
      </c>
      <c r="K112" t="n">
        <v>29551</v>
      </c>
      <c r="L112" t="n">
        <v>5099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5226</v>
      </c>
      <c r="W112" t="n">
        <v>29551</v>
      </c>
      <c r="X112" t="n">
        <v>5099</v>
      </c>
      <c r="Y112">
        <f>IF(ISNUMBER($W112),$W112,0)</f>
        <v/>
      </c>
      <c r="Z112">
        <f>IF(ISNUMBER(SEARCH("Adjustment",$C112)),"excluded",IF($H112="Behind the Meter","excluded",IF(NOT(OR($E112="Bundled",$E112="Energy")),"excluded",IF(OR($H112="Retail Power Marketer",$H112="Community Choice Aggregator",$E112="Energy"),"procurement",IF(OR($H112="Municipal",$H112="Cooperative",$H112="Federal",$H112="State",$H112="Political Subdivision"),"cost_service",IF($H112="Investor Owned",IF(AND(COUNTIF(Parameters!$A$4:$A$33,$G112)&gt;0,COUNTIF(Parameters!$B$4:$B$33,$B112)=0),"procurement","cost_service"),"unclassified"))))))</f>
        <v/>
      </c>
    </row>
    <row r="113">
      <c r="A113" t="n">
        <v>2024</v>
      </c>
      <c r="B113" t="n">
        <v>64222</v>
      </c>
      <c r="C113" t="inlineStr">
        <is>
          <t>Grid Power Direct, LLC</t>
        </is>
      </c>
      <c r="D113" t="inlineStr">
        <is>
          <t>B</t>
        </is>
      </c>
      <c r="E113" t="inlineStr">
        <is>
          <t>Energy</t>
        </is>
      </c>
      <c r="F113" t="inlineStr">
        <is>
          <t>O</t>
        </is>
      </c>
      <c r="G113" t="inlineStr">
        <is>
          <t>IL</t>
        </is>
      </c>
      <c r="H113" t="inlineStr">
        <is>
          <t>Retail Power Marketer</t>
        </is>
      </c>
      <c r="I113" t="inlineStr">
        <is>
          <t>PJM</t>
        </is>
      </c>
      <c r="J113" t="n">
        <v>0</v>
      </c>
      <c r="K113" t="n">
        <v>0</v>
      </c>
      <c r="L113" t="n">
        <v>0</v>
      </c>
      <c r="M113" t="n">
        <v>7013</v>
      </c>
      <c r="N113" t="n">
        <v>105141</v>
      </c>
      <c r="O113" t="n">
        <v>83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7013</v>
      </c>
      <c r="W113" t="n">
        <v>105141</v>
      </c>
      <c r="X113" t="n">
        <v>83</v>
      </c>
      <c r="Y113">
        <f>IF(ISNUMBER($W113),$W113,0)</f>
        <v/>
      </c>
      <c r="Z113">
        <f>IF(ISNUMBER(SEARCH("Adjustment",$C113)),"excluded",IF($H113="Behind the Meter","excluded",IF(NOT(OR($E113="Bundled",$E113="Energy")),"excluded",IF(OR($H113="Retail Power Marketer",$H113="Community Choice Aggregator",$E113="Energy"),"procurement",IF(OR($H113="Municipal",$H113="Cooperative",$H113="Federal",$H113="State",$H113="Political Subdivision"),"cost_service",IF($H113="Investor Owned",IF(AND(COUNTIF(Parameters!$A$4:$A$33,$G113)&gt;0,COUNTIF(Parameters!$B$4:$B$33,$B113)=0),"procurement","cost_service"),"unclassified"))))))</f>
        <v/>
      </c>
    </row>
    <row r="114">
      <c r="A114" t="n">
        <v>2024</v>
      </c>
      <c r="B114" t="n">
        <v>64314</v>
      </c>
      <c r="C114" t="inlineStr">
        <is>
          <t>BP Energy Retail LLC</t>
        </is>
      </c>
      <c r="D114" t="inlineStr">
        <is>
          <t>B</t>
        </is>
      </c>
      <c r="E114" t="inlineStr">
        <is>
          <t>Energy</t>
        </is>
      </c>
      <c r="F114" t="inlineStr">
        <is>
          <t>O</t>
        </is>
      </c>
      <c r="G114" t="inlineStr">
        <is>
          <t>IL</t>
        </is>
      </c>
      <c r="H114" t="inlineStr">
        <is>
          <t>Retail Power Marketer</t>
        </is>
      </c>
      <c r="I114" t="inlineStr">
        <is>
          <t>PJM</t>
        </is>
      </c>
      <c r="J114" t="n">
        <v>0</v>
      </c>
      <c r="K114" t="n">
        <v>0</v>
      </c>
      <c r="L114" t="n">
        <v>0</v>
      </c>
      <c r="M114" t="n">
        <v>74782</v>
      </c>
      <c r="N114" t="n">
        <v>1631791</v>
      </c>
      <c r="O114" t="n">
        <v>75</v>
      </c>
      <c r="P114" t="n">
        <v>79760</v>
      </c>
      <c r="Q114" t="n">
        <v>1933555</v>
      </c>
      <c r="R114" t="n">
        <v>27</v>
      </c>
      <c r="S114" t="n">
        <v>0</v>
      </c>
      <c r="T114" t="n">
        <v>0</v>
      </c>
      <c r="U114" t="n">
        <v>0</v>
      </c>
      <c r="V114" t="n">
        <v>154542</v>
      </c>
      <c r="W114" t="n">
        <v>3565346</v>
      </c>
      <c r="X114" t="n">
        <v>102</v>
      </c>
      <c r="Y114">
        <f>IF(ISNUMBER($W114),$W114,0)</f>
        <v/>
      </c>
      <c r="Z114">
        <f>IF(ISNUMBER(SEARCH("Adjustment",$C114)),"excluded",IF($H114="Behind the Meter","excluded",IF(NOT(OR($E114="Bundled",$E114="Energy")),"excluded",IF(OR($H114="Retail Power Marketer",$H114="Community Choice Aggregator",$E114="Energy"),"procurement",IF(OR($H114="Municipal",$H114="Cooperative",$H114="Federal",$H114="State",$H114="Political Subdivision"),"cost_service",IF($H114="Investor Owned",IF(AND(COUNTIF(Parameters!$A$4:$A$33,$G114)&gt;0,COUNTIF(Parameters!$B$4:$B$33,$B114)=0),"procurement","cost_service"),"unclassified"))))))</f>
        <v/>
      </c>
    </row>
    <row r="115">
      <c r="A115" t="n">
        <v>2024</v>
      </c>
      <c r="B115" t="n">
        <v>64543</v>
      </c>
      <c r="C115" t="inlineStr">
        <is>
          <t>StateWise Energy Illinois LLC</t>
        </is>
      </c>
      <c r="D115" t="inlineStr">
        <is>
          <t>B</t>
        </is>
      </c>
      <c r="E115" t="inlineStr">
        <is>
          <t>Energy</t>
        </is>
      </c>
      <c r="F115" t="inlineStr">
        <is>
          <t>O</t>
        </is>
      </c>
      <c r="G115" t="inlineStr">
        <is>
          <t>IL</t>
        </is>
      </c>
      <c r="H115" t="inlineStr">
        <is>
          <t>Retail Power Marketer</t>
        </is>
      </c>
      <c r="I115" t="inlineStr">
        <is>
          <t>MISO</t>
        </is>
      </c>
      <c r="J115" t="n">
        <v>6.2</v>
      </c>
      <c r="K115" t="n">
        <v>106</v>
      </c>
      <c r="L115" t="n">
        <v>45</v>
      </c>
      <c r="M115" t="inlineStr">
        <is>
          <t>.</t>
        </is>
      </c>
      <c r="N115" t="inlineStr">
        <is>
          <t>.</t>
        </is>
      </c>
      <c r="O115" t="inlineStr">
        <is>
          <t>.</t>
        </is>
      </c>
      <c r="P115" t="inlineStr">
        <is>
          <t>.</t>
        </is>
      </c>
      <c r="Q115" t="inlineStr">
        <is>
          <t>.</t>
        </is>
      </c>
      <c r="R115" t="inlineStr">
        <is>
          <t>.</t>
        </is>
      </c>
      <c r="S115" t="inlineStr">
        <is>
          <t>.</t>
        </is>
      </c>
      <c r="T115" t="inlineStr">
        <is>
          <t>.</t>
        </is>
      </c>
      <c r="U115" t="inlineStr">
        <is>
          <t>.</t>
        </is>
      </c>
      <c r="V115" t="n">
        <v>6.2</v>
      </c>
      <c r="W115" t="n">
        <v>106</v>
      </c>
      <c r="X115" t="n">
        <v>45</v>
      </c>
      <c r="Y115">
        <f>IF(ISNUMBER($W115),$W115,0)</f>
        <v/>
      </c>
      <c r="Z115">
        <f>IF(ISNUMBER(SEARCH("Adjustment",$C115)),"excluded",IF($H115="Behind the Meter","excluded",IF(NOT(OR($E115="Bundled",$E115="Energy")),"excluded",IF(OR($H115="Retail Power Marketer",$H115="Community Choice Aggregator",$E115="Energy"),"procurement",IF(OR($H115="Municipal",$H115="Cooperative",$H115="Federal",$H115="State",$H115="Political Subdivision"),"cost_service",IF($H115="Investor Owned",IF(AND(COUNTIF(Parameters!$A$4:$A$33,$G115)&gt;0,COUNTIF(Parameters!$B$4:$B$33,$B115)=0),"procurement","cost_service"),"unclassified"))))))</f>
        <v/>
      </c>
    </row>
    <row r="116">
      <c r="A116" t="n">
        <v>2024</v>
      </c>
      <c r="B116" t="n">
        <v>65310</v>
      </c>
      <c r="C116" t="inlineStr">
        <is>
          <t>Energywell LLC</t>
        </is>
      </c>
      <c r="D116" t="inlineStr">
        <is>
          <t>B</t>
        </is>
      </c>
      <c r="E116" t="inlineStr">
        <is>
          <t>Energy</t>
        </is>
      </c>
      <c r="F116" t="inlineStr">
        <is>
          <t>O</t>
        </is>
      </c>
      <c r="G116" t="inlineStr">
        <is>
          <t>IL</t>
        </is>
      </c>
      <c r="H116" t="inlineStr">
        <is>
          <t>Retail Power Marketer</t>
        </is>
      </c>
      <c r="I116" t="inlineStr">
        <is>
          <t>PJM</t>
        </is>
      </c>
      <c r="J116" t="n">
        <v>1548.9</v>
      </c>
      <c r="K116" t="n">
        <v>17557</v>
      </c>
      <c r="L116" t="n">
        <v>2218</v>
      </c>
      <c r="M116" t="n">
        <v>259.3</v>
      </c>
      <c r="N116" t="n">
        <v>2844</v>
      </c>
      <c r="O116" t="n">
        <v>109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1808.2</v>
      </c>
      <c r="W116" t="n">
        <v>20401</v>
      </c>
      <c r="X116" t="n">
        <v>2327</v>
      </c>
      <c r="Y116">
        <f>IF(ISNUMBER($W116),$W116,0)</f>
        <v/>
      </c>
      <c r="Z116">
        <f>IF(ISNUMBER(SEARCH("Adjustment",$C116)),"excluded",IF($H116="Behind the Meter","excluded",IF(NOT(OR($E116="Bundled",$E116="Energy")),"excluded",IF(OR($H116="Retail Power Marketer",$H116="Community Choice Aggregator",$E116="Energy"),"procurement",IF(OR($H116="Municipal",$H116="Cooperative",$H116="Federal",$H116="State",$H116="Political Subdivision"),"cost_service",IF($H116="Investor Owned",IF(AND(COUNTIF(Parameters!$A$4:$A$33,$G116)&gt;0,COUNTIF(Parameters!$B$4:$B$33,$B116)=0),"procurement","cost_service"),"unclassified"))))))</f>
        <v/>
      </c>
    </row>
    <row r="117">
      <c r="A117" t="n">
        <v>2024</v>
      </c>
      <c r="B117" t="n">
        <v>65439</v>
      </c>
      <c r="C117" t="inlineStr">
        <is>
          <t>CPV Retail Energy LP</t>
        </is>
      </c>
      <c r="D117" t="inlineStr">
        <is>
          <t>B</t>
        </is>
      </c>
      <c r="E117" t="inlineStr">
        <is>
          <t>Energy</t>
        </is>
      </c>
      <c r="F117" t="inlineStr">
        <is>
          <t>O</t>
        </is>
      </c>
      <c r="G117" t="inlineStr">
        <is>
          <t>IL</t>
        </is>
      </c>
      <c r="H117" t="inlineStr">
        <is>
          <t>Retail Power Marketer</t>
        </is>
      </c>
      <c r="I117" t="inlineStr">
        <is>
          <t>PJM</t>
        </is>
      </c>
      <c r="J117" t="n">
        <v>0</v>
      </c>
      <c r="K117" t="n">
        <v>0</v>
      </c>
      <c r="L117" t="n">
        <v>0</v>
      </c>
      <c r="M117" t="n">
        <v>3385</v>
      </c>
      <c r="N117" t="n">
        <v>56100</v>
      </c>
      <c r="O117" t="n">
        <v>84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3385</v>
      </c>
      <c r="W117" t="n">
        <v>56100</v>
      </c>
      <c r="X117" t="n">
        <v>84</v>
      </c>
      <c r="Y117">
        <f>IF(ISNUMBER($W117),$W117,0)</f>
        <v/>
      </c>
      <c r="Z117">
        <f>IF(ISNUMBER(SEARCH("Adjustment",$C117)),"excluded",IF($H117="Behind the Meter","excluded",IF(NOT(OR($E117="Bundled",$E117="Energy")),"excluded",IF(OR($H117="Retail Power Marketer",$H117="Community Choice Aggregator",$E117="Energy"),"procurement",IF(OR($H117="Municipal",$H117="Cooperative",$H117="Federal",$H117="State",$H117="Political Subdivision"),"cost_service",IF($H117="Investor Owned",IF(AND(COUNTIF(Parameters!$A$4:$A$33,$G117)&gt;0,COUNTIF(Parameters!$B$4:$B$33,$B117)=0),"procurement","cost_service"),"unclassified"))))))</f>
        <v/>
      </c>
    </row>
    <row r="118">
      <c r="A118" t="n">
        <v>2024</v>
      </c>
      <c r="B118" t="n">
        <v>66026</v>
      </c>
      <c r="C118" t="inlineStr">
        <is>
          <t>Palmetto Solar, LLC</t>
        </is>
      </c>
      <c r="D118" t="inlineStr">
        <is>
          <t>A</t>
        </is>
      </c>
      <c r="E118" t="inlineStr">
        <is>
          <t>Bundled</t>
        </is>
      </c>
      <c r="F118" t="inlineStr">
        <is>
          <t>O</t>
        </is>
      </c>
      <c r="G118" t="inlineStr">
        <is>
          <t>IL</t>
        </is>
      </c>
      <c r="H118" t="inlineStr">
        <is>
          <t>Behind the Meter</t>
        </is>
      </c>
      <c r="I118" t="inlineStr">
        <is>
          <t>PJM</t>
        </is>
      </c>
      <c r="J118" t="n">
        <v>90</v>
      </c>
      <c r="K118" t="n">
        <v>300</v>
      </c>
      <c r="L118" t="n">
        <v>44</v>
      </c>
      <c r="M118" t="inlineStr">
        <is>
          <t>.</t>
        </is>
      </c>
      <c r="N118" t="inlineStr">
        <is>
          <t>.</t>
        </is>
      </c>
      <c r="O118" t="inlineStr">
        <is>
          <t>.</t>
        </is>
      </c>
      <c r="P118" t="inlineStr">
        <is>
          <t>.</t>
        </is>
      </c>
      <c r="Q118" t="inlineStr">
        <is>
          <t>.</t>
        </is>
      </c>
      <c r="R118" t="inlineStr">
        <is>
          <t>.</t>
        </is>
      </c>
      <c r="S118" t="inlineStr">
        <is>
          <t>.</t>
        </is>
      </c>
      <c r="T118" t="inlineStr">
        <is>
          <t>.</t>
        </is>
      </c>
      <c r="U118" t="inlineStr">
        <is>
          <t>.</t>
        </is>
      </c>
      <c r="V118" t="n">
        <v>90</v>
      </c>
      <c r="W118" t="n">
        <v>300</v>
      </c>
      <c r="X118" t="n">
        <v>44</v>
      </c>
      <c r="Y118">
        <f>IF(ISNUMBER($W118),$W118,0)</f>
        <v/>
      </c>
      <c r="Z118">
        <f>IF(ISNUMBER(SEARCH("Adjustment",$C118)),"excluded",IF($H118="Behind the Meter","excluded",IF(NOT(OR($E118="Bundled",$E118="Energy")),"excluded",IF(OR($H118="Retail Power Marketer",$H118="Community Choice Aggregator",$E118="Energy"),"procurement",IF(OR($H118="Municipal",$H118="Cooperative",$H118="Federal",$H118="State",$H118="Political Subdivision"),"cost_service",IF($H118="Investor Owned",IF(AND(COUNTIF(Parameters!$A$4:$A$33,$G118)&gt;0,COUNTIF(Parameters!$B$4:$B$33,$B118)=0),"procurement","cost_service"),"unclassified"))))))</f>
        <v/>
      </c>
    </row>
    <row r="119">
      <c r="A119" t="n">
        <v>2024</v>
      </c>
      <c r="B119" t="n">
        <v>66026</v>
      </c>
      <c r="C119" t="inlineStr">
        <is>
          <t>Palmetto Solar, LLC</t>
        </is>
      </c>
      <c r="D119" t="inlineStr">
        <is>
          <t>A</t>
        </is>
      </c>
      <c r="E119" t="inlineStr">
        <is>
          <t>Bundled</t>
        </is>
      </c>
      <c r="F119" t="inlineStr">
        <is>
          <t>O</t>
        </is>
      </c>
      <c r="G119" t="inlineStr">
        <is>
          <t>IL</t>
        </is>
      </c>
      <c r="H119" t="inlineStr">
        <is>
          <t>Behind the Meter</t>
        </is>
      </c>
      <c r="I119" t="inlineStr">
        <is>
          <t>MISO</t>
        </is>
      </c>
      <c r="J119" t="n">
        <v>47.1</v>
      </c>
      <c r="K119" t="n">
        <v>157</v>
      </c>
      <c r="L119" t="n">
        <v>23</v>
      </c>
      <c r="M119" t="inlineStr">
        <is>
          <t>.</t>
        </is>
      </c>
      <c r="N119" t="inlineStr">
        <is>
          <t>.</t>
        </is>
      </c>
      <c r="O119" t="inlineStr">
        <is>
          <t>.</t>
        </is>
      </c>
      <c r="P119" t="inlineStr">
        <is>
          <t>.</t>
        </is>
      </c>
      <c r="Q119" t="inlineStr">
        <is>
          <t>.</t>
        </is>
      </c>
      <c r="R119" t="inlineStr">
        <is>
          <t>.</t>
        </is>
      </c>
      <c r="S119" t="inlineStr">
        <is>
          <t>.</t>
        </is>
      </c>
      <c r="T119" t="inlineStr">
        <is>
          <t>.</t>
        </is>
      </c>
      <c r="U119" t="inlineStr">
        <is>
          <t>.</t>
        </is>
      </c>
      <c r="V119" t="n">
        <v>47.1</v>
      </c>
      <c r="W119" t="n">
        <v>157</v>
      </c>
      <c r="X119" t="n">
        <v>23</v>
      </c>
      <c r="Y119">
        <f>IF(ISNUMBER($W119),$W119,0)</f>
        <v/>
      </c>
      <c r="Z119">
        <f>IF(ISNUMBER(SEARCH("Adjustment",$C119)),"excluded",IF($H119="Behind the Meter","excluded",IF(NOT(OR($E119="Bundled",$E119="Energy")),"excluded",IF(OR($H119="Retail Power Marketer",$H119="Community Choice Aggregator",$E119="Energy"),"procurement",IF(OR($H119="Municipal",$H119="Cooperative",$H119="Federal",$H119="State",$H119="Political Subdivision"),"cost_service",IF($H119="Investor Owned",IF(AND(COUNTIF(Parameters!$A$4:$A$33,$G119)&gt;0,COUNTIF(Parameters!$B$4:$B$33,$B119)=0),"procurement","cost_service"),"unclassified"))))))</f>
        <v/>
      </c>
    </row>
    <row r="120">
      <c r="A120" t="n">
        <v>2024</v>
      </c>
      <c r="B120" t="n">
        <v>66036</v>
      </c>
      <c r="C120" t="inlineStr">
        <is>
          <t>EverBright, LLC</t>
        </is>
      </c>
      <c r="D120" t="inlineStr">
        <is>
          <t>A</t>
        </is>
      </c>
      <c r="E120" t="inlineStr">
        <is>
          <t>Bundled</t>
        </is>
      </c>
      <c r="F120" t="inlineStr">
        <is>
          <t>O</t>
        </is>
      </c>
      <c r="G120" t="inlineStr">
        <is>
          <t>IL</t>
        </is>
      </c>
      <c r="H120" t="inlineStr">
        <is>
          <t>Behind the Meter</t>
        </is>
      </c>
      <c r="I120" t="inlineStr">
        <is>
          <t>PJM</t>
        </is>
      </c>
      <c r="J120" t="n">
        <v>3636.2</v>
      </c>
      <c r="K120" t="n">
        <v>30153</v>
      </c>
      <c r="L120" t="n">
        <v>3246</v>
      </c>
      <c r="M120" t="inlineStr">
        <is>
          <t>.</t>
        </is>
      </c>
      <c r="N120" t="inlineStr">
        <is>
          <t>.</t>
        </is>
      </c>
      <c r="O120" t="inlineStr">
        <is>
          <t>.</t>
        </is>
      </c>
      <c r="P120" t="inlineStr">
        <is>
          <t>.</t>
        </is>
      </c>
      <c r="Q120" t="inlineStr">
        <is>
          <t>.</t>
        </is>
      </c>
      <c r="R120" t="inlineStr">
        <is>
          <t>.</t>
        </is>
      </c>
      <c r="S120" t="inlineStr">
        <is>
          <t>.</t>
        </is>
      </c>
      <c r="T120" t="inlineStr">
        <is>
          <t>.</t>
        </is>
      </c>
      <c r="U120" t="inlineStr">
        <is>
          <t>.</t>
        </is>
      </c>
      <c r="V120" t="n">
        <v>3636.2</v>
      </c>
      <c r="W120" t="n">
        <v>30153</v>
      </c>
      <c r="X120" t="n">
        <v>3246</v>
      </c>
      <c r="Y120">
        <f>IF(ISNUMBER($W120),$W120,0)</f>
        <v/>
      </c>
      <c r="Z120">
        <f>IF(ISNUMBER(SEARCH("Adjustment",$C120)),"excluded",IF($H120="Behind the Meter","excluded",IF(NOT(OR($E120="Bundled",$E120="Energy")),"excluded",IF(OR($H120="Retail Power Marketer",$H120="Community Choice Aggregator",$E120="Energy"),"procurement",IF(OR($H120="Municipal",$H120="Cooperative",$H120="Federal",$H120="State",$H120="Political Subdivision"),"cost_service",IF($H120="Investor Owned",IF(AND(COUNTIF(Parameters!$A$4:$A$33,$G120)&gt;0,COUNTIF(Parameters!$B$4:$B$33,$B120)=0),"procurement","cost_service"),"unclassified"))))))</f>
        <v/>
      </c>
    </row>
    <row r="121">
      <c r="A121" t="n">
        <v>2024</v>
      </c>
      <c r="B121" t="n">
        <v>66113</v>
      </c>
      <c r="C121" t="inlineStr">
        <is>
          <t>EcoPlus Power, LLC</t>
        </is>
      </c>
      <c r="D121" t="inlineStr">
        <is>
          <t>B</t>
        </is>
      </c>
      <c r="E121" t="inlineStr">
        <is>
          <t>Energy</t>
        </is>
      </c>
      <c r="F121" t="inlineStr">
        <is>
          <t>O</t>
        </is>
      </c>
      <c r="G121" t="inlineStr">
        <is>
          <t>IL</t>
        </is>
      </c>
      <c r="H121" t="inlineStr">
        <is>
          <t>Retail Power Marketer</t>
        </is>
      </c>
      <c r="I121" t="inlineStr">
        <is>
          <t>PJM</t>
        </is>
      </c>
      <c r="J121" t="n">
        <v>2068.5</v>
      </c>
      <c r="K121" t="n">
        <v>28974</v>
      </c>
      <c r="L121" t="n">
        <v>4803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2068.5</v>
      </c>
      <c r="W121" t="n">
        <v>28974</v>
      </c>
      <c r="X121" t="n">
        <v>4803</v>
      </c>
      <c r="Y121">
        <f>IF(ISNUMBER($W121),$W121,0)</f>
        <v/>
      </c>
      <c r="Z121">
        <f>IF(ISNUMBER(SEARCH("Adjustment",$C121)),"excluded",IF($H121="Behind the Meter","excluded",IF(NOT(OR($E121="Bundled",$E121="Energy")),"excluded",IF(OR($H121="Retail Power Marketer",$H121="Community Choice Aggregator",$E121="Energy"),"procurement",IF(OR($H121="Municipal",$H121="Cooperative",$H121="Federal",$H121="State",$H121="Political Subdivision"),"cost_service",IF($H121="Investor Owned",IF(AND(COUNTIF(Parameters!$A$4:$A$33,$G121)&gt;0,COUNTIF(Parameters!$B$4:$B$33,$B121)=0),"procurement","cost_service"),"unclassified"))))))</f>
        <v/>
      </c>
    </row>
    <row r="122">
      <c r="A122" t="n">
        <v>2024</v>
      </c>
      <c r="B122" t="n">
        <v>99999</v>
      </c>
      <c r="C122" t="inlineStr">
        <is>
          <t>Adjustment 2024</t>
        </is>
      </c>
      <c r="D122" t="inlineStr">
        <is>
          <t>A</t>
        </is>
      </c>
      <c r="E122" t="inlineStr">
        <is>
          <t>Bundled</t>
        </is>
      </c>
      <c r="F122" t="inlineStr">
        <is>
          <t>I</t>
        </is>
      </c>
      <c r="G122" t="inlineStr">
        <is>
          <t>IL</t>
        </is>
      </c>
      <c r="H122" t="inlineStr"/>
      <c r="I122" t="inlineStr">
        <is>
          <t>PJM</t>
        </is>
      </c>
      <c r="J122" t="n">
        <v>11129.8</v>
      </c>
      <c r="K122" t="n">
        <v>78775</v>
      </c>
      <c r="L122" t="n">
        <v>-31240</v>
      </c>
      <c r="M122" t="n">
        <v>7330.2</v>
      </c>
      <c r="N122" t="n">
        <v>76322</v>
      </c>
      <c r="O122" t="n">
        <v>749</v>
      </c>
      <c r="P122" t="n">
        <v>8226</v>
      </c>
      <c r="Q122" t="n">
        <v>453147</v>
      </c>
      <c r="R122" t="n">
        <v>1</v>
      </c>
      <c r="S122" t="n">
        <v>0</v>
      </c>
      <c r="T122" t="n">
        <v>0</v>
      </c>
      <c r="U122" t="n">
        <v>0</v>
      </c>
      <c r="V122" t="n">
        <v>26686</v>
      </c>
      <c r="W122" t="n">
        <v>608244</v>
      </c>
      <c r="X122" t="n">
        <v>-30490</v>
      </c>
      <c r="Y122">
        <f>IF(ISNUMBER($W122),$W122,0)</f>
        <v/>
      </c>
      <c r="Z122">
        <f>IF(ISNUMBER(SEARCH("Adjustment",$C122)),"excluded",IF($H122="Behind the Meter","excluded",IF(NOT(OR($E122="Bundled",$E122="Energy")),"excluded",IF(OR($H122="Retail Power Marketer",$H122="Community Choice Aggregator",$E122="Energy"),"procurement",IF(OR($H122="Municipal",$H122="Cooperative",$H122="Federal",$H122="State",$H122="Political Subdivision"),"cost_service",IF($H122="Investor Owned",IF(AND(COUNTIF(Parameters!$A$4:$A$33,$G122)&gt;0,COUNTIF(Parameters!$B$4:$B$33,$B122)=0),"procurement","cost_service"),"unclassified"))))))</f>
        <v/>
      </c>
    </row>
    <row r="123">
      <c r="A123" t="n">
        <v>2024</v>
      </c>
      <c r="B123" t="n">
        <v>99999</v>
      </c>
      <c r="C123" t="inlineStr">
        <is>
          <t>Adjustment 2024</t>
        </is>
      </c>
      <c r="D123" t="inlineStr">
        <is>
          <t>A</t>
        </is>
      </c>
      <c r="E123" t="inlineStr">
        <is>
          <t>Bundled</t>
        </is>
      </c>
      <c r="F123" t="inlineStr">
        <is>
          <t>I</t>
        </is>
      </c>
      <c r="G123" t="inlineStr">
        <is>
          <t>IL</t>
        </is>
      </c>
      <c r="H123" t="inlineStr"/>
      <c r="I123" t="inlineStr">
        <is>
          <t>MISO</t>
        </is>
      </c>
      <c r="J123" t="n">
        <v>287351.1</v>
      </c>
      <c r="K123" t="n">
        <v>1739339</v>
      </c>
      <c r="L123" t="n">
        <v>153495</v>
      </c>
      <c r="M123" t="n">
        <v>104256.6</v>
      </c>
      <c r="N123" t="n">
        <v>788026</v>
      </c>
      <c r="O123" t="n">
        <v>16517</v>
      </c>
      <c r="P123" t="n">
        <v>53856.1</v>
      </c>
      <c r="Q123" t="n">
        <v>490228</v>
      </c>
      <c r="R123" t="n">
        <v>583</v>
      </c>
      <c r="S123" t="n">
        <v>0</v>
      </c>
      <c r="T123" t="n">
        <v>0</v>
      </c>
      <c r="U123" t="n">
        <v>0</v>
      </c>
      <c r="V123" t="n">
        <v>445463.8</v>
      </c>
      <c r="W123" t="n">
        <v>3017593</v>
      </c>
      <c r="X123" t="n">
        <v>170595</v>
      </c>
      <c r="Y123">
        <f>IF(ISNUMBER($W123),$W123,0)</f>
        <v/>
      </c>
      <c r="Z123">
        <f>IF(ISNUMBER(SEARCH("Adjustment",$C123)),"excluded",IF($H123="Behind the Meter","excluded",IF(NOT(OR($E123="Bundled",$E123="Energy")),"excluded",IF(OR($H123="Retail Power Marketer",$H123="Community Choice Aggregator",$E123="Energy"),"procurement",IF(OR($H123="Municipal",$H123="Cooperative",$H123="Federal",$H123="State",$H123="Political Subdivision"),"cost_service",IF($H123="Investor Owned",IF(AND(COUNTIF(Parameters!$A$4:$A$33,$G123)&gt;0,COUNTIF(Parameters!$B$4:$B$33,$B123)=0),"procurement","cost_service"),"unclassified"))))))</f>
        <v/>
      </c>
    </row>
    <row r="124">
      <c r="A124" t="n">
        <v>2024</v>
      </c>
      <c r="B124" t="n">
        <v>99999</v>
      </c>
      <c r="C124" t="inlineStr">
        <is>
          <t>Adjustment 2024</t>
        </is>
      </c>
      <c r="D124" t="inlineStr">
        <is>
          <t>B</t>
        </is>
      </c>
      <c r="E124" t="inlineStr">
        <is>
          <t>Energy</t>
        </is>
      </c>
      <c r="F124" t="inlineStr">
        <is>
          <t>I</t>
        </is>
      </c>
      <c r="G124" t="inlineStr">
        <is>
          <t>IL</t>
        </is>
      </c>
      <c r="H124" t="inlineStr"/>
      <c r="I124" t="inlineStr">
        <is>
          <t>PJM</t>
        </is>
      </c>
      <c r="J124" t="n">
        <v>98439.7</v>
      </c>
      <c r="K124" t="n">
        <v>1018608</v>
      </c>
      <c r="L124" t="n">
        <v>80795</v>
      </c>
      <c r="M124" t="n">
        <v>-615656.7</v>
      </c>
      <c r="N124" t="n">
        <v>-10453976</v>
      </c>
      <c r="O124" t="n">
        <v>55644</v>
      </c>
      <c r="P124" t="n">
        <v>1298361.7</v>
      </c>
      <c r="Q124" t="n">
        <v>21739498</v>
      </c>
      <c r="R124" t="n">
        <v>1055</v>
      </c>
      <c r="S124" t="n">
        <v>-1516</v>
      </c>
      <c r="T124" t="n">
        <v>-33521</v>
      </c>
      <c r="U124" t="n">
        <v>0</v>
      </c>
      <c r="V124" t="n">
        <v>779628.7</v>
      </c>
      <c r="W124" t="n">
        <v>12270609</v>
      </c>
      <c r="X124" t="n">
        <v>137494</v>
      </c>
      <c r="Y124">
        <f>IF(ISNUMBER($W124),$W124,0)</f>
        <v/>
      </c>
      <c r="Z124">
        <f>IF(ISNUMBER(SEARCH("Adjustment",$C124)),"excluded",IF($H124="Behind the Meter","excluded",IF(NOT(OR($E124="Bundled",$E124="Energy")),"excluded",IF(OR($H124="Retail Power Marketer",$H124="Community Choice Aggregator",$E124="Energy"),"procurement",IF(OR($H124="Municipal",$H124="Cooperative",$H124="Federal",$H124="State",$H124="Political Subdivision"),"cost_service",IF($H124="Investor Owned",IF(AND(COUNTIF(Parameters!$A$4:$A$33,$G124)&gt;0,COUNTIF(Parameters!$B$4:$B$33,$B124)=0),"procurement","cost_service"),"unclassified"))))))</f>
        <v/>
      </c>
    </row>
    <row r="125">
      <c r="A125" t="n">
        <v>2024</v>
      </c>
      <c r="B125" t="n">
        <v>99999</v>
      </c>
      <c r="C125" t="inlineStr">
        <is>
          <t>Adjustment 2024</t>
        </is>
      </c>
      <c r="D125" t="inlineStr">
        <is>
          <t>B</t>
        </is>
      </c>
      <c r="E125" t="inlineStr">
        <is>
          <t>Energy</t>
        </is>
      </c>
      <c r="F125" t="inlineStr">
        <is>
          <t>I</t>
        </is>
      </c>
      <c r="G125" t="inlineStr">
        <is>
          <t>IL</t>
        </is>
      </c>
      <c r="H125" t="inlineStr"/>
      <c r="I125" t="inlineStr">
        <is>
          <t>MISO</t>
        </is>
      </c>
      <c r="J125" t="n">
        <v>-32662.2</v>
      </c>
      <c r="K125" t="n">
        <v>-324533</v>
      </c>
      <c r="L125" t="n">
        <v>-110320</v>
      </c>
      <c r="M125" t="n">
        <v>-750412.2</v>
      </c>
      <c r="N125" t="n">
        <v>-10756646</v>
      </c>
      <c r="O125" t="n">
        <v>27249</v>
      </c>
      <c r="P125" t="n">
        <v>180428.4</v>
      </c>
      <c r="Q125" t="n">
        <v>2747690</v>
      </c>
      <c r="R125" t="n">
        <v>-404</v>
      </c>
      <c r="S125" t="n">
        <v>0</v>
      </c>
      <c r="T125" t="n">
        <v>0</v>
      </c>
      <c r="U125" t="n">
        <v>0</v>
      </c>
      <c r="V125" t="n">
        <v>-602646</v>
      </c>
      <c r="W125" t="n">
        <v>-8333489</v>
      </c>
      <c r="X125" t="n">
        <v>-83475</v>
      </c>
      <c r="Y125">
        <f>IF(ISNUMBER($W125),$W125,0)</f>
        <v/>
      </c>
      <c r="Z125">
        <f>IF(ISNUMBER(SEARCH("Adjustment",$C125)),"excluded",IF($H125="Behind the Meter","excluded",IF(NOT(OR($E125="Bundled",$E125="Energy")),"excluded",IF(OR($H125="Retail Power Marketer",$H125="Community Choice Aggregator",$E125="Energy"),"procurement",IF(OR($H125="Municipal",$H125="Cooperative",$H125="Federal",$H125="State",$H125="Political Subdivision"),"cost_service",IF($H125="Investor Owned",IF(AND(COUNTIF(Parameters!$A$4:$A$33,$G125)&gt;0,COUNTIF(Parameters!$B$4:$B$33,$B125)=0),"procurement","cost_service"),"unclassified"))))))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7" t="inlineStr">
        <is>
          <t>region</t>
        </is>
      </c>
      <c r="B1" s="7" t="inlineStr">
        <is>
          <t>cost_service_mwh</t>
        </is>
      </c>
      <c r="C1" s="7" t="inlineStr">
        <is>
          <t>procurement_mwh</t>
        </is>
      </c>
      <c r="D1" s="7" t="inlineStr">
        <is>
          <t>total_mwh</t>
        </is>
      </c>
      <c r="E1" s="7" t="inlineStr">
        <is>
          <t>share_cost_service</t>
        </is>
      </c>
      <c r="F1" s="7" t="inlineStr">
        <is>
          <t>share_procurement</t>
        </is>
      </c>
    </row>
    <row r="2">
      <c r="A2" t="inlineStr">
        <is>
          <t>IL</t>
        </is>
      </c>
      <c r="B2">
        <f>SUMIFS('EIA-861 Sales 2024'!$Y$4:$Y$125,'EIA-861 Sales 2024'!$Z$4:$Z$125,"cost_service")</f>
        <v/>
      </c>
      <c r="C2">
        <f>SUMIFS('EIA-861 Sales 2024'!$Y$4:$Y$125,'EIA-861 Sales 2024'!$Z$4:$Z$125,"procurement")</f>
        <v/>
      </c>
      <c r="D2">
        <f>B2+C2</f>
        <v/>
      </c>
      <c r="E2">
        <f>IF($D2=0,0,B2/$D2)</f>
        <v/>
      </c>
      <c r="F2">
        <f>IF($D2=0,0,C2/$D2)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AE2"/>
  <sheetViews>
    <sheetView workbookViewId="0">
      <pane xSplit="1" topLeftCell="B1" activePane="topRight" state="frozen"/>
      <selection pane="topRight" activeCell="A1" sqref="A1"/>
    </sheetView>
  </sheetViews>
  <sheetFormatPr baseColWidth="8" defaultRowHeight="15"/>
  <sheetData>
    <row r="1">
      <c r="A1" t="inlineStr">
        <is>
          <t>Unit: dimensionless (% of demand)</t>
        </is>
      </c>
      <c r="B1" t="n">
        <v>2021</v>
      </c>
      <c r="C1" t="n">
        <v>2022</v>
      </c>
      <c r="D1" t="n">
        <v>2023</v>
      </c>
      <c r="E1" t="n">
        <v>2024</v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</row>
    <row r="2">
      <c r="A2" t="inlineStr">
        <is>
          <t>Share that is Cost of Service</t>
        </is>
      </c>
      <c r="B2">
        <f>ROUND('Share'!$E$2,3)</f>
        <v/>
      </c>
      <c r="C2">
        <f>ROUND('Share'!$E$2,3)</f>
        <v/>
      </c>
      <c r="D2">
        <f>ROUND('Share'!$E$2,3)</f>
        <v/>
      </c>
      <c r="E2">
        <f>ROUND('Share'!$E$2,3)</f>
        <v/>
      </c>
      <c r="F2">
        <f>ROUND('Share'!$E$2,3)</f>
        <v/>
      </c>
      <c r="G2">
        <f>ROUND('Share'!$E$2,3)</f>
        <v/>
      </c>
      <c r="H2">
        <f>ROUND('Share'!$E$2,3)</f>
        <v/>
      </c>
      <c r="I2">
        <f>ROUND('Share'!$E$2,3)</f>
        <v/>
      </c>
      <c r="J2">
        <f>ROUND('Share'!$E$2,3)</f>
        <v/>
      </c>
      <c r="K2">
        <f>ROUND('Share'!$E$2,3)</f>
        <v/>
      </c>
      <c r="L2">
        <f>ROUND('Share'!$E$2,3)</f>
        <v/>
      </c>
      <c r="M2">
        <f>ROUND('Share'!$E$2,3)</f>
        <v/>
      </c>
      <c r="N2">
        <f>ROUND('Share'!$E$2,3)</f>
        <v/>
      </c>
      <c r="O2">
        <f>ROUND('Share'!$E$2,3)</f>
        <v/>
      </c>
      <c r="P2">
        <f>ROUND('Share'!$E$2,3)</f>
        <v/>
      </c>
      <c r="Q2">
        <f>ROUND('Share'!$E$2,3)</f>
        <v/>
      </c>
      <c r="R2">
        <f>ROUND('Share'!$E$2,3)</f>
        <v/>
      </c>
      <c r="S2">
        <f>ROUND('Share'!$E$2,3)</f>
        <v/>
      </c>
      <c r="T2">
        <f>ROUND('Share'!$E$2,3)</f>
        <v/>
      </c>
      <c r="U2">
        <f>ROUND('Share'!$E$2,3)</f>
        <v/>
      </c>
      <c r="V2">
        <f>ROUND('Share'!$E$2,3)</f>
        <v/>
      </c>
      <c r="W2">
        <f>ROUND('Share'!$E$2,3)</f>
        <v/>
      </c>
      <c r="X2">
        <f>ROUND('Share'!$E$2,3)</f>
        <v/>
      </c>
      <c r="Y2">
        <f>ROUND('Share'!$E$2,3)</f>
        <v/>
      </c>
      <c r="Z2">
        <f>ROUND('Share'!$E$2,3)</f>
        <v/>
      </c>
      <c r="AA2">
        <f>ROUND('Share'!$E$2,3)</f>
        <v/>
      </c>
      <c r="AB2">
        <f>ROUND('Share'!$E$2,3)</f>
        <v/>
      </c>
      <c r="AC2">
        <f>ROUND('Share'!$E$2,3)</f>
        <v/>
      </c>
      <c r="AD2">
        <f>ROUND('Share'!$E$2,3)</f>
        <v/>
      </c>
      <c r="AE2">
        <f>ROUND('Share'!$E$2,3)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2026-06-02T20:15:28Z</dcterms:created>
  <dcterms:modified xmlns:dcterms="http://purl.org/dc/terms/" xmlns:xsi="http://www.w3.org/2001/XMLSchema-instance" xsi:type="dcterms:W3CDTF">2026-06-02T20:15:28Z</dcterms:modified>
</cp:coreProperties>
</file>