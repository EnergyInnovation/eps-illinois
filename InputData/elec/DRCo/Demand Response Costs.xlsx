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DRCo\"/>
    </mc:Choice>
  </mc:AlternateContent>
  <xr:revisionPtr revIDLastSave="0" documentId="13_ncr:1_{72E68BF8-D71B-4197-B409-F7008BD36887}" xr6:coauthVersionLast="47" xr6:coauthVersionMax="47" xr10:uidLastSave="{00000000-0000-0000-0000-000000000000}"/>
  <bookViews>
    <workbookView xWindow="3120" yWindow="3120" windowWidth="21600" windowHeight="12645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B8" i="3" a="1"/>
  <c r="B8" i="3" s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F7" i="2"/>
  <c r="I6" i="2"/>
  <c r="H6" i="2"/>
  <c r="B9" i="3" s="1" a="1"/>
  <c r="B9" i="3" s="1"/>
  <c r="G6" i="2"/>
  <c r="F6" i="2"/>
  <c r="G4" i="2"/>
  <c r="F4" i="2"/>
  <c r="B7" i="3" s="1" a="1"/>
  <c r="B7" i="3" s="1"/>
  <c r="B16" i="3" s="1"/>
  <c r="B4" i="4" s="1"/>
  <c r="B2" i="1"/>
  <c r="C7" i="3" s="1"/>
  <c r="C16" i="3" s="1"/>
  <c r="B4" i="5" s="1"/>
  <c r="C8" i="3" l="1"/>
  <c r="C17" i="3" s="1"/>
  <c r="B3" i="5" s="1"/>
  <c r="B19" i="3"/>
  <c r="B17" i="3" l="1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<sst xmlns="http://schemas.openxmlformats.org/spreadsheetml/2006/main" count="7397" uniqueCount="579">
  <si>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</si>
  <si>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Illinois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</si>
  <si>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</si>
  <si>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</si>
  <si>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</si>
  <si>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</si>
  <si>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</si>
  <si>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</si>
  <si>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</si>
  <si>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</si>
  <si>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</si>
  <si>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</si>
  <si>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Form 861 with data from 2020</t>
  </si>
  <si>
    <t>Arkansas</t>
  </si>
  <si>
    <t>AR</t>
  </si>
  <si>
    <t>https://www.eia.gov/electricity/data/eia861/</t>
  </si>
  <si>
    <t>California</t>
  </si>
  <si>
    <t>CA</t>
  </si>
  <si>
    <t>Demand_Response_2020.xlsx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</si>
  <si>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</si>
  <si>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</si>
  <si>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</si>
  <si>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</si>
  <si>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</si>
  <si>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</si>
  <si>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</si>
  <si>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</si>
  <si>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</si>
  <si>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</si>
  <si>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</si>
  <si>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</si>
  <si>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</si>
  <si>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</si>
  <si>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</si>
  <si>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</si>
  <si>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</si>
  <si>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</si>
  <si>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</si>
  <si>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</si>
  <si>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</si>
  <si>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</si>
  <si>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</si>
  <si>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</si>
  <si>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</si>
  <si>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</si>
  <si>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</si>
  <si>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</si>
  <si>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</si>
  <si>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</si>
  <si>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</si>
  <si>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</si>
  <si>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</si>
  <si>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</si>
  <si>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</si>
  <si>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</si>
  <si>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</si>
  <si>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</si>
  <si>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</si>
  <si>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</si>
  <si>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</si>
  <si>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</si>
  <si>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</si>
  <si>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</si>
  <si>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</si>
  <si>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</si>
  <si>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Minnesota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</si>
  <si>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</si>
  <si>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</si>
  <si>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</si>
  <si>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</si>
  <si>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</si>
  <si>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</si>
  <si>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</si>
  <si>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</si>
  <si>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</si>
  <si>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</si>
  <si>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</si>
  <si>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</si>
  <si>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</si>
  <si>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</si>
  <si>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</si>
  <si>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</si>
  <si>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</si>
  <si>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</si>
  <si>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</si>
  <si>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</si>
  <si>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</si>
  <si>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</si>
  <si>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</si>
  <si>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</si>
  <si>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</si>
  <si>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</si>
  <si>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</si>
  <si>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</si>
  <si>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</si>
  <si>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</si>
  <si>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</si>
  <si>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</si>
  <si>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</si>
  <si>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</si>
  <si>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</si>
  <si>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</si>
  <si>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</si>
  <si>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</si>
  <si>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</si>
  <si>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</si>
  <si>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</si>
  <si>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</si>
  <si>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</si>
  <si>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</si>
  <si>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</si>
  <si>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</si>
  <si>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</si>
  <si>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</si>
  <si>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</si>
  <si>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</si>
  <si>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</si>
  <si>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</si>
  <si>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</si>
  <si>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</si>
  <si>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</si>
  <si>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</si>
  <si>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</si>
  <si>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</si>
  <si>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</si>
  <si>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</si>
  <si>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</si>
  <si>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</si>
  <si>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</si>
  <si>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</si>
  <si>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</si>
  <si>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</si>
  <si>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</si>
  <si>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</si>
  <si>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</si>
  <si>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</si>
  <si>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</si>
  <si>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</si>
  <si>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</si>
  <si>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</si>
  <si>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</si>
  <si>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</si>
  <si>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</si>
  <si>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</si>
  <si>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</si>
  <si>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</si>
  <si>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</si>
  <si>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</si>
  <si>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</si>
  <si>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</si>
  <si>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</si>
  <si>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</si>
  <si>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</si>
  <si>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Adams-Columbia Electric Coop</t>
  </si>
  <si>
    <t>MISO</t>
  </si>
  <si>
    <t>.</t>
  </si>
  <si>
    <t>Aiken Electric Coop Inc</t>
  </si>
  <si>
    <t>PowerSouth Energy Cooperative</t>
  </si>
  <si>
    <t>AEC</t>
  </si>
  <si>
    <t>Alabama Power Co</t>
  </si>
  <si>
    <t>SOCO</t>
  </si>
  <si>
    <t>Alameda Municipal Power</t>
  </si>
  <si>
    <t>CISO</t>
  </si>
  <si>
    <t>Alaska Electric Light&amp;Power Co</t>
  </si>
  <si>
    <t>NA</t>
  </si>
  <si>
    <t>City of Alexandria - (MN)</t>
  </si>
  <si>
    <t>Allegheny Electric Coop Inc</t>
  </si>
  <si>
    <t>PJM</t>
  </si>
  <si>
    <t>Altamaha Electric Member Corp</t>
  </si>
  <si>
    <t>City of Ames - (IA)</t>
  </si>
  <si>
    <t>City of Anaheim - (CA)</t>
  </si>
  <si>
    <t>Appalachian Power Co</t>
  </si>
  <si>
    <t>Arizona Public Service Co</t>
  </si>
  <si>
    <t>AZPS</t>
  </si>
  <si>
    <t>Arkansas Electric Coop Corp</t>
  </si>
  <si>
    <t>SWPP</t>
  </si>
  <si>
    <t>Entergy Arkansas LLC</t>
  </si>
  <si>
    <t>Atlantic City Electric Co</t>
  </si>
  <si>
    <t>City of Austin - (MN)</t>
  </si>
  <si>
    <t>Austin Energy</t>
  </si>
  <si>
    <t>ERCO</t>
  </si>
  <si>
    <t>Baltimore Gas &amp; Electric Co</t>
  </si>
  <si>
    <t>Barron Electric Coop</t>
  </si>
  <si>
    <t>Bartlett Electric Coop, Inc</t>
  </si>
  <si>
    <t>Beltrami Electric Coop, Inc</t>
  </si>
  <si>
    <t>City of Benton - (AR)</t>
  </si>
  <si>
    <t>Berkeley Electric Coop Inc</t>
  </si>
  <si>
    <t>Big Bend Electric Coop, Inc</t>
  </si>
  <si>
    <t>BPAT</t>
  </si>
  <si>
    <t>Black River Electric Coop, Inc - (SC)</t>
  </si>
  <si>
    <t>Black Hills Electric Coop, Inc</t>
  </si>
  <si>
    <t>Black River Electric Coop - (MO)</t>
  </si>
  <si>
    <t>AECI</t>
  </si>
  <si>
    <t>Blue Grass Energy Coop Corp</t>
  </si>
  <si>
    <t>Blue Ridge Elec Member Corp - (NC)</t>
  </si>
  <si>
    <t>DUK</t>
  </si>
  <si>
    <t>Boone Electric Coop</t>
  </si>
  <si>
    <t>Broad River Electric Coop, Inc</t>
  </si>
  <si>
    <t>Butler County Rural Elec Coop - (IA)</t>
  </si>
  <si>
    <t>C &amp; L Electric Coop Corp</t>
  </si>
  <si>
    <t>Capital Electric Coop, Inc</t>
  </si>
  <si>
    <t>Duke Energy Progress - (NC)</t>
  </si>
  <si>
    <t>CPLE</t>
  </si>
  <si>
    <t>Carteret-Craven El Member Corp</t>
  </si>
  <si>
    <t>City of Cartersville - (GA)</t>
  </si>
  <si>
    <t>Cedar-Knox Public Power Dist</t>
  </si>
  <si>
    <t>Central Alabama Electric Coop</t>
  </si>
  <si>
    <t>Central Georgia El Member Corp</t>
  </si>
  <si>
    <t>Central Hudson Gas &amp; Elec Corp</t>
  </si>
  <si>
    <t>NYIS</t>
  </si>
  <si>
    <t>AEP Texas Central Company</t>
  </si>
  <si>
    <t>Central Power Elec Coop, Inc</t>
  </si>
  <si>
    <t>Choctawhatche Elec Coop, Inc</t>
  </si>
  <si>
    <t>Choptank Electric Cooperative, Inc</t>
  </si>
  <si>
    <t>Duke Energy Ohio Inc</t>
  </si>
  <si>
    <t>Claiborne Electric Coop, Inc</t>
  </si>
  <si>
    <t>Cleveland Electric Illum Co</t>
  </si>
  <si>
    <t>Clay Electric Cooperative, Inc</t>
  </si>
  <si>
    <t>SEC</t>
  </si>
  <si>
    <t>Coles-Moultrie Electric Coop</t>
  </si>
  <si>
    <t>City of Colorado Springs - (CO)</t>
  </si>
  <si>
    <t>PSCO</t>
  </si>
  <si>
    <t>City of Columbia - (MO)</t>
  </si>
  <si>
    <t>City of Columbus - (OH)</t>
  </si>
  <si>
    <t>Commonwealth Edison Co</t>
  </si>
  <si>
    <t>Connecticut Light &amp; Power Co</t>
  </si>
  <si>
    <t>ISNE</t>
  </si>
  <si>
    <t>Consolidated Edison Co-NY Inc</t>
  </si>
  <si>
    <t>Consumers Energy Co</t>
  </si>
  <si>
    <t>Comanche County Elec Coop Assn</t>
  </si>
  <si>
    <t>Corn Belt Energy Corporation</t>
  </si>
  <si>
    <t>Corn Belt Power Coop</t>
  </si>
  <si>
    <t>Covington Electric Coop, Inc</t>
  </si>
  <si>
    <t>Coweta-Fayette El Member Corp</t>
  </si>
  <si>
    <t>City of Covington - (GA)</t>
  </si>
  <si>
    <t>Craighead Electric Coop Corp</t>
  </si>
  <si>
    <t>Crisp County Power Comm</t>
  </si>
  <si>
    <t>Cuivre River Electric Coop Inc</t>
  </si>
  <si>
    <t>City of Danville - (VA)</t>
  </si>
  <si>
    <t>Dawson Power District</t>
  </si>
  <si>
    <t>Decatur County Rural E M C</t>
  </si>
  <si>
    <t>Delmarva Power</t>
  </si>
  <si>
    <t>Delaware Electric Cooperative</t>
  </si>
  <si>
    <t>Denton County Elec Coop, Inc</t>
  </si>
  <si>
    <t>DTE Electric Company</t>
  </si>
  <si>
    <t>Dixie Electric Membership Corp</t>
  </si>
  <si>
    <t>City of Dover - (DE)</t>
  </si>
  <si>
    <t>City of Dover - (OH)</t>
  </si>
  <si>
    <t>Duke Energy Carolinas, LLC</t>
  </si>
  <si>
    <t>Dunn County Electric Coop</t>
  </si>
  <si>
    <t>Town of Danvers</t>
  </si>
  <si>
    <t>Duquesne Light Co</t>
  </si>
  <si>
    <t>East River Elec Pwr Coop, Inc</t>
  </si>
  <si>
    <t>East Kentucky Power Coop, Inc</t>
  </si>
  <si>
    <t>El Paso Electric Co</t>
  </si>
  <si>
    <t>EPE</t>
  </si>
  <si>
    <t>City of Elk River</t>
  </si>
  <si>
    <t>Elkhorn Rural Public Pwr Dist</t>
  </si>
  <si>
    <t>Empire District Electric Co</t>
  </si>
  <si>
    <t>Energy Coop of New York, Inc</t>
  </si>
  <si>
    <t>Excelsior Electric Member Corp</t>
  </si>
  <si>
    <t>Farmers Electric Coop, Inc - (MO)</t>
  </si>
  <si>
    <t>Farmers Electric Coop, Inc - (TX)</t>
  </si>
  <si>
    <t>First Electric Coop Corp</t>
  </si>
  <si>
    <t>Flathead Electric Coop Inc</t>
  </si>
  <si>
    <t>Flint Electric Membership Corp</t>
  </si>
  <si>
    <t>Florida Power &amp; Light Co</t>
  </si>
  <si>
    <t>FPL</t>
  </si>
  <si>
    <t>Duke Energy Florida, LLC</t>
  </si>
  <si>
    <t>FPC</t>
  </si>
  <si>
    <t>City of Fort Collins - (CO)</t>
  </si>
  <si>
    <t>Four County Elec Member Corp</t>
  </si>
  <si>
    <t>Easley Combined Utility System</t>
  </si>
  <si>
    <t>City of Fremont - (NE)</t>
  </si>
  <si>
    <t>Freeborn-Mower Electric Cooperative</t>
  </si>
  <si>
    <t>Buckeye Power, Inc</t>
  </si>
  <si>
    <t>GreyStone Power Corporation</t>
  </si>
  <si>
    <t>Georgia Power Co</t>
  </si>
  <si>
    <t>City of Glendale - (CA)</t>
  </si>
  <si>
    <t>LDWP</t>
  </si>
  <si>
    <t>Golden Spread Electric Cooperative, Inc</t>
  </si>
  <si>
    <t>Great River Energy</t>
  </si>
  <si>
    <t>Green Mountain Power Corp</t>
  </si>
  <si>
    <t>City of Greenville - (TX)</t>
  </si>
  <si>
    <t>Guadalupe Valley Elec Coop Inc</t>
  </si>
  <si>
    <t>Gulf Coast Electric Coop, Inc</t>
  </si>
  <si>
    <t>City of Hamilton - (OH)</t>
  </si>
  <si>
    <t>Harrison County Rural E M C</t>
  </si>
  <si>
    <t>Hart Electric Member Corp</t>
  </si>
  <si>
    <t>Heartland Power Coop</t>
  </si>
  <si>
    <t>Haywood Electric Member Corp</t>
  </si>
  <si>
    <t>Highline Electric Assn</t>
  </si>
  <si>
    <t>WACM</t>
  </si>
  <si>
    <t>Holy Cross Electric Assn, Inc</t>
  </si>
  <si>
    <t>Horry Electric Coop Inc</t>
  </si>
  <si>
    <t>CenterPoint Energy</t>
  </si>
  <si>
    <t>City of Idaho Falls - (ID)</t>
  </si>
  <si>
    <t>PACE</t>
  </si>
  <si>
    <t>Idaho Power Co</t>
  </si>
  <si>
    <t>IPCO</t>
  </si>
  <si>
    <t>City of Independence - (MO)</t>
  </si>
  <si>
    <t>Hoosier Energy R E C, Inc</t>
  </si>
  <si>
    <t>Indianapolis Power &amp; Light Co</t>
  </si>
  <si>
    <t>Illinois Municipal Elec Agency</t>
  </si>
  <si>
    <t>Indiana Michigan Power Co</t>
  </si>
  <si>
    <t>Interstate Power and Light Co</t>
  </si>
  <si>
    <t>Irwin Electric Membership Corp</t>
  </si>
  <si>
    <t>Jackson County Rural E M C - (IN)</t>
  </si>
  <si>
    <t>Jackson Electric Coop, Inc - (TX)</t>
  </si>
  <si>
    <t>Jackson Electric Member Corp - (GA)</t>
  </si>
  <si>
    <t>JEA</t>
  </si>
  <si>
    <t>Jo-Carroll Energy, Inc</t>
  </si>
  <si>
    <t>Johnson County Rural E M C</t>
  </si>
  <si>
    <t>Evergy Metro</t>
  </si>
  <si>
    <t>Evergy Kansas South, Inc</t>
  </si>
  <si>
    <t>Kentucky Utilities Co</t>
  </si>
  <si>
    <t>LGEE</t>
  </si>
  <si>
    <t>Kosciusko County Rural E M C</t>
  </si>
  <si>
    <t>City of Lake Crystal - (MN)</t>
  </si>
  <si>
    <t>Lake Country Power</t>
  </si>
  <si>
    <t>Laurens Electric Coop, Inc</t>
  </si>
  <si>
    <t>Lee County Electric Coop, Inc</t>
  </si>
  <si>
    <t>Lehi City Corporation</t>
  </si>
  <si>
    <t>Lincoln Electric System</t>
  </si>
  <si>
    <t>Long Island Power Authority</t>
  </si>
  <si>
    <t>Los Angeles Department of Water &amp; Power</t>
  </si>
  <si>
    <t>Entergy Louisiana LLC</t>
  </si>
  <si>
    <t>Louisville Gas &amp; Electric Co</t>
  </si>
  <si>
    <t>Loup River Public Power Dist</t>
  </si>
  <si>
    <t>Lower Valley Energy Inc</t>
  </si>
  <si>
    <t>Lumbee River Elec Member Corp</t>
  </si>
  <si>
    <t>City of Madison - (SD)</t>
  </si>
  <si>
    <t>Madison Gas &amp; Electric Co</t>
  </si>
  <si>
    <t>Magic Valley Electric Coop Inc</t>
  </si>
  <si>
    <t>City of Manassas - (VA)</t>
  </si>
  <si>
    <t>City of Marshall - (MN)</t>
  </si>
  <si>
    <t>Town of Massena - (NY)</t>
  </si>
  <si>
    <t>Maui Electric Co Ltd</t>
  </si>
  <si>
    <t>Montana-Dakota Utilities Co</t>
  </si>
  <si>
    <t>City of McPherson - (KS)</t>
  </si>
  <si>
    <t>Mecklenburg Electric Cooperative</t>
  </si>
  <si>
    <t>Medina Electric Coop, Inc</t>
  </si>
  <si>
    <t>Nodak Electric Coop Inc</t>
  </si>
  <si>
    <t>MidAmerican Energy Co</t>
  </si>
  <si>
    <t>Midwest Energy Cooperative</t>
  </si>
  <si>
    <t>Metropolitan Edison Co</t>
  </si>
  <si>
    <t>Menard Electric Coop</t>
  </si>
  <si>
    <t>Midstate Electric Coop, Inc</t>
  </si>
  <si>
    <t>Mid-Carolina Electric Coop Inc</t>
  </si>
  <si>
    <t>Midwest Electric Member Corp</t>
  </si>
  <si>
    <t>ALLETE, Inc.</t>
  </si>
  <si>
    <t>Mississippi County Electric Co</t>
  </si>
  <si>
    <t>Entergy Mississippi LLC</t>
  </si>
  <si>
    <t>Mississippi Power Co</t>
  </si>
  <si>
    <t>Evergy Missouri West</t>
  </si>
  <si>
    <t>Modesto Irrigation District</t>
  </si>
  <si>
    <t>BANC</t>
  </si>
  <si>
    <t>Monongahela Power Co</t>
  </si>
  <si>
    <t>City of Monroe - (NC)</t>
  </si>
  <si>
    <t>NorthWestern Energy LLC - (MT)</t>
  </si>
  <si>
    <t>NWMT</t>
  </si>
  <si>
    <t>City of Moorhead - (MN)</t>
  </si>
  <si>
    <t>City of Naperville - (IL)</t>
  </si>
  <si>
    <t>Navarro County Elec Coop, Inc</t>
  </si>
  <si>
    <t>Nebraska Public Power District</t>
  </si>
  <si>
    <t>Nevada Power Co</t>
  </si>
  <si>
    <t>NEVP</t>
  </si>
  <si>
    <t>New Hampshire Elec Coop Inc</t>
  </si>
  <si>
    <t>Entergy New Orleans, LLC</t>
  </si>
  <si>
    <t>New Smyrna Beach City of</t>
  </si>
  <si>
    <t>NSB</t>
  </si>
  <si>
    <t>New York State Elec &amp; Gas Corp</t>
  </si>
  <si>
    <t>City of Newark - (DE)</t>
  </si>
  <si>
    <t>Newberry Electric Coop, Inc</t>
  </si>
  <si>
    <t>Niagara Mohawk Power Corp.</t>
  </si>
  <si>
    <t>North Carolina Mun Power Agny #1</t>
  </si>
  <si>
    <t>Northern Virginia Elec Coop</t>
  </si>
  <si>
    <t>Norris Public Power District</t>
  </si>
  <si>
    <t>North Arkansas Elec Coop, Inc</t>
  </si>
  <si>
    <t>North Carolina El Member Corp</t>
  </si>
  <si>
    <t>North Carolina Eastern M P A</t>
  </si>
  <si>
    <t>North Central Elec Coop, Inc</t>
  </si>
  <si>
    <t>City of North Platte</t>
  </si>
  <si>
    <t>Northern Lights, Inc</t>
  </si>
  <si>
    <t>Northern Neck Elec Coop, Inc</t>
  </si>
  <si>
    <t>Northern States Power Co</t>
  </si>
  <si>
    <t>Northern States Power Co - Minnesota</t>
  </si>
  <si>
    <t>Northwest Iowa Power Coop</t>
  </si>
  <si>
    <t>Northwestern Wisconsin Elec Co</t>
  </si>
  <si>
    <t>City of Norwood - (MA)</t>
  </si>
  <si>
    <t>Oakdale Electric Coop</t>
  </si>
  <si>
    <t>Ohio Edison Co</t>
  </si>
  <si>
    <t>Ohio Power Co</t>
  </si>
  <si>
    <t>Oklahoma Gas &amp; Electric Co</t>
  </si>
  <si>
    <t>Omaha Public Power District</t>
  </si>
  <si>
    <t>Orange &amp; Rockland Utils Inc</t>
  </si>
  <si>
    <t>Tri-County Electric Coop, Inc (SC)</t>
  </si>
  <si>
    <t>Otter Tail Power Co</t>
  </si>
  <si>
    <t>City of Owatonna - (MN)</t>
  </si>
  <si>
    <t>City of Owensboro - (KY)</t>
  </si>
  <si>
    <t>Pacific Gas &amp; Electric Co.</t>
  </si>
  <si>
    <t>PacifiCorp</t>
  </si>
  <si>
    <t>PACW</t>
  </si>
  <si>
    <t>Palmetto Electric Coop Inc</t>
  </si>
  <si>
    <t>People's Cooperative Services</t>
  </si>
  <si>
    <t>Pee Dee Electric Coop, Inc</t>
  </si>
  <si>
    <t>Orlando Utilities Comm</t>
  </si>
  <si>
    <t>FMPP</t>
  </si>
  <si>
    <t>PUD No 1 of Pend Oreille County</t>
  </si>
  <si>
    <t>AVA</t>
  </si>
  <si>
    <t>PPL Electric Utilities Corp</t>
  </si>
  <si>
    <t>Pennsylvania Power Co</t>
  </si>
  <si>
    <t>Pee Dee Electric Member Corp</t>
  </si>
  <si>
    <t>PECO Energy Co</t>
  </si>
  <si>
    <t>Piedmont Electric Member Corp</t>
  </si>
  <si>
    <t>Portland General Electric Co</t>
  </si>
  <si>
    <t>PGE</t>
  </si>
  <si>
    <t>The Potomac Edison Company</t>
  </si>
  <si>
    <t>Potomac Electric Power Co</t>
  </si>
  <si>
    <t>DC</t>
  </si>
  <si>
    <t>Polk-Burnett Electric Coop</t>
  </si>
  <si>
    <t>Public Service Co of Colorado</t>
  </si>
  <si>
    <t>Duke Energy Indiana, LLC</t>
  </si>
  <si>
    <t>Public Service Co of NH</t>
  </si>
  <si>
    <t>Public Service Co of NM</t>
  </si>
  <si>
    <t>PNM</t>
  </si>
  <si>
    <t>Public Service Co of Oklahoma</t>
  </si>
  <si>
    <t>Public Service Elec &amp; Gas Co</t>
  </si>
  <si>
    <t>Randolph Electric Member Corp</t>
  </si>
  <si>
    <t>Rayle Electric Membership Corp</t>
  </si>
  <si>
    <t>Town of Reading - (MA)</t>
  </si>
  <si>
    <t>Riverland Energy Cooperative</t>
  </si>
  <si>
    <t>Roanoke Electric Member Corp</t>
  </si>
  <si>
    <t>Rochester Public Utilities</t>
  </si>
  <si>
    <t>Rochester Gas &amp; Electric Corp</t>
  </si>
  <si>
    <t>City of Rock Hill - (SC)</t>
  </si>
  <si>
    <t>City of Roseville - (CA)</t>
  </si>
  <si>
    <t>Rutherford Elec Member Corp</t>
  </si>
  <si>
    <t>Sacramento Municipal Util Dist</t>
  </si>
  <si>
    <t>Salt River Project</t>
  </si>
  <si>
    <t>SRP</t>
  </si>
  <si>
    <t>City of San Antonio - (TX)</t>
  </si>
  <si>
    <t>Santee Electric Coop, Inc</t>
  </si>
  <si>
    <t>San Diego Gas &amp; Electric Co</t>
  </si>
  <si>
    <t>Access Energy Coop</t>
  </si>
  <si>
    <t>San Patricio Electric Coop Inc</t>
  </si>
  <si>
    <t>Satilla Rural Elec Member Corporation</t>
  </si>
  <si>
    <t>Scenic Rivers Energy Coop</t>
  </si>
  <si>
    <t>SEMO Electric Cooperative</t>
  </si>
  <si>
    <t>Sawnee Electric Membership Corporation</t>
  </si>
  <si>
    <t>Shakopee Public Utilities Comm</t>
  </si>
  <si>
    <t>Shelby Electric Coop, Inc</t>
  </si>
  <si>
    <t>Shenandoah Valley Elec Coop</t>
  </si>
  <si>
    <t>Sierra Pacific Power Co</t>
  </si>
  <si>
    <t>Sioux Valley SW Elec Coop</t>
  </si>
  <si>
    <t>Dominion Energy South Carolina, Inc</t>
  </si>
  <si>
    <t>SCEG</t>
  </si>
  <si>
    <t>South Carolina Public Service Authority</t>
  </si>
  <si>
    <t>South Plains Electric Coop Inc</t>
  </si>
  <si>
    <t>South River Elec Member Corp</t>
  </si>
  <si>
    <t>City of South Sioux City</t>
  </si>
  <si>
    <t>Southeastern Indiana R E M C</t>
  </si>
  <si>
    <t>Southern California Edison Co</t>
  </si>
  <si>
    <t>Bear Valley Electric Service</t>
  </si>
  <si>
    <t>Southern Indiana Gas &amp; Elec Co</t>
  </si>
  <si>
    <t>Southern Maryland Elec Coop Inc</t>
  </si>
  <si>
    <t>Southwest Arkansas E C C</t>
  </si>
  <si>
    <t>Southwest Louisiana E M C</t>
  </si>
  <si>
    <t>Southwest Public Power Dist</t>
  </si>
  <si>
    <t>Southwestern Electric Power Co</t>
  </si>
  <si>
    <t>Southwestern Public Service Co</t>
  </si>
  <si>
    <t>Snapping Shoals El Member Corp</t>
  </si>
  <si>
    <t>City of St Charles - (IL)</t>
  </si>
  <si>
    <t>Town of Sterling - (MA)</t>
  </si>
  <si>
    <t>Stillwater Utilities Authority</t>
  </si>
  <si>
    <t>Tallapoosa River Elec Coop Inc</t>
  </si>
  <si>
    <t>Sulphur Springs Valley E C Inc</t>
  </si>
  <si>
    <t>WALC</t>
  </si>
  <si>
    <t>Sumter Electric Coop, Inc</t>
  </si>
  <si>
    <t>Superior Water and Light Co</t>
  </si>
  <si>
    <t>City of Tacoma - (WA)</t>
  </si>
  <si>
    <t>TPWR</t>
  </si>
  <si>
    <t>City of Tallahassee - (FL)</t>
  </si>
  <si>
    <t>TAL</t>
  </si>
  <si>
    <t>Tampa Electric Co</t>
  </si>
  <si>
    <t>TEC</t>
  </si>
  <si>
    <t>City of Taunton</t>
  </si>
  <si>
    <t>Tennessee Valley Authority</t>
  </si>
  <si>
    <t>TVA</t>
  </si>
  <si>
    <t>The Toledo Edison Co</t>
  </si>
  <si>
    <t>TriEagle Energy, L.P.</t>
  </si>
  <si>
    <t>MiEnergy Cooperative</t>
  </si>
  <si>
    <t>Tri-County Electric Coop, Inc (OK)</t>
  </si>
  <si>
    <t>Trico Electric Cooperative Inc</t>
  </si>
  <si>
    <t>TXU Energy Retail Co, LLC</t>
  </si>
  <si>
    <t>Tri-County Electric Coop (MI)</t>
  </si>
  <si>
    <t>Union Electric Co - (MO)</t>
  </si>
  <si>
    <t>Duke Energy Kentucky</t>
  </si>
  <si>
    <t>United Electric Coop Service Inc - (TX)</t>
  </si>
  <si>
    <t>United Power, Inc</t>
  </si>
  <si>
    <t>Hawaiian Electric Co Inc</t>
  </si>
  <si>
    <t>HECO</t>
  </si>
  <si>
    <t>UNS Electric, Inc</t>
  </si>
  <si>
    <t>TEPC</t>
  </si>
  <si>
    <t>Verendrye Electric Coop Inc</t>
  </si>
  <si>
    <t>City of Vernon</t>
  </si>
  <si>
    <t>Victory Electric Coop Assn Inc</t>
  </si>
  <si>
    <t>Virginia Electric &amp; Power Co</t>
  </si>
  <si>
    <t>City of Volga - (SD)</t>
  </si>
  <si>
    <t>City of Wadsworth - (OH)</t>
  </si>
  <si>
    <t>Wake Electric Membership Corp</t>
  </si>
  <si>
    <t>West Penn Power Company</t>
  </si>
  <si>
    <t>West River Electric Assn Inc</t>
  </si>
  <si>
    <t>AEP Texas North Company</t>
  </si>
  <si>
    <t>Wharton County Elec Coop, Inc</t>
  </si>
  <si>
    <t>City of Westerville - (OH)</t>
  </si>
  <si>
    <t>Wheeling Power Co</t>
  </si>
  <si>
    <t>Northeastern Rural E M C</t>
  </si>
  <si>
    <t>Wild Rice Electric Coop, Inc</t>
  </si>
  <si>
    <t>Willmar Municipal Utilities</t>
  </si>
  <si>
    <t>Wiregrass Electric Coop, Inc</t>
  </si>
  <si>
    <t>Wisconsin Electric Power Co</t>
  </si>
  <si>
    <t>Wisconsin Power &amp; Light Co</t>
  </si>
  <si>
    <t>WPPI Energy</t>
  </si>
  <si>
    <t>Wisconsin Public Service Corp</t>
  </si>
  <si>
    <t>Withlacoochee River Elec Coop</t>
  </si>
  <si>
    <t>Woodruff Electric Coop Corp</t>
  </si>
  <si>
    <t>York Electric Coop Inc</t>
  </si>
  <si>
    <t>City of Worthington - (MN)</t>
  </si>
  <si>
    <t>Perennial Public Power Dist</t>
  </si>
  <si>
    <t>Southside Electric Coop, Inc</t>
  </si>
  <si>
    <t>Seminole Electric Cooperative Inc</t>
  </si>
  <si>
    <t>EnergyUnited Elec Member Corp</t>
  </si>
  <si>
    <t>Kentucky Power Co</t>
  </si>
  <si>
    <t>Evergy Kansas Central, Inc</t>
  </si>
  <si>
    <t>Tucson Electric Power Co</t>
  </si>
  <si>
    <t>Cass County Elec Coop Inc</t>
  </si>
  <si>
    <t>Western Indiana Energy REMC</t>
  </si>
  <si>
    <t>Electrical Dist No3 Pinal County</t>
  </si>
  <si>
    <t>Texas-New Mexico Power Co</t>
  </si>
  <si>
    <t>Dixie Escalante R E A, Inc</t>
  </si>
  <si>
    <t>Wabash Valley Power Assn, Inc</t>
  </si>
  <si>
    <t>Colquitt Electric Membership Corp</t>
  </si>
  <si>
    <t>Rappahannock Electric Coop</t>
  </si>
  <si>
    <t>Emerald People's Utility Dist</t>
  </si>
  <si>
    <t>Oncor Electric Delivery Company LLC</t>
  </si>
  <si>
    <t>NSTAR Electric Company</t>
  </si>
  <si>
    <t>City of Moreno Valley - (CA)</t>
  </si>
  <si>
    <t>Entergy Texas Inc.</t>
  </si>
  <si>
    <t>Cape Light Compact</t>
  </si>
  <si>
    <t>CKenergy Electric Cooperative</t>
  </si>
  <si>
    <t>Upper Michigan Energy Resources Corp.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</si>
  <si>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</si>
  <si>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</si>
  <si>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</si>
  <si>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</si>
  <si>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US</t>
  </si>
  <si>
    <t>Median Cost ($/MW-yr)</t>
  </si>
  <si>
    <t>Share of DR</t>
  </si>
  <si>
    <t>Unit: $/MW</t>
  </si>
  <si>
    <t>Cost</t>
  </si>
  <si>
    <t>residential</t>
  </si>
  <si>
    <t>government</t>
  </si>
  <si>
    <t>commercial</t>
  </si>
  <si>
    <t>domestic industries</t>
  </si>
  <si>
    <t>industrial</t>
  </si>
  <si>
    <t>labor and consumers</t>
  </si>
  <si>
    <t>foreign entities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</si>
  <si>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</si>
  <si>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</si>
  <si>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</si>
  <si>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</si>
  <si>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</si>
  <si>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If there is an error, use national data</t>
  </si>
  <si>
    <t>Unit: % of DR (dimensionless)</t>
  </si>
  <si>
    <t>share</t>
  </si>
  <si>
    <t>Cost ($/MW)</t>
  </si>
  <si>
    <t>nonenergy industries</t>
  </si>
  <si>
    <t>% of DR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</si>
</sst>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3"/>
  </cellStyleXfs>
  <cellXfs count="68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3" xfId="0" applyFont="1" applyFill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3" fontId="8" fillId="3" borderId="8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right" wrapText="1"/>
    </xf>
    <xf numFmtId="0" fontId="9" fillId="0" borderId="5" xfId="0" applyFont="1" applyBorder="1" applyAlignment="1">
      <alignment horizontal="left" wrapText="1"/>
    </xf>
    <xf numFmtId="3" fontId="8" fillId="3" borderId="8" xfId="0" applyNumberFormat="1" applyFont="1" applyFill="1" applyBorder="1" applyAlignment="1">
      <alignment horizontal="left" wrapText="1"/>
    </xf>
    <xf numFmtId="3" fontId="9" fillId="4" borderId="5" xfId="0" applyNumberFormat="1" applyFont="1" applyFill="1" applyBorder="1" applyAlignment="1">
      <alignment horizontal="right" wrapText="1"/>
    </xf>
    <xf numFmtId="3" fontId="9" fillId="6" borderId="5" xfId="0" applyNumberFormat="1" applyFont="1" applyFill="1" applyBorder="1" applyAlignment="1">
      <alignment horizontal="right" wrapText="1"/>
    </xf>
    <xf numFmtId="165" fontId="9" fillId="4" borderId="5" xfId="0" applyNumberFormat="1" applyFont="1" applyFill="1" applyBorder="1" applyAlignment="1">
      <alignment horizontal="right" wrapText="1"/>
    </xf>
    <xf numFmtId="165" fontId="9" fillId="6" borderId="5" xfId="0" applyNumberFormat="1" applyFont="1" applyFill="1" applyBorder="1" applyAlignment="1">
      <alignment horizontal="right" wrapText="1"/>
    </xf>
    <xf numFmtId="3" fontId="9" fillId="5" borderId="5" xfId="0" applyNumberFormat="1" applyFont="1" applyFill="1" applyBorder="1" applyAlignment="1">
      <alignment horizontal="right" wrapText="1"/>
    </xf>
    <xf numFmtId="3" fontId="9" fillId="7" borderId="5" xfId="0" applyNumberFormat="1" applyFont="1" applyFill="1" applyBorder="1" applyAlignment="1">
      <alignment horizontal="right" wrapText="1"/>
    </xf>
    <xf numFmtId="3" fontId="9" fillId="0" borderId="5" xfId="0" applyNumberFormat="1" applyFont="1" applyBorder="1" applyAlignment="1">
      <alignment horizontal="right" wrapText="1"/>
    </xf>
    <xf numFmtId="3" fontId="8" fillId="3" borderId="9" xfId="0" applyNumberFormat="1" applyFont="1" applyFill="1" applyBorder="1" applyAlignment="1">
      <alignment horizontal="lef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0" fontId="5" fillId="2" borderId="3" xfId="0" applyFont="1" applyFill="1"/>
    <xf numFmtId="0" fontId="8" fillId="8" borderId="3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5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wrapText="1"/>
    </xf>
    <xf numFmtId="0" fontId="11" fillId="0" borderId="15" xfId="0" applyFont="1" applyBorder="1" applyAlignment="1">
      <alignment horizontal="right" wrapText="1"/>
    </xf>
    <xf numFmtId="0" fontId="11" fillId="0" borderId="15" xfId="0" applyFont="1" applyBorder="1" applyAlignment="1">
      <alignment horizontal="left" wrapText="1"/>
    </xf>
    <xf numFmtId="3" fontId="10" fillId="10" borderId="15" xfId="0" applyNumberFormat="1" applyFont="1" applyFill="1" applyBorder="1" applyAlignment="1">
      <alignment horizontal="center" vertical="center" wrapText="1"/>
    </xf>
    <xf numFmtId="3" fontId="11" fillId="10" borderId="15" xfId="0" applyNumberFormat="1" applyFont="1" applyFill="1" applyBorder="1" applyAlignment="1">
      <alignment horizontal="right" wrapText="1"/>
    </xf>
    <xf numFmtId="3" fontId="10" fillId="11" borderId="15" xfId="0" applyNumberFormat="1" applyFont="1" applyFill="1" applyBorder="1" applyAlignment="1">
      <alignment horizontal="center" vertical="center" wrapText="1"/>
    </xf>
    <xf numFmtId="165" fontId="10" fillId="10" borderId="15" xfId="0" applyNumberFormat="1" applyFont="1" applyFill="1" applyBorder="1" applyAlignment="1">
      <alignment horizontal="center" vertical="center" wrapText="1"/>
    </xf>
    <xf numFmtId="165" fontId="10" fillId="11" borderId="15" xfId="0" applyNumberFormat="1" applyFont="1" applyFill="1" applyBorder="1" applyAlignment="1">
      <alignment horizontal="center" vertical="center" wrapText="1"/>
    </xf>
    <xf numFmtId="3" fontId="10" fillId="12" borderId="15" xfId="0" applyNumberFormat="1" applyFont="1" applyFill="1" applyBorder="1" applyAlignment="1">
      <alignment horizontal="center" vertical="center" wrapText="1"/>
    </xf>
    <xf numFmtId="3" fontId="10" fillId="13" borderId="15" xfId="0" applyNumberFormat="1" applyFont="1" applyFill="1" applyBorder="1" applyAlignment="1">
      <alignment horizontal="center" vertical="center" wrapText="1"/>
    </xf>
    <xf numFmtId="3" fontId="10" fillId="9" borderId="15" xfId="0" applyNumberFormat="1" applyFont="1" applyFill="1" applyBorder="1" applyAlignment="1">
      <alignment horizontal="center" vertical="center" wrapText="1"/>
    </xf>
    <xf numFmtId="3" fontId="11" fillId="11" borderId="15" xfId="0" applyNumberFormat="1" applyFont="1" applyFill="1" applyBorder="1" applyAlignment="1">
      <alignment horizontal="right" wrapText="1"/>
    </xf>
    <xf numFmtId="165" fontId="11" fillId="10" borderId="15" xfId="0" applyNumberFormat="1" applyFont="1" applyFill="1" applyBorder="1" applyAlignment="1">
      <alignment horizontal="right" wrapText="1"/>
    </xf>
    <xf numFmtId="165" fontId="11" fillId="11" borderId="15" xfId="0" applyNumberFormat="1" applyFont="1" applyFill="1" applyBorder="1" applyAlignment="1">
      <alignment horizontal="right" wrapText="1"/>
    </xf>
    <xf numFmtId="3" fontId="11" fillId="12" borderId="15" xfId="0" applyNumberFormat="1" applyFont="1" applyFill="1" applyBorder="1" applyAlignment="1">
      <alignment horizontal="right" wrapText="1"/>
    </xf>
    <xf numFmtId="3" fontId="11" fillId="13" borderId="15" xfId="0" applyNumberFormat="1" applyFont="1" applyFill="1" applyBorder="1" applyAlignment="1">
      <alignment horizontal="right" wrapText="1"/>
    </xf>
    <xf numFmtId="3" fontId="11" fillId="0" borderId="15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5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0" fillId="11" borderId="15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8" fillId="3" borderId="12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7" fillId="4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2"/>
  <cols>
    <col min="1" max="1" width="7.625" customWidth="1"/>
    <col min="2" max="2" width="43.125" customWidth="1"/>
    <col min="3" max="26" width="7.625" customWidth="1"/>
  </cols>
  <sheetData>
    <row r="1" spans="1:9" ht="14.85" customHeight="1" x14ac:dyDescent="0.25">
      <c r="A1" s="1" t="s">
        <v>0</v>
      </c>
      <c r="B1" s="2" t="s">
        <v>1</v>
      </c>
      <c r="C1" s="52">
        <v>45194</v>
      </c>
    </row>
    <row r="2" spans="1:9" ht="14.85" customHeight="1" x14ac:dyDescent="0.25">
      <c r="A2" s="1" t="s">
        <v>2</v>
      </c>
      <c r="B2" s="2" t="str">
        <f>LOOKUP(B1,H3:I52,I3:I52)</f>
        <v>IL</v>
      </c>
      <c r="H2" s="3" t="s">
        <v>3</v>
      </c>
      <c r="I2" s="3" t="s">
        <v>3</v>
      </c>
    </row>
    <row r="3" spans="1:9" ht="14.85" customHeight="1" x14ac:dyDescent="0.25">
      <c r="H3" s="4" t="s">
        <v>4</v>
      </c>
      <c r="I3" s="4" t="s">
        <v>5</v>
      </c>
    </row>
    <row r="4" spans="1:9" ht="14.85" customHeight="1" x14ac:dyDescent="0.25">
      <c r="A4" s="1" t="s">
        <v>6</v>
      </c>
      <c r="B4" s="2" t="s">
        <v>7</v>
      </c>
      <c r="H4" s="4" t="s">
        <v>8</v>
      </c>
      <c r="I4" s="4" t="s">
        <v>9</v>
      </c>
    </row>
    <row r="5" spans="1:9" ht="14.85" customHeight="1" x14ac:dyDescent="0.25">
      <c r="B5" s="5">
        <v>2020</v>
      </c>
      <c r="H5" s="4" t="s">
        <v>10</v>
      </c>
      <c r="I5" s="4" t="s">
        <v>11</v>
      </c>
    </row>
    <row r="6" spans="1:9" ht="14.85" customHeight="1" x14ac:dyDescent="0.25">
      <c r="B6" s="2" t="s">
        <v>12</v>
      </c>
      <c r="H6" s="4" t="s">
        <v>13</v>
      </c>
      <c r="I6" s="4" t="s">
        <v>14</v>
      </c>
    </row>
    <row r="7" spans="1:9" ht="14.85" customHeight="1" x14ac:dyDescent="0.25">
      <c r="B7" s="6" t="s">
        <v>15</v>
      </c>
      <c r="H7" s="4" t="s">
        <v>16</v>
      </c>
      <c r="I7" s="4" t="s">
        <v>17</v>
      </c>
    </row>
    <row r="8" spans="1:9" ht="14.85" customHeight="1" x14ac:dyDescent="0.25">
      <c r="B8" s="2" t="s">
        <v>18</v>
      </c>
      <c r="H8" s="4" t="s">
        <v>19</v>
      </c>
      <c r="I8" s="4" t="s">
        <v>20</v>
      </c>
    </row>
    <row r="9" spans="1:9" ht="14.85" customHeight="1" x14ac:dyDescent="0.25">
      <c r="H9" s="4" t="s">
        <v>21</v>
      </c>
      <c r="I9" s="4" t="s">
        <v>22</v>
      </c>
    </row>
    <row r="10" spans="1:9" ht="14.85" customHeight="1" x14ac:dyDescent="0.25">
      <c r="A10" s="1" t="s">
        <v>23</v>
      </c>
      <c r="H10" s="4" t="s">
        <v>24</v>
      </c>
      <c r="I10" s="4" t="s">
        <v>25</v>
      </c>
    </row>
    <row r="11" spans="1:9" ht="14.85" customHeight="1" x14ac:dyDescent="0.25">
      <c r="A11" s="2" t="s">
        <v>26</v>
      </c>
      <c r="H11" s="4" t="s">
        <v>27</v>
      </c>
      <c r="I11" s="4" t="s">
        <v>28</v>
      </c>
    </row>
    <row r="12" spans="1:9" ht="14.85" customHeight="1" x14ac:dyDescent="0.25">
      <c r="A12" s="2" t="s">
        <v>29</v>
      </c>
      <c r="H12" s="4" t="s">
        <v>30</v>
      </c>
      <c r="I12" s="4" t="s">
        <v>31</v>
      </c>
    </row>
    <row r="13" spans="1:9" ht="14.85" customHeight="1" x14ac:dyDescent="0.25">
      <c r="A13" s="2" t="s">
        <v>32</v>
      </c>
      <c r="H13" s="4" t="s">
        <v>33</v>
      </c>
      <c r="I13" s="4" t="s">
        <v>34</v>
      </c>
    </row>
    <row r="14" spans="1:9" ht="14.85" customHeight="1" x14ac:dyDescent="0.25">
      <c r="A14" s="2" t="s">
        <v>35</v>
      </c>
      <c r="H14" s="4" t="s">
        <v>36</v>
      </c>
      <c r="I14" s="4" t="s">
        <v>37</v>
      </c>
    </row>
    <row r="15" spans="1:9" ht="14.85" customHeight="1" x14ac:dyDescent="0.25">
      <c r="H15" s="4" t="s">
        <v>1</v>
      </c>
      <c r="I15" s="4" t="s">
        <v>38</v>
      </c>
    </row>
    <row r="16" spans="1:9" ht="14.85" customHeight="1" x14ac:dyDescent="0.25">
      <c r="A16" s="2" t="s">
        <v>39</v>
      </c>
      <c r="H16" s="4" t="s">
        <v>40</v>
      </c>
      <c r="I16" s="4" t="s">
        <v>41</v>
      </c>
    </row>
    <row r="17" spans="1:9" ht="14.85" customHeight="1" x14ac:dyDescent="0.25">
      <c r="A17" s="2" t="s">
        <v>42</v>
      </c>
      <c r="H17" s="4" t="s">
        <v>43</v>
      </c>
      <c r="I17" s="4" t="s">
        <v>44</v>
      </c>
    </row>
    <row r="18" spans="1:9" ht="14.85" customHeight="1" x14ac:dyDescent="0.25">
      <c r="A18" s="2" t="s">
        <v>45</v>
      </c>
      <c r="H18" s="4" t="s">
        <v>46</v>
      </c>
      <c r="I18" s="4" t="s">
        <v>47</v>
      </c>
    </row>
    <row r="19" spans="1:9" ht="14.85" customHeight="1" x14ac:dyDescent="0.25">
      <c r="A19" s="2" t="s">
        <v>48</v>
      </c>
      <c r="H19" s="4" t="s">
        <v>49</v>
      </c>
      <c r="I19" s="4" t="s">
        <v>50</v>
      </c>
    </row>
    <row r="20" spans="1:9" ht="14.85" customHeight="1" x14ac:dyDescent="0.25">
      <c r="H20" s="4" t="s">
        <v>51</v>
      </c>
      <c r="I20" s="4" t="s">
        <v>52</v>
      </c>
    </row>
    <row r="21" spans="1:9" ht="15.75" customHeight="1" x14ac:dyDescent="0.25">
      <c r="A21" s="2" t="s">
        <v>53</v>
      </c>
      <c r="H21" s="4" t="s">
        <v>54</v>
      </c>
      <c r="I21" s="4" t="s">
        <v>55</v>
      </c>
    </row>
    <row r="22" spans="1:9" ht="15.75" customHeight="1" x14ac:dyDescent="0.25">
      <c r="A22" s="2" t="s">
        <v>56</v>
      </c>
      <c r="H22" s="4" t="s">
        <v>57</v>
      </c>
      <c r="I22" s="4" t="s">
        <v>58</v>
      </c>
    </row>
    <row r="23" spans="1:9" ht="15.75" customHeight="1" x14ac:dyDescent="0.25">
      <c r="H23" s="4" t="s">
        <v>59</v>
      </c>
      <c r="I23" s="4" t="s">
        <v>60</v>
      </c>
    </row>
    <row r="24" spans="1:9" ht="15.75" customHeight="1" x14ac:dyDescent="0.25">
      <c r="A24" s="2" t="s">
        <v>61</v>
      </c>
      <c r="H24" s="4" t="s">
        <v>62</v>
      </c>
      <c r="I24" s="4" t="s">
        <v>63</v>
      </c>
    </row>
    <row r="25" spans="1:9" ht="15.75" customHeight="1" x14ac:dyDescent="0.25">
      <c r="A25" s="2" t="s">
        <v>64</v>
      </c>
      <c r="H25" s="4" t="s">
        <v>65</v>
      </c>
      <c r="I25" s="4" t="s">
        <v>66</v>
      </c>
    </row>
    <row r="26" spans="1:9" ht="15.75" customHeight="1" x14ac:dyDescent="0.25">
      <c r="A26" s="2" t="s">
        <v>67</v>
      </c>
      <c r="H26" s="4" t="s">
        <v>68</v>
      </c>
      <c r="I26" s="4" t="s">
        <v>69</v>
      </c>
    </row>
    <row r="27" spans="1:9" ht="15.75" customHeight="1" x14ac:dyDescent="0.25">
      <c r="H27" s="4" t="s">
        <v>70</v>
      </c>
      <c r="I27" s="4" t="s">
        <v>71</v>
      </c>
    </row>
    <row r="28" spans="1:9" ht="15.75" customHeight="1" x14ac:dyDescent="0.25">
      <c r="A28" s="2" t="s">
        <v>72</v>
      </c>
      <c r="H28" s="4" t="s">
        <v>73</v>
      </c>
      <c r="I28" s="4" t="s">
        <v>74</v>
      </c>
    </row>
    <row r="29" spans="1:9" ht="15.75" customHeight="1" x14ac:dyDescent="0.25">
      <c r="A29" s="2" t="s">
        <v>75</v>
      </c>
      <c r="H29" s="4" t="s">
        <v>76</v>
      </c>
      <c r="I29" s="4" t="s">
        <v>77</v>
      </c>
    </row>
    <row r="30" spans="1:9" ht="15.75" customHeight="1" x14ac:dyDescent="0.25">
      <c r="A30" s="2" t="s">
        <v>78</v>
      </c>
      <c r="H30" s="4" t="s">
        <v>79</v>
      </c>
      <c r="I30" s="4" t="s">
        <v>80</v>
      </c>
    </row>
    <row r="31" spans="1:9" ht="15.75" customHeight="1" x14ac:dyDescent="0.25">
      <c r="H31" s="4" t="s">
        <v>81</v>
      </c>
      <c r="I31" s="4" t="s">
        <v>82</v>
      </c>
    </row>
    <row r="32" spans="1:9" ht="15.75" customHeight="1" x14ac:dyDescent="0.25">
      <c r="A32" s="1" t="s">
        <v>83</v>
      </c>
      <c r="H32" s="4" t="s">
        <v>84</v>
      </c>
      <c r="I32" s="4" t="s">
        <v>85</v>
      </c>
    </row>
    <row r="33" spans="1:9" ht="15.75" customHeight="1" x14ac:dyDescent="0.25">
      <c r="A33" s="5" t="s">
        <v>86</v>
      </c>
      <c r="H33" s="4" t="s">
        <v>87</v>
      </c>
      <c r="I33" s="4" t="s">
        <v>88</v>
      </c>
    </row>
    <row r="34" spans="1:9" ht="15.75" customHeight="1" x14ac:dyDescent="0.25">
      <c r="A34" s="7">
        <v>0.9143</v>
      </c>
      <c r="H34" s="4" t="s">
        <v>89</v>
      </c>
      <c r="I34" s="4" t="s">
        <v>90</v>
      </c>
    </row>
    <row r="35" spans="1:9" ht="15.75" customHeight="1" x14ac:dyDescent="0.25">
      <c r="H35" s="4" t="s">
        <v>91</v>
      </c>
      <c r="I35" s="4" t="s">
        <v>92</v>
      </c>
    </row>
    <row r="36" spans="1:9" ht="15.75" customHeight="1" x14ac:dyDescent="0.25">
      <c r="H36" s="4" t="s">
        <v>93</v>
      </c>
      <c r="I36" s="4" t="s">
        <v>94</v>
      </c>
    </row>
    <row r="37" spans="1:9" ht="15.75" customHeight="1" x14ac:dyDescent="0.25">
      <c r="H37" s="4" t="s">
        <v>95</v>
      </c>
      <c r="I37" s="4" t="s">
        <v>96</v>
      </c>
    </row>
    <row r="38" spans="1:9" ht="15.75" customHeight="1" x14ac:dyDescent="0.25">
      <c r="H38" s="4" t="s">
        <v>97</v>
      </c>
      <c r="I38" s="4" t="s">
        <v>98</v>
      </c>
    </row>
    <row r="39" spans="1:9" ht="15.75" customHeight="1" x14ac:dyDescent="0.25">
      <c r="H39" s="4" t="s">
        <v>99</v>
      </c>
      <c r="I39" s="4" t="s">
        <v>100</v>
      </c>
    </row>
    <row r="40" spans="1:9" ht="15.75" customHeight="1" x14ac:dyDescent="0.25">
      <c r="H40" s="4" t="s">
        <v>101</v>
      </c>
      <c r="I40" s="4" t="s">
        <v>102</v>
      </c>
    </row>
    <row r="41" spans="1:9" ht="15.75" customHeight="1" x14ac:dyDescent="0.25">
      <c r="H41" s="4" t="s">
        <v>103</v>
      </c>
      <c r="I41" s="4" t="s">
        <v>104</v>
      </c>
    </row>
    <row r="42" spans="1:9" ht="15.75" customHeight="1" x14ac:dyDescent="0.25">
      <c r="H42" s="4" t="s">
        <v>105</v>
      </c>
      <c r="I42" s="4" t="s">
        <v>106</v>
      </c>
    </row>
    <row r="43" spans="1:9" ht="15.75" customHeight="1" x14ac:dyDescent="0.25">
      <c r="H43" s="4" t="s">
        <v>107</v>
      </c>
      <c r="I43" s="4" t="s">
        <v>108</v>
      </c>
    </row>
    <row r="44" spans="1:9" ht="15.75" customHeight="1" x14ac:dyDescent="0.25">
      <c r="H44" s="4" t="s">
        <v>109</v>
      </c>
      <c r="I44" s="4" t="s">
        <v>110</v>
      </c>
    </row>
    <row r="45" spans="1:9" ht="15.75" customHeight="1" x14ac:dyDescent="0.25">
      <c r="H45" s="4" t="s">
        <v>111</v>
      </c>
      <c r="I45" s="4" t="s">
        <v>112</v>
      </c>
    </row>
    <row r="46" spans="1:9" ht="15.75" customHeight="1" x14ac:dyDescent="0.25">
      <c r="H46" s="4" t="s">
        <v>113</v>
      </c>
      <c r="I46" s="4" t="s">
        <v>114</v>
      </c>
    </row>
    <row r="47" spans="1:9" ht="15.75" customHeight="1" x14ac:dyDescent="0.25">
      <c r="H47" s="4" t="s">
        <v>115</v>
      </c>
      <c r="I47" s="4" t="s">
        <v>116</v>
      </c>
    </row>
    <row r="48" spans="1:9" ht="15.75" customHeight="1" x14ac:dyDescent="0.25">
      <c r="H48" s="4" t="s">
        <v>117</v>
      </c>
      <c r="I48" s="4" t="s">
        <v>118</v>
      </c>
    </row>
    <row r="49" spans="8:9" ht="15.75" customHeight="1" x14ac:dyDescent="0.25">
      <c r="H49" s="4" t="s">
        <v>119</v>
      </c>
      <c r="I49" s="4" t="s">
        <v>120</v>
      </c>
    </row>
    <row r="50" spans="8:9" ht="15.75" customHeight="1" x14ac:dyDescent="0.25">
      <c r="H50" s="4" t="s">
        <v>121</v>
      </c>
      <c r="I50" s="4" t="s">
        <v>122</v>
      </c>
    </row>
    <row r="51" spans="8:9" ht="15.75" customHeight="1" x14ac:dyDescent="0.25">
      <c r="H51" s="4" t="s">
        <v>123</v>
      </c>
      <c r="I51" s="4" t="s">
        <v>124</v>
      </c>
    </row>
    <row r="52" spans="8:9" ht="15.75" customHeight="1" x14ac:dyDescent="0.25">
      <c r="H52" s="4" t="s">
        <v>125</v>
      </c>
      <c r="I52" s="4" t="s">
        <v>126</v>
      </c>
    </row>
    <row r="53" spans="8:9" ht="15.75" customHeight="1" x14ac:dyDescent="0.2"/>
    <row r="54" spans="8:9" ht="15.75" customHeight="1" x14ac:dyDescent="0.2"/>
    <row r="55" spans="8:9" ht="15.75" customHeight="1" x14ac:dyDescent="0.2"/>
    <row r="56" spans="8:9" ht="15.75" customHeight="1" x14ac:dyDescent="0.2"/>
    <row r="57" spans="8:9" ht="15.75" customHeight="1" x14ac:dyDescent="0.2"/>
    <row r="58" spans="8:9" ht="15.75" customHeight="1" x14ac:dyDescent="0.2"/>
    <row r="59" spans="8:9" ht="15.75" customHeight="1" x14ac:dyDescent="0.2"/>
    <row r="60" spans="8:9" ht="15.75" customHeight="1" x14ac:dyDescent="0.2"/>
    <row r="61" spans="8:9" ht="15.75" customHeight="1" x14ac:dyDescent="0.2"/>
    <row r="62" spans="8:9" ht="15.75" customHeight="1" x14ac:dyDescent="0.2"/>
    <row r="63" spans="8:9" ht="15.75" customHeight="1" x14ac:dyDescent="0.2"/>
    <row r="64" spans="8: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2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2">
      <c r="A1" s="59" t="s">
        <v>127</v>
      </c>
      <c r="B1" s="60"/>
      <c r="C1" s="60"/>
      <c r="D1" s="61"/>
      <c r="E1" s="8"/>
      <c r="F1" s="62" t="s">
        <v>128</v>
      </c>
      <c r="G1" s="63"/>
      <c r="H1" s="63"/>
      <c r="I1" s="63"/>
      <c r="J1" s="66" t="s">
        <v>129</v>
      </c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1"/>
      <c r="AD1" s="67" t="s">
        <v>130</v>
      </c>
      <c r="AE1" s="60"/>
      <c r="AF1" s="60"/>
      <c r="AG1" s="60"/>
      <c r="AH1" s="60"/>
      <c r="AI1" s="60"/>
      <c r="AJ1" s="60"/>
      <c r="AK1" s="60"/>
      <c r="AL1" s="60"/>
      <c r="AM1" s="61"/>
      <c r="AN1" s="9" t="s">
        <v>131</v>
      </c>
    </row>
    <row r="2" spans="1:40" ht="14.25" customHeight="1" x14ac:dyDescent="0.2">
      <c r="A2" s="59"/>
      <c r="B2" s="60"/>
      <c r="C2" s="60"/>
      <c r="D2" s="61"/>
      <c r="E2" s="8"/>
      <c r="F2" s="64"/>
      <c r="G2" s="65"/>
      <c r="H2" s="65"/>
      <c r="I2" s="65"/>
      <c r="J2" s="53" t="s">
        <v>132</v>
      </c>
      <c r="K2" s="54"/>
      <c r="L2" s="54"/>
      <c r="M2" s="54"/>
      <c r="N2" s="55"/>
      <c r="O2" s="56" t="s">
        <v>133</v>
      </c>
      <c r="P2" s="54"/>
      <c r="Q2" s="54"/>
      <c r="R2" s="54"/>
      <c r="S2" s="55"/>
      <c r="T2" s="53" t="s">
        <v>134</v>
      </c>
      <c r="U2" s="54"/>
      <c r="V2" s="54"/>
      <c r="W2" s="54"/>
      <c r="X2" s="55"/>
      <c r="Y2" s="56" t="s">
        <v>135</v>
      </c>
      <c r="Z2" s="54"/>
      <c r="AA2" s="54"/>
      <c r="AB2" s="54"/>
      <c r="AC2" s="55"/>
      <c r="AD2" s="57" t="s">
        <v>136</v>
      </c>
      <c r="AE2" s="54"/>
      <c r="AF2" s="54"/>
      <c r="AG2" s="54"/>
      <c r="AH2" s="55"/>
      <c r="AI2" s="58" t="s">
        <v>137</v>
      </c>
      <c r="AJ2" s="54"/>
      <c r="AK2" s="54"/>
      <c r="AL2" s="54"/>
      <c r="AM2" s="55"/>
      <c r="AN2" s="33" t="s">
        <v>138</v>
      </c>
    </row>
    <row r="3" spans="1:40" ht="60" customHeight="1" x14ac:dyDescent="0.2">
      <c r="A3" s="33" t="s">
        <v>139</v>
      </c>
      <c r="B3" s="33" t="s">
        <v>140</v>
      </c>
      <c r="C3" s="33" t="s">
        <v>141</v>
      </c>
      <c r="D3" s="33" t="s">
        <v>3</v>
      </c>
      <c r="E3" s="33" t="s">
        <v>142</v>
      </c>
      <c r="F3" s="10" t="s">
        <v>143</v>
      </c>
      <c r="G3" s="10" t="s">
        <v>144</v>
      </c>
      <c r="H3" s="10" t="s">
        <v>145</v>
      </c>
      <c r="I3" s="10" t="s">
        <v>146</v>
      </c>
      <c r="J3" s="37" t="s">
        <v>147</v>
      </c>
      <c r="K3" s="37" t="s">
        <v>148</v>
      </c>
      <c r="L3" s="37" t="s">
        <v>149</v>
      </c>
      <c r="M3" s="37" t="s">
        <v>150</v>
      </c>
      <c r="N3" s="37" t="s">
        <v>151</v>
      </c>
      <c r="O3" s="39" t="s">
        <v>147</v>
      </c>
      <c r="P3" s="39" t="s">
        <v>148</v>
      </c>
      <c r="Q3" s="39" t="s">
        <v>149</v>
      </c>
      <c r="R3" s="39" t="s">
        <v>150</v>
      </c>
      <c r="S3" s="39" t="s">
        <v>151</v>
      </c>
      <c r="T3" s="40" t="s">
        <v>147</v>
      </c>
      <c r="U3" s="40" t="s">
        <v>148</v>
      </c>
      <c r="V3" s="40" t="s">
        <v>149</v>
      </c>
      <c r="W3" s="40" t="s">
        <v>150</v>
      </c>
      <c r="X3" s="40" t="s">
        <v>151</v>
      </c>
      <c r="Y3" s="41" t="s">
        <v>147</v>
      </c>
      <c r="Z3" s="41" t="s">
        <v>148</v>
      </c>
      <c r="AA3" s="41" t="s">
        <v>149</v>
      </c>
      <c r="AB3" s="41" t="s">
        <v>150</v>
      </c>
      <c r="AC3" s="41" t="s">
        <v>151</v>
      </c>
      <c r="AD3" s="42" t="s">
        <v>147</v>
      </c>
      <c r="AE3" s="42" t="s">
        <v>148</v>
      </c>
      <c r="AF3" s="42" t="s">
        <v>149</v>
      </c>
      <c r="AG3" s="42" t="s">
        <v>150</v>
      </c>
      <c r="AH3" s="42" t="s">
        <v>151</v>
      </c>
      <c r="AI3" s="43" t="s">
        <v>147</v>
      </c>
      <c r="AJ3" s="43" t="s">
        <v>148</v>
      </c>
      <c r="AK3" s="43" t="s">
        <v>149</v>
      </c>
      <c r="AL3" s="43" t="s">
        <v>150</v>
      </c>
      <c r="AM3" s="43" t="s">
        <v>151</v>
      </c>
      <c r="AN3" s="44" t="s">
        <v>152</v>
      </c>
    </row>
    <row r="4" spans="1:40" ht="15.95" customHeight="1" x14ac:dyDescent="0.25">
      <c r="A4" s="34">
        <v>2020</v>
      </c>
      <c r="B4" s="35">
        <v>108</v>
      </c>
      <c r="C4" s="36" t="s">
        <v>153</v>
      </c>
      <c r="D4" s="36" t="s">
        <v>124</v>
      </c>
      <c r="E4" s="36" t="s">
        <v>154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155</v>
      </c>
      <c r="K4" s="38" t="s">
        <v>155</v>
      </c>
      <c r="L4" s="38">
        <v>940</v>
      </c>
      <c r="M4" s="38" t="s">
        <v>155</v>
      </c>
      <c r="N4" s="38">
        <v>940</v>
      </c>
      <c r="O4" s="45" t="s">
        <v>155</v>
      </c>
      <c r="P4" s="45" t="s">
        <v>155</v>
      </c>
      <c r="Q4" s="45">
        <v>12708.8</v>
      </c>
      <c r="R4" s="45" t="s">
        <v>155</v>
      </c>
      <c r="S4" s="45">
        <v>12708.8</v>
      </c>
      <c r="T4" s="46" t="s">
        <v>155</v>
      </c>
      <c r="U4" s="46" t="s">
        <v>155</v>
      </c>
      <c r="V4" s="46">
        <v>61.1</v>
      </c>
      <c r="W4" s="46" t="s">
        <v>155</v>
      </c>
      <c r="X4" s="46">
        <v>61.1</v>
      </c>
      <c r="Y4" s="47" t="s">
        <v>155</v>
      </c>
      <c r="Z4" s="47" t="s">
        <v>155</v>
      </c>
      <c r="AA4" s="47">
        <v>11.7</v>
      </c>
      <c r="AB4" s="47" t="s">
        <v>155</v>
      </c>
      <c r="AC4" s="47">
        <v>11.7</v>
      </c>
      <c r="AD4" s="48" t="s">
        <v>155</v>
      </c>
      <c r="AE4" s="48" t="s">
        <v>155</v>
      </c>
      <c r="AF4" s="48">
        <v>309.714</v>
      </c>
      <c r="AG4" s="48" t="s">
        <v>155</v>
      </c>
      <c r="AH4" s="48">
        <v>309.714</v>
      </c>
      <c r="AI4" s="49" t="s">
        <v>155</v>
      </c>
      <c r="AJ4" s="49" t="s">
        <v>155</v>
      </c>
      <c r="AK4" s="49">
        <v>100.46</v>
      </c>
      <c r="AL4" s="49" t="s">
        <v>155</v>
      </c>
      <c r="AM4" s="49">
        <v>100.46</v>
      </c>
      <c r="AN4" s="50" t="s">
        <v>155</v>
      </c>
    </row>
    <row r="5" spans="1:40" ht="14.85" customHeight="1" x14ac:dyDescent="0.25">
      <c r="A5" s="34">
        <v>2020</v>
      </c>
      <c r="B5" s="35">
        <v>162</v>
      </c>
      <c r="C5" s="36" t="s">
        <v>156</v>
      </c>
      <c r="D5" s="36" t="s">
        <v>106</v>
      </c>
      <c r="E5" s="36" t="s">
        <v>106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85" customHeight="1" x14ac:dyDescent="0.25">
      <c r="A6" s="34">
        <v>2020</v>
      </c>
      <c r="B6" s="35">
        <v>189</v>
      </c>
      <c r="C6" s="36" t="s">
        <v>157</v>
      </c>
      <c r="D6" s="36" t="s">
        <v>5</v>
      </c>
      <c r="E6" s="36" t="s">
        <v>158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155</v>
      </c>
      <c r="L6" s="38" t="s">
        <v>155</v>
      </c>
      <c r="M6" s="38" t="s">
        <v>155</v>
      </c>
      <c r="N6" s="38">
        <v>20734</v>
      </c>
      <c r="O6" s="45">
        <v>0</v>
      </c>
      <c r="P6" s="45" t="s">
        <v>155</v>
      </c>
      <c r="Q6" s="45" t="s">
        <v>155</v>
      </c>
      <c r="R6" s="45" t="s">
        <v>155</v>
      </c>
      <c r="S6" s="45">
        <v>0</v>
      </c>
      <c r="T6" s="46">
        <v>17.899999999999999</v>
      </c>
      <c r="U6" s="46" t="s">
        <v>155</v>
      </c>
      <c r="V6" s="46" t="s">
        <v>155</v>
      </c>
      <c r="W6" s="46" t="s">
        <v>155</v>
      </c>
      <c r="X6" s="46">
        <v>17.899999999999999</v>
      </c>
      <c r="Y6" s="47">
        <v>17.899999999999999</v>
      </c>
      <c r="Z6" s="47" t="s">
        <v>155</v>
      </c>
      <c r="AA6" s="47" t="s">
        <v>155</v>
      </c>
      <c r="AB6" s="47" t="s">
        <v>155</v>
      </c>
      <c r="AC6" s="47">
        <v>17.899999999999999</v>
      </c>
      <c r="AD6" s="48">
        <v>0</v>
      </c>
      <c r="AE6" s="48" t="s">
        <v>155</v>
      </c>
      <c r="AF6" s="48" t="s">
        <v>155</v>
      </c>
      <c r="AG6" s="48" t="s">
        <v>155</v>
      </c>
      <c r="AH6" s="48">
        <v>0</v>
      </c>
      <c r="AI6" s="49">
        <v>150</v>
      </c>
      <c r="AJ6" s="49" t="s">
        <v>155</v>
      </c>
      <c r="AK6" s="49" t="s">
        <v>155</v>
      </c>
      <c r="AL6" s="49" t="s">
        <v>155</v>
      </c>
      <c r="AM6" s="49">
        <v>150</v>
      </c>
      <c r="AN6" s="50">
        <v>229</v>
      </c>
    </row>
    <row r="7" spans="1:40" ht="15.95" customHeight="1" x14ac:dyDescent="0.25">
      <c r="A7" s="34">
        <v>2020</v>
      </c>
      <c r="B7" s="35">
        <v>195</v>
      </c>
      <c r="C7" s="36" t="s">
        <v>159</v>
      </c>
      <c r="D7" s="36" t="s">
        <v>5</v>
      </c>
      <c r="E7" s="36" t="s">
        <v>160</v>
      </c>
      <c r="F7" s="14">
        <f t="shared" ref="F7:F70" si="0"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155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155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155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155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155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155</v>
      </c>
      <c r="AM7" s="49">
        <v>23770.083999999999</v>
      </c>
      <c r="AN7" s="50" t="s">
        <v>155</v>
      </c>
    </row>
    <row r="8" spans="1:40" ht="15.95" customHeight="1" x14ac:dyDescent="0.25">
      <c r="A8" s="34">
        <v>2020</v>
      </c>
      <c r="B8" s="35">
        <v>207</v>
      </c>
      <c r="C8" s="36" t="s">
        <v>161</v>
      </c>
      <c r="D8" s="36" t="s">
        <v>17</v>
      </c>
      <c r="E8" s="36" t="s">
        <v>162</v>
      </c>
      <c r="F8" s="14" t="str">
        <f t="shared" si="0"/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155</v>
      </c>
      <c r="M8" s="38" t="s">
        <v>155</v>
      </c>
      <c r="N8" s="38">
        <v>35163</v>
      </c>
      <c r="O8" s="45" t="s">
        <v>155</v>
      </c>
      <c r="P8" s="45" t="s">
        <v>155</v>
      </c>
      <c r="Q8" s="45" t="s">
        <v>155</v>
      </c>
      <c r="R8" s="45" t="s">
        <v>155</v>
      </c>
      <c r="S8" s="45" t="s">
        <v>155</v>
      </c>
      <c r="T8" s="46" t="s">
        <v>155</v>
      </c>
      <c r="U8" s="46" t="s">
        <v>155</v>
      </c>
      <c r="V8" s="46" t="s">
        <v>155</v>
      </c>
      <c r="W8" s="46" t="s">
        <v>155</v>
      </c>
      <c r="X8" s="46" t="s">
        <v>155</v>
      </c>
      <c r="Y8" s="47" t="s">
        <v>155</v>
      </c>
      <c r="Z8" s="47" t="s">
        <v>155</v>
      </c>
      <c r="AA8" s="47" t="s">
        <v>155</v>
      </c>
      <c r="AB8" s="47" t="s">
        <v>155</v>
      </c>
      <c r="AC8" s="47" t="s">
        <v>155</v>
      </c>
      <c r="AD8" s="48" t="s">
        <v>155</v>
      </c>
      <c r="AE8" s="48" t="s">
        <v>155</v>
      </c>
      <c r="AF8" s="48" t="s">
        <v>155</v>
      </c>
      <c r="AG8" s="48" t="s">
        <v>155</v>
      </c>
      <c r="AH8" s="48" t="s">
        <v>155</v>
      </c>
      <c r="AI8" s="49" t="s">
        <v>155</v>
      </c>
      <c r="AJ8" s="49" t="s">
        <v>155</v>
      </c>
      <c r="AK8" s="49" t="s">
        <v>155</v>
      </c>
      <c r="AL8" s="49" t="s">
        <v>155</v>
      </c>
      <c r="AM8" s="49" t="s">
        <v>155</v>
      </c>
      <c r="AN8" s="50" t="s">
        <v>155</v>
      </c>
    </row>
    <row r="9" spans="1:40" ht="15.95" customHeight="1" x14ac:dyDescent="0.25">
      <c r="A9" s="34">
        <v>2020</v>
      </c>
      <c r="B9" s="35">
        <v>213</v>
      </c>
      <c r="C9" s="36" t="s">
        <v>163</v>
      </c>
      <c r="D9" s="36" t="s">
        <v>9</v>
      </c>
      <c r="E9" s="36" t="s">
        <v>164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155</v>
      </c>
      <c r="N9" s="38">
        <v>2306</v>
      </c>
      <c r="O9" s="45" t="s">
        <v>155</v>
      </c>
      <c r="P9" s="45" t="s">
        <v>155</v>
      </c>
      <c r="Q9" s="45" t="s">
        <v>155</v>
      </c>
      <c r="R9" s="45" t="s">
        <v>155</v>
      </c>
      <c r="S9" s="45" t="s">
        <v>155</v>
      </c>
      <c r="T9" s="46">
        <v>5</v>
      </c>
      <c r="U9" s="46">
        <v>13</v>
      </c>
      <c r="V9" s="46" t="s">
        <v>155</v>
      </c>
      <c r="W9" s="46" t="s">
        <v>155</v>
      </c>
      <c r="X9" s="46">
        <v>18</v>
      </c>
      <c r="Y9" s="47" t="s">
        <v>155</v>
      </c>
      <c r="Z9" s="47" t="s">
        <v>155</v>
      </c>
      <c r="AA9" s="47" t="s">
        <v>155</v>
      </c>
      <c r="AB9" s="47" t="s">
        <v>155</v>
      </c>
      <c r="AC9" s="47" t="s">
        <v>155</v>
      </c>
      <c r="AD9" s="48">
        <v>63.905000000000001</v>
      </c>
      <c r="AE9" s="48">
        <v>0.89900000000000002</v>
      </c>
      <c r="AF9" s="48">
        <v>0</v>
      </c>
      <c r="AG9" s="48" t="s">
        <v>155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155</v>
      </c>
      <c r="AM9" s="49">
        <v>65.058000000000007</v>
      </c>
      <c r="AN9" s="50" t="s">
        <v>155</v>
      </c>
    </row>
    <row r="10" spans="1:40" ht="14.85" customHeight="1" x14ac:dyDescent="0.25">
      <c r="A10" s="34">
        <v>2020</v>
      </c>
      <c r="B10" s="35">
        <v>295</v>
      </c>
      <c r="C10" s="36" t="s">
        <v>165</v>
      </c>
      <c r="D10" s="36" t="s">
        <v>66</v>
      </c>
      <c r="E10" s="36" t="s">
        <v>154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155</v>
      </c>
      <c r="L10" s="38" t="s">
        <v>155</v>
      </c>
      <c r="M10" s="38" t="s">
        <v>155</v>
      </c>
      <c r="N10" s="38">
        <v>2821</v>
      </c>
      <c r="O10" s="45" t="s">
        <v>155</v>
      </c>
      <c r="P10" s="45" t="s">
        <v>155</v>
      </c>
      <c r="Q10" s="45" t="s">
        <v>155</v>
      </c>
      <c r="R10" s="45" t="s">
        <v>155</v>
      </c>
      <c r="S10" s="45" t="s">
        <v>155</v>
      </c>
      <c r="T10" s="46">
        <v>9</v>
      </c>
      <c r="U10" s="46" t="s">
        <v>155</v>
      </c>
      <c r="V10" s="46" t="s">
        <v>155</v>
      </c>
      <c r="W10" s="46" t="s">
        <v>155</v>
      </c>
      <c r="X10" s="46">
        <v>9</v>
      </c>
      <c r="Y10" s="47">
        <v>3.7</v>
      </c>
      <c r="Z10" s="47" t="s">
        <v>155</v>
      </c>
      <c r="AA10" s="47" t="s">
        <v>155</v>
      </c>
      <c r="AB10" s="47" t="s">
        <v>155</v>
      </c>
      <c r="AC10" s="47">
        <v>3.7</v>
      </c>
      <c r="AD10" s="48">
        <v>0</v>
      </c>
      <c r="AE10" s="48" t="s">
        <v>155</v>
      </c>
      <c r="AF10" s="48" t="s">
        <v>155</v>
      </c>
      <c r="AG10" s="48" t="s">
        <v>155</v>
      </c>
      <c r="AH10" s="48">
        <v>0</v>
      </c>
      <c r="AI10" s="49">
        <v>43.7</v>
      </c>
      <c r="AJ10" s="49" t="s">
        <v>155</v>
      </c>
      <c r="AK10" s="49" t="s">
        <v>155</v>
      </c>
      <c r="AL10" s="49" t="s">
        <v>155</v>
      </c>
      <c r="AM10" s="49">
        <v>43.7</v>
      </c>
      <c r="AN10" s="50" t="s">
        <v>155</v>
      </c>
    </row>
    <row r="11" spans="1:40" ht="14.85" customHeight="1" x14ac:dyDescent="0.25">
      <c r="A11" s="34">
        <v>2020</v>
      </c>
      <c r="B11" s="35">
        <v>332</v>
      </c>
      <c r="C11" s="36" t="s">
        <v>166</v>
      </c>
      <c r="D11" s="36" t="s">
        <v>102</v>
      </c>
      <c r="E11" s="36" t="s">
        <v>167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155</v>
      </c>
      <c r="L11" s="38" t="s">
        <v>155</v>
      </c>
      <c r="M11" s="38" t="s">
        <v>155</v>
      </c>
      <c r="N11" s="38">
        <v>45080</v>
      </c>
      <c r="O11" s="45" t="s">
        <v>155</v>
      </c>
      <c r="P11" s="45" t="s">
        <v>155</v>
      </c>
      <c r="Q11" s="45" t="s">
        <v>155</v>
      </c>
      <c r="R11" s="45" t="s">
        <v>155</v>
      </c>
      <c r="S11" s="45" t="s">
        <v>155</v>
      </c>
      <c r="T11" s="46">
        <v>45</v>
      </c>
      <c r="U11" s="46" t="s">
        <v>155</v>
      </c>
      <c r="V11" s="46" t="s">
        <v>155</v>
      </c>
      <c r="W11" s="46" t="s">
        <v>155</v>
      </c>
      <c r="X11" s="46">
        <v>45</v>
      </c>
      <c r="Y11" s="47">
        <v>43</v>
      </c>
      <c r="Z11" s="47" t="s">
        <v>155</v>
      </c>
      <c r="AA11" s="47" t="s">
        <v>155</v>
      </c>
      <c r="AB11" s="47" t="s">
        <v>155</v>
      </c>
      <c r="AC11" s="47">
        <v>43</v>
      </c>
      <c r="AD11" s="48" t="s">
        <v>155</v>
      </c>
      <c r="AE11" s="48" t="s">
        <v>155</v>
      </c>
      <c r="AF11" s="48" t="s">
        <v>155</v>
      </c>
      <c r="AG11" s="48" t="s">
        <v>155</v>
      </c>
      <c r="AH11" s="48" t="s">
        <v>155</v>
      </c>
      <c r="AI11" s="49">
        <v>2680.2330000000002</v>
      </c>
      <c r="AJ11" s="49" t="s">
        <v>155</v>
      </c>
      <c r="AK11" s="49" t="s">
        <v>155</v>
      </c>
      <c r="AL11" s="49" t="s">
        <v>155</v>
      </c>
      <c r="AM11" s="49">
        <v>2680.2330000000002</v>
      </c>
      <c r="AN11" s="50" t="s">
        <v>155</v>
      </c>
    </row>
    <row r="12" spans="1:40" ht="14.85" customHeight="1" x14ac:dyDescent="0.25">
      <c r="A12" s="34">
        <v>2020</v>
      </c>
      <c r="B12" s="35">
        <v>407</v>
      </c>
      <c r="C12" s="36" t="s">
        <v>168</v>
      </c>
      <c r="D12" s="36" t="s">
        <v>31</v>
      </c>
      <c r="E12" s="36" t="s">
        <v>160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155</v>
      </c>
      <c r="K12" s="38" t="s">
        <v>155</v>
      </c>
      <c r="L12" s="38">
        <v>256</v>
      </c>
      <c r="M12" s="38" t="s">
        <v>155</v>
      </c>
      <c r="N12" s="38">
        <v>256</v>
      </c>
      <c r="O12" s="45" t="s">
        <v>155</v>
      </c>
      <c r="P12" s="45" t="s">
        <v>155</v>
      </c>
      <c r="Q12" s="45">
        <v>14</v>
      </c>
      <c r="R12" s="45" t="s">
        <v>155</v>
      </c>
      <c r="S12" s="45">
        <v>14</v>
      </c>
      <c r="T12" s="46" t="s">
        <v>155</v>
      </c>
      <c r="U12" s="46" t="s">
        <v>155</v>
      </c>
      <c r="V12" s="46" t="s">
        <v>155</v>
      </c>
      <c r="W12" s="46" t="s">
        <v>155</v>
      </c>
      <c r="X12" s="46" t="s">
        <v>155</v>
      </c>
      <c r="Y12" s="47" t="s">
        <v>155</v>
      </c>
      <c r="Z12" s="47" t="s">
        <v>155</v>
      </c>
      <c r="AA12" s="47" t="s">
        <v>155</v>
      </c>
      <c r="AB12" s="47" t="s">
        <v>155</v>
      </c>
      <c r="AC12" s="47" t="s">
        <v>155</v>
      </c>
      <c r="AD12" s="48" t="s">
        <v>155</v>
      </c>
      <c r="AE12" s="48" t="s">
        <v>155</v>
      </c>
      <c r="AF12" s="48" t="s">
        <v>155</v>
      </c>
      <c r="AG12" s="48" t="s">
        <v>155</v>
      </c>
      <c r="AH12" s="48" t="s">
        <v>155</v>
      </c>
      <c r="AI12" s="49" t="s">
        <v>155</v>
      </c>
      <c r="AJ12" s="49" t="s">
        <v>155</v>
      </c>
      <c r="AK12" s="49">
        <v>30</v>
      </c>
      <c r="AL12" s="49" t="s">
        <v>155</v>
      </c>
      <c r="AM12" s="49">
        <v>30</v>
      </c>
      <c r="AN12" s="50" t="s">
        <v>155</v>
      </c>
    </row>
    <row r="13" spans="1:40" ht="14.85" customHeight="1" x14ac:dyDescent="0.25">
      <c r="A13" s="34">
        <v>2020</v>
      </c>
      <c r="B13" s="35">
        <v>554</v>
      </c>
      <c r="C13" s="36" t="s">
        <v>169</v>
      </c>
      <c r="D13" s="36" t="s">
        <v>44</v>
      </c>
      <c r="E13" s="36" t="s">
        <v>154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155</v>
      </c>
    </row>
    <row r="14" spans="1:40" ht="14.85" customHeight="1" x14ac:dyDescent="0.25">
      <c r="A14" s="34">
        <v>2020</v>
      </c>
      <c r="B14" s="35">
        <v>590</v>
      </c>
      <c r="C14" s="36" t="s">
        <v>170</v>
      </c>
      <c r="D14" s="36" t="s">
        <v>17</v>
      </c>
      <c r="E14" s="36" t="s">
        <v>162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155</v>
      </c>
      <c r="M14" s="38" t="s">
        <v>155</v>
      </c>
      <c r="N14" s="38">
        <v>676</v>
      </c>
      <c r="O14" s="45">
        <v>1.6559999999999999</v>
      </c>
      <c r="P14" s="45" t="s">
        <v>155</v>
      </c>
      <c r="Q14" s="45" t="s">
        <v>155</v>
      </c>
      <c r="R14" s="45" t="s">
        <v>155</v>
      </c>
      <c r="S14" s="45">
        <v>1.6559999999999999</v>
      </c>
      <c r="T14" s="46" t="s">
        <v>155</v>
      </c>
      <c r="U14" s="46">
        <v>8.6</v>
      </c>
      <c r="V14" s="46" t="s">
        <v>155</v>
      </c>
      <c r="W14" s="46" t="s">
        <v>155</v>
      </c>
      <c r="X14" s="46">
        <v>8.6</v>
      </c>
      <c r="Y14" s="47" t="s">
        <v>155</v>
      </c>
      <c r="Z14" s="47" t="s">
        <v>155</v>
      </c>
      <c r="AA14" s="47" t="s">
        <v>155</v>
      </c>
      <c r="AB14" s="47" t="s">
        <v>155</v>
      </c>
      <c r="AC14" s="47" t="s">
        <v>155</v>
      </c>
      <c r="AD14" s="48">
        <v>4552</v>
      </c>
      <c r="AE14" s="48" t="s">
        <v>155</v>
      </c>
      <c r="AF14" s="48" t="s">
        <v>155</v>
      </c>
      <c r="AG14" s="48" t="s">
        <v>155</v>
      </c>
      <c r="AH14" s="48">
        <v>4552</v>
      </c>
      <c r="AI14" s="49" t="s">
        <v>155</v>
      </c>
      <c r="AJ14" s="49" t="s">
        <v>155</v>
      </c>
      <c r="AK14" s="49" t="s">
        <v>155</v>
      </c>
      <c r="AL14" s="49" t="s">
        <v>155</v>
      </c>
      <c r="AM14" s="49" t="s">
        <v>155</v>
      </c>
      <c r="AN14" s="50" t="s">
        <v>155</v>
      </c>
    </row>
    <row r="15" spans="1:40" ht="14.85" customHeight="1" x14ac:dyDescent="0.25">
      <c r="A15" s="34">
        <v>2020</v>
      </c>
      <c r="B15" s="35">
        <v>733</v>
      </c>
      <c r="C15" s="36" t="s">
        <v>171</v>
      </c>
      <c r="D15" s="36" t="s">
        <v>118</v>
      </c>
      <c r="E15" s="36" t="s">
        <v>167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155</v>
      </c>
    </row>
    <row r="16" spans="1:40" ht="14.85" customHeight="1" x14ac:dyDescent="0.25">
      <c r="A16" s="34">
        <v>2020</v>
      </c>
      <c r="B16" s="35">
        <v>733</v>
      </c>
      <c r="C16" s="36" t="s">
        <v>171</v>
      </c>
      <c r="D16" s="36" t="s">
        <v>122</v>
      </c>
      <c r="E16" s="36" t="s">
        <v>167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155</v>
      </c>
    </row>
    <row r="17" spans="1:40" ht="14.85" customHeight="1" x14ac:dyDescent="0.25">
      <c r="A17" s="34">
        <v>2020</v>
      </c>
      <c r="B17" s="35">
        <v>803</v>
      </c>
      <c r="C17" s="36" t="s">
        <v>172</v>
      </c>
      <c r="D17" s="36" t="s">
        <v>11</v>
      </c>
      <c r="E17" s="36" t="s">
        <v>173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155</v>
      </c>
      <c r="M17" s="38" t="s">
        <v>155</v>
      </c>
      <c r="N17" s="38">
        <v>742720</v>
      </c>
      <c r="O17" s="45">
        <v>851866</v>
      </c>
      <c r="P17" s="45">
        <v>169418</v>
      </c>
      <c r="Q17" s="45" t="s">
        <v>155</v>
      </c>
      <c r="R17" s="45" t="s">
        <v>155</v>
      </c>
      <c r="S17" s="45">
        <v>1021284</v>
      </c>
      <c r="T17" s="46">
        <v>152.5</v>
      </c>
      <c r="U17" s="46">
        <v>30.3</v>
      </c>
      <c r="V17" s="46" t="s">
        <v>155</v>
      </c>
      <c r="W17" s="46" t="s">
        <v>155</v>
      </c>
      <c r="X17" s="46">
        <v>182.8</v>
      </c>
      <c r="Y17" s="47">
        <v>152.5</v>
      </c>
      <c r="Z17" s="47">
        <v>30.3</v>
      </c>
      <c r="AA17" s="47" t="s">
        <v>155</v>
      </c>
      <c r="AB17" s="47" t="s">
        <v>155</v>
      </c>
      <c r="AC17" s="47">
        <v>182.8</v>
      </c>
      <c r="AD17" s="48">
        <v>3285.8</v>
      </c>
      <c r="AE17" s="48">
        <v>0</v>
      </c>
      <c r="AF17" s="48" t="s">
        <v>155</v>
      </c>
      <c r="AG17" s="48" t="s">
        <v>155</v>
      </c>
      <c r="AH17" s="48">
        <v>3285.8</v>
      </c>
      <c r="AI17" s="49">
        <v>2440.3000000000002</v>
      </c>
      <c r="AJ17" s="49">
        <v>1947</v>
      </c>
      <c r="AK17" s="49" t="s">
        <v>155</v>
      </c>
      <c r="AL17" s="49" t="s">
        <v>155</v>
      </c>
      <c r="AM17" s="49">
        <v>4387.3</v>
      </c>
      <c r="AN17" s="50">
        <v>220</v>
      </c>
    </row>
    <row r="18" spans="1:40" ht="14.85" customHeight="1" x14ac:dyDescent="0.25">
      <c r="A18" s="34">
        <v>2020</v>
      </c>
      <c r="B18" s="35">
        <v>807</v>
      </c>
      <c r="C18" s="36" t="s">
        <v>174</v>
      </c>
      <c r="D18" s="36" t="s">
        <v>14</v>
      </c>
      <c r="E18" s="36" t="s">
        <v>175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155</v>
      </c>
      <c r="K18" s="38" t="s">
        <v>155</v>
      </c>
      <c r="L18" s="38">
        <v>8</v>
      </c>
      <c r="M18" s="38" t="s">
        <v>155</v>
      </c>
      <c r="N18" s="38">
        <v>8</v>
      </c>
      <c r="O18" s="45" t="s">
        <v>155</v>
      </c>
      <c r="P18" s="45" t="s">
        <v>155</v>
      </c>
      <c r="Q18" s="45" t="s">
        <v>155</v>
      </c>
      <c r="R18" s="45" t="s">
        <v>155</v>
      </c>
      <c r="S18" s="45" t="s">
        <v>155</v>
      </c>
      <c r="T18" s="46" t="s">
        <v>155</v>
      </c>
      <c r="U18" s="46" t="s">
        <v>155</v>
      </c>
      <c r="V18" s="46">
        <v>653</v>
      </c>
      <c r="W18" s="46" t="s">
        <v>155</v>
      </c>
      <c r="X18" s="46">
        <v>653</v>
      </c>
      <c r="Y18" s="47" t="s">
        <v>155</v>
      </c>
      <c r="Z18" s="47" t="s">
        <v>155</v>
      </c>
      <c r="AA18" s="47" t="s">
        <v>155</v>
      </c>
      <c r="AB18" s="47" t="s">
        <v>155</v>
      </c>
      <c r="AC18" s="47" t="s">
        <v>155</v>
      </c>
      <c r="AD18" s="48" t="s">
        <v>155</v>
      </c>
      <c r="AE18" s="48" t="s">
        <v>155</v>
      </c>
      <c r="AF18" s="48">
        <v>28249</v>
      </c>
      <c r="AG18" s="48" t="s">
        <v>155</v>
      </c>
      <c r="AH18" s="48">
        <v>28249</v>
      </c>
      <c r="AI18" s="49" t="s">
        <v>155</v>
      </c>
      <c r="AJ18" s="49" t="s">
        <v>155</v>
      </c>
      <c r="AK18" s="49" t="s">
        <v>155</v>
      </c>
      <c r="AL18" s="49" t="s">
        <v>155</v>
      </c>
      <c r="AM18" s="49" t="s">
        <v>155</v>
      </c>
      <c r="AN18" s="50" t="s">
        <v>155</v>
      </c>
    </row>
    <row r="19" spans="1:40" ht="14.85" customHeight="1" x14ac:dyDescent="0.25">
      <c r="A19" s="34">
        <v>2020</v>
      </c>
      <c r="B19" s="35">
        <v>814</v>
      </c>
      <c r="C19" s="36" t="s">
        <v>176</v>
      </c>
      <c r="D19" s="36" t="s">
        <v>14</v>
      </c>
      <c r="E19" s="36" t="s">
        <v>154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155</v>
      </c>
      <c r="N19" s="38">
        <v>22638</v>
      </c>
      <c r="O19" s="45">
        <v>463</v>
      </c>
      <c r="P19" s="45">
        <v>642</v>
      </c>
      <c r="Q19" s="45" t="s">
        <v>155</v>
      </c>
      <c r="R19" s="45" t="s">
        <v>155</v>
      </c>
      <c r="S19" s="45">
        <v>1105</v>
      </c>
      <c r="T19" s="46">
        <v>12.1</v>
      </c>
      <c r="U19" s="46" t="s">
        <v>155</v>
      </c>
      <c r="V19" s="46">
        <v>18.899999999999999</v>
      </c>
      <c r="W19" s="46" t="s">
        <v>155</v>
      </c>
      <c r="X19" s="46">
        <v>31</v>
      </c>
      <c r="Y19" s="47">
        <v>12.1</v>
      </c>
      <c r="Z19" s="47" t="s">
        <v>155</v>
      </c>
      <c r="AA19" s="47">
        <v>18.7</v>
      </c>
      <c r="AB19" s="47" t="s">
        <v>155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155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155</v>
      </c>
      <c r="AM19" s="49">
        <v>6747</v>
      </c>
      <c r="AN19" s="50" t="s">
        <v>155</v>
      </c>
    </row>
    <row r="20" spans="1:40" ht="14.85" customHeight="1" x14ac:dyDescent="0.25">
      <c r="A20" s="34">
        <v>2020</v>
      </c>
      <c r="B20" s="35">
        <v>963</v>
      </c>
      <c r="C20" s="36" t="s">
        <v>177</v>
      </c>
      <c r="D20" s="36" t="s">
        <v>85</v>
      </c>
      <c r="E20" s="36" t="s">
        <v>167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25">
      <c r="A21" s="34">
        <v>2020</v>
      </c>
      <c r="B21" s="35">
        <v>1009</v>
      </c>
      <c r="C21" s="36" t="s">
        <v>178</v>
      </c>
      <c r="D21" s="36" t="s">
        <v>66</v>
      </c>
      <c r="E21" s="36" t="s">
        <v>154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155</v>
      </c>
      <c r="M21" s="38" t="s">
        <v>155</v>
      </c>
      <c r="N21" s="38">
        <v>6900</v>
      </c>
      <c r="O21" s="45">
        <v>232.875</v>
      </c>
      <c r="P21" s="45">
        <v>6.4630000000000001</v>
      </c>
      <c r="Q21" s="45" t="s">
        <v>155</v>
      </c>
      <c r="R21" s="45" t="s">
        <v>155</v>
      </c>
      <c r="S21" s="45">
        <v>239.33799999999999</v>
      </c>
      <c r="T21" s="46">
        <v>3.8</v>
      </c>
      <c r="U21" s="46">
        <v>0.37</v>
      </c>
      <c r="V21" s="46" t="s">
        <v>155</v>
      </c>
      <c r="W21" s="46" t="s">
        <v>155</v>
      </c>
      <c r="X21" s="46">
        <v>4.17</v>
      </c>
      <c r="Y21" s="47">
        <v>3.8</v>
      </c>
      <c r="Z21" s="47">
        <v>0.37</v>
      </c>
      <c r="AA21" s="47" t="s">
        <v>155</v>
      </c>
      <c r="AB21" s="47" t="s">
        <v>155</v>
      </c>
      <c r="AC21" s="47">
        <v>4.17</v>
      </c>
      <c r="AD21" s="48">
        <v>0</v>
      </c>
      <c r="AE21" s="48">
        <v>18.5</v>
      </c>
      <c r="AF21" s="48" t="s">
        <v>155</v>
      </c>
      <c r="AG21" s="48" t="s">
        <v>155</v>
      </c>
      <c r="AH21" s="48">
        <v>18.5</v>
      </c>
      <c r="AI21" s="49">
        <v>308.39999999999998</v>
      </c>
      <c r="AJ21" s="49" t="s">
        <v>155</v>
      </c>
      <c r="AK21" s="49" t="s">
        <v>155</v>
      </c>
      <c r="AL21" s="49" t="s">
        <v>155</v>
      </c>
      <c r="AM21" s="49">
        <v>308.39999999999998</v>
      </c>
      <c r="AN21" s="50" t="s">
        <v>155</v>
      </c>
    </row>
    <row r="22" spans="1:40" ht="15.75" customHeight="1" x14ac:dyDescent="0.25">
      <c r="A22" s="34">
        <v>2020</v>
      </c>
      <c r="B22" s="35">
        <v>1015</v>
      </c>
      <c r="C22" s="36" t="s">
        <v>179</v>
      </c>
      <c r="D22" s="36" t="s">
        <v>112</v>
      </c>
      <c r="E22" s="36" t="s">
        <v>180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155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155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155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155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155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155</v>
      </c>
      <c r="AM22" s="49">
        <v>1093.3969999999999</v>
      </c>
      <c r="AN22" s="50">
        <v>723</v>
      </c>
    </row>
    <row r="23" spans="1:40" ht="15.75" customHeight="1" x14ac:dyDescent="0.25">
      <c r="A23" s="34">
        <v>2020</v>
      </c>
      <c r="B23" s="35">
        <v>1167</v>
      </c>
      <c r="C23" s="36" t="s">
        <v>181</v>
      </c>
      <c r="D23" s="36" t="s">
        <v>58</v>
      </c>
      <c r="E23" s="36" t="s">
        <v>167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155</v>
      </c>
      <c r="L23" s="38" t="s">
        <v>155</v>
      </c>
      <c r="M23" s="38" t="s">
        <v>155</v>
      </c>
      <c r="N23" s="38">
        <v>758207</v>
      </c>
      <c r="O23" s="45">
        <v>991.053</v>
      </c>
      <c r="P23" s="45" t="s">
        <v>155</v>
      </c>
      <c r="Q23" s="45" t="s">
        <v>155</v>
      </c>
      <c r="R23" s="45" t="s">
        <v>155</v>
      </c>
      <c r="S23" s="45">
        <v>991.053</v>
      </c>
      <c r="T23" s="46">
        <v>362.79899999999998</v>
      </c>
      <c r="U23" s="46" t="s">
        <v>155</v>
      </c>
      <c r="V23" s="46" t="s">
        <v>155</v>
      </c>
      <c r="W23" s="46" t="s">
        <v>155</v>
      </c>
      <c r="X23" s="46">
        <v>362.79899999999998</v>
      </c>
      <c r="Y23" s="47">
        <v>0</v>
      </c>
      <c r="Z23" s="47" t="s">
        <v>155</v>
      </c>
      <c r="AA23" s="47" t="s">
        <v>155</v>
      </c>
      <c r="AB23" s="47" t="s">
        <v>155</v>
      </c>
      <c r="AC23" s="47">
        <v>0</v>
      </c>
      <c r="AD23" s="48">
        <v>23533.413</v>
      </c>
      <c r="AE23" s="48" t="s">
        <v>155</v>
      </c>
      <c r="AF23" s="48" t="s">
        <v>155</v>
      </c>
      <c r="AG23" s="48" t="s">
        <v>155</v>
      </c>
      <c r="AH23" s="48">
        <v>23533.413</v>
      </c>
      <c r="AI23" s="49">
        <v>8338.357</v>
      </c>
      <c r="AJ23" s="49" t="s">
        <v>155</v>
      </c>
      <c r="AK23" s="49" t="s">
        <v>155</v>
      </c>
      <c r="AL23" s="49" t="s">
        <v>155</v>
      </c>
      <c r="AM23" s="49">
        <v>8338.357</v>
      </c>
      <c r="AN23" s="50" t="s">
        <v>155</v>
      </c>
    </row>
    <row r="24" spans="1:40" ht="15.75" customHeight="1" x14ac:dyDescent="0.25">
      <c r="A24" s="34">
        <v>2020</v>
      </c>
      <c r="B24" s="35">
        <v>1251</v>
      </c>
      <c r="C24" s="36" t="s">
        <v>182</v>
      </c>
      <c r="D24" s="36" t="s">
        <v>124</v>
      </c>
      <c r="E24" s="36" t="s">
        <v>154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25">
      <c r="A25" s="34">
        <v>2020</v>
      </c>
      <c r="B25" s="35">
        <v>1273</v>
      </c>
      <c r="C25" s="36" t="s">
        <v>183</v>
      </c>
      <c r="D25" s="36" t="s">
        <v>112</v>
      </c>
      <c r="E25" s="36" t="s">
        <v>180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155</v>
      </c>
      <c r="P25" s="45" t="s">
        <v>155</v>
      </c>
      <c r="Q25" s="45" t="s">
        <v>155</v>
      </c>
      <c r="R25" s="45" t="s">
        <v>155</v>
      </c>
      <c r="S25" s="45" t="s">
        <v>155</v>
      </c>
      <c r="T25" s="46" t="s">
        <v>155</v>
      </c>
      <c r="U25" s="46" t="s">
        <v>155</v>
      </c>
      <c r="V25" s="46" t="s">
        <v>155</v>
      </c>
      <c r="W25" s="46" t="s">
        <v>155</v>
      </c>
      <c r="X25" s="46" t="s">
        <v>155</v>
      </c>
      <c r="Y25" s="47" t="s">
        <v>155</v>
      </c>
      <c r="Z25" s="47" t="s">
        <v>155</v>
      </c>
      <c r="AA25" s="47" t="s">
        <v>155</v>
      </c>
      <c r="AB25" s="47" t="s">
        <v>155</v>
      </c>
      <c r="AC25" s="47" t="s">
        <v>155</v>
      </c>
      <c r="AD25" s="48" t="s">
        <v>155</v>
      </c>
      <c r="AE25" s="48" t="s">
        <v>155</v>
      </c>
      <c r="AF25" s="48" t="s">
        <v>155</v>
      </c>
      <c r="AG25" s="48" t="s">
        <v>155</v>
      </c>
      <c r="AH25" s="48" t="s">
        <v>155</v>
      </c>
      <c r="AI25" s="49" t="s">
        <v>155</v>
      </c>
      <c r="AJ25" s="49" t="s">
        <v>155</v>
      </c>
      <c r="AK25" s="49" t="s">
        <v>155</v>
      </c>
      <c r="AL25" s="49" t="s">
        <v>155</v>
      </c>
      <c r="AM25" s="49" t="s">
        <v>155</v>
      </c>
      <c r="AN25" s="50" t="s">
        <v>155</v>
      </c>
    </row>
    <row r="26" spans="1:40" ht="15.75" customHeight="1" x14ac:dyDescent="0.25">
      <c r="A26" s="34">
        <v>2020</v>
      </c>
      <c r="B26" s="35">
        <v>1529</v>
      </c>
      <c r="C26" s="36" t="s">
        <v>184</v>
      </c>
      <c r="D26" s="36" t="s">
        <v>66</v>
      </c>
      <c r="E26" s="36" t="s">
        <v>154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155</v>
      </c>
    </row>
    <row r="27" spans="1:40" ht="15.75" customHeight="1" x14ac:dyDescent="0.25">
      <c r="A27" s="34">
        <v>2020</v>
      </c>
      <c r="B27" s="35">
        <v>1581</v>
      </c>
      <c r="C27" s="36" t="s">
        <v>185</v>
      </c>
      <c r="D27" s="36" t="s">
        <v>14</v>
      </c>
      <c r="E27" s="36" t="s">
        <v>154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155</v>
      </c>
      <c r="K27" s="38" t="s">
        <v>155</v>
      </c>
      <c r="L27" s="38" t="s">
        <v>155</v>
      </c>
      <c r="M27" s="38" t="s">
        <v>155</v>
      </c>
      <c r="N27" s="38" t="s">
        <v>155</v>
      </c>
      <c r="O27" s="45" t="s">
        <v>155</v>
      </c>
      <c r="P27" s="45" t="s">
        <v>155</v>
      </c>
      <c r="Q27" s="45" t="s">
        <v>155</v>
      </c>
      <c r="R27" s="45" t="s">
        <v>155</v>
      </c>
      <c r="S27" s="45" t="s">
        <v>155</v>
      </c>
      <c r="T27" s="46" t="s">
        <v>155</v>
      </c>
      <c r="U27" s="46" t="s">
        <v>155</v>
      </c>
      <c r="V27" s="46" t="s">
        <v>155</v>
      </c>
      <c r="W27" s="46" t="s">
        <v>155</v>
      </c>
      <c r="X27" s="46" t="s">
        <v>155</v>
      </c>
      <c r="Y27" s="47" t="s">
        <v>155</v>
      </c>
      <c r="Z27" s="47" t="s">
        <v>155</v>
      </c>
      <c r="AA27" s="47" t="s">
        <v>155</v>
      </c>
      <c r="AB27" s="47" t="s">
        <v>155</v>
      </c>
      <c r="AC27" s="47" t="s">
        <v>155</v>
      </c>
      <c r="AD27" s="48" t="s">
        <v>155</v>
      </c>
      <c r="AE27" s="48" t="s">
        <v>155</v>
      </c>
      <c r="AF27" s="48" t="s">
        <v>155</v>
      </c>
      <c r="AG27" s="48" t="s">
        <v>155</v>
      </c>
      <c r="AH27" s="48" t="s">
        <v>155</v>
      </c>
      <c r="AI27" s="49" t="s">
        <v>155</v>
      </c>
      <c r="AJ27" s="49" t="s">
        <v>155</v>
      </c>
      <c r="AK27" s="49" t="s">
        <v>155</v>
      </c>
      <c r="AL27" s="49" t="s">
        <v>155</v>
      </c>
      <c r="AM27" s="49" t="s">
        <v>155</v>
      </c>
      <c r="AN27" s="50" t="s">
        <v>155</v>
      </c>
    </row>
    <row r="28" spans="1:40" ht="15.75" customHeight="1" x14ac:dyDescent="0.25">
      <c r="A28" s="34">
        <v>2020</v>
      </c>
      <c r="B28" s="35">
        <v>1613</v>
      </c>
      <c r="C28" s="36" t="s">
        <v>186</v>
      </c>
      <c r="D28" s="36" t="s">
        <v>106</v>
      </c>
      <c r="E28" s="36" t="s">
        <v>106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25">
      <c r="A29" s="34">
        <v>2020</v>
      </c>
      <c r="B29" s="35">
        <v>1723</v>
      </c>
      <c r="C29" s="36" t="s">
        <v>187</v>
      </c>
      <c r="D29" s="36" t="s">
        <v>120</v>
      </c>
      <c r="E29" s="36" t="s">
        <v>188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155</v>
      </c>
      <c r="AM29" s="49">
        <v>0</v>
      </c>
      <c r="AN29" s="50">
        <v>0</v>
      </c>
    </row>
    <row r="30" spans="1:40" ht="15.75" customHeight="1" x14ac:dyDescent="0.25">
      <c r="A30" s="34">
        <v>2020</v>
      </c>
      <c r="B30" s="35">
        <v>1763</v>
      </c>
      <c r="C30" s="36" t="s">
        <v>189</v>
      </c>
      <c r="D30" s="36" t="s">
        <v>106</v>
      </c>
      <c r="E30" s="36" t="s">
        <v>106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155</v>
      </c>
      <c r="AK30" s="49" t="s">
        <v>155</v>
      </c>
      <c r="AL30" s="49" t="s">
        <v>155</v>
      </c>
      <c r="AM30" s="49">
        <v>77.3</v>
      </c>
      <c r="AN30" s="50">
        <v>379</v>
      </c>
    </row>
    <row r="31" spans="1:40" ht="15.75" customHeight="1" x14ac:dyDescent="0.25">
      <c r="A31" s="34">
        <v>2020</v>
      </c>
      <c r="B31" s="35">
        <v>1769</v>
      </c>
      <c r="C31" s="36" t="s">
        <v>190</v>
      </c>
      <c r="D31" s="36" t="s">
        <v>108</v>
      </c>
      <c r="E31" s="36" t="s">
        <v>175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155</v>
      </c>
      <c r="AL31" s="49" t="s">
        <v>155</v>
      </c>
      <c r="AM31" s="49">
        <v>5.5</v>
      </c>
      <c r="AN31" s="50">
        <v>21</v>
      </c>
    </row>
    <row r="32" spans="1:40" ht="15.75" customHeight="1" x14ac:dyDescent="0.25">
      <c r="A32" s="34">
        <v>2020</v>
      </c>
      <c r="B32" s="35">
        <v>1775</v>
      </c>
      <c r="C32" s="36" t="s">
        <v>191</v>
      </c>
      <c r="D32" s="36" t="s">
        <v>71</v>
      </c>
      <c r="E32" s="36" t="s">
        <v>192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155</v>
      </c>
      <c r="K32" s="38" t="s">
        <v>155</v>
      </c>
      <c r="L32" s="38" t="s">
        <v>155</v>
      </c>
      <c r="M32" s="38" t="s">
        <v>155</v>
      </c>
      <c r="N32" s="38" t="s">
        <v>155</v>
      </c>
      <c r="O32" s="45" t="s">
        <v>155</v>
      </c>
      <c r="P32" s="45" t="s">
        <v>155</v>
      </c>
      <c r="Q32" s="45" t="s">
        <v>155</v>
      </c>
      <c r="R32" s="45" t="s">
        <v>155</v>
      </c>
      <c r="S32" s="45" t="s">
        <v>155</v>
      </c>
      <c r="T32" s="46" t="s">
        <v>155</v>
      </c>
      <c r="U32" s="46" t="s">
        <v>155</v>
      </c>
      <c r="V32" s="46" t="s">
        <v>155</v>
      </c>
      <c r="W32" s="46" t="s">
        <v>155</v>
      </c>
      <c r="X32" s="46" t="s">
        <v>155</v>
      </c>
      <c r="Y32" s="47" t="s">
        <v>155</v>
      </c>
      <c r="Z32" s="47" t="s">
        <v>155</v>
      </c>
      <c r="AA32" s="47" t="s">
        <v>155</v>
      </c>
      <c r="AB32" s="47" t="s">
        <v>155</v>
      </c>
      <c r="AC32" s="47" t="s">
        <v>155</v>
      </c>
      <c r="AD32" s="48" t="s">
        <v>155</v>
      </c>
      <c r="AE32" s="48" t="s">
        <v>155</v>
      </c>
      <c r="AF32" s="48" t="s">
        <v>155</v>
      </c>
      <c r="AG32" s="48" t="s">
        <v>155</v>
      </c>
      <c r="AH32" s="48" t="s">
        <v>155</v>
      </c>
      <c r="AI32" s="49" t="s">
        <v>155</v>
      </c>
      <c r="AJ32" s="49" t="s">
        <v>155</v>
      </c>
      <c r="AK32" s="49" t="s">
        <v>155</v>
      </c>
      <c r="AL32" s="49" t="s">
        <v>155</v>
      </c>
      <c r="AM32" s="49" t="s">
        <v>155</v>
      </c>
      <c r="AN32" s="50" t="s">
        <v>155</v>
      </c>
    </row>
    <row r="33" spans="1:40" ht="15.75" customHeight="1" x14ac:dyDescent="0.25">
      <c r="A33" s="34">
        <v>2020</v>
      </c>
      <c r="B33" s="35">
        <v>1886</v>
      </c>
      <c r="C33" s="36" t="s">
        <v>193</v>
      </c>
      <c r="D33" s="36" t="s">
        <v>50</v>
      </c>
      <c r="E33" s="36" t="s">
        <v>167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155</v>
      </c>
      <c r="K33" s="38" t="s">
        <v>155</v>
      </c>
      <c r="L33" s="38" t="s">
        <v>155</v>
      </c>
      <c r="M33" s="38" t="s">
        <v>155</v>
      </c>
      <c r="N33" s="38" t="s">
        <v>155</v>
      </c>
      <c r="O33" s="45" t="s">
        <v>155</v>
      </c>
      <c r="P33" s="45" t="s">
        <v>155</v>
      </c>
      <c r="Q33" s="45" t="s">
        <v>155</v>
      </c>
      <c r="R33" s="45" t="s">
        <v>155</v>
      </c>
      <c r="S33" s="45" t="s">
        <v>155</v>
      </c>
      <c r="T33" s="46" t="s">
        <v>155</v>
      </c>
      <c r="U33" s="46" t="s">
        <v>155</v>
      </c>
      <c r="V33" s="46" t="s">
        <v>155</v>
      </c>
      <c r="W33" s="46" t="s">
        <v>155</v>
      </c>
      <c r="X33" s="46" t="s">
        <v>155</v>
      </c>
      <c r="Y33" s="47" t="s">
        <v>155</v>
      </c>
      <c r="Z33" s="47" t="s">
        <v>155</v>
      </c>
      <c r="AA33" s="47" t="s">
        <v>155</v>
      </c>
      <c r="AB33" s="47" t="s">
        <v>155</v>
      </c>
      <c r="AC33" s="47" t="s">
        <v>155</v>
      </c>
      <c r="AD33" s="48" t="s">
        <v>155</v>
      </c>
      <c r="AE33" s="48" t="s">
        <v>155</v>
      </c>
      <c r="AF33" s="48" t="s">
        <v>155</v>
      </c>
      <c r="AG33" s="48" t="s">
        <v>155</v>
      </c>
      <c r="AH33" s="48" t="s">
        <v>155</v>
      </c>
      <c r="AI33" s="49" t="s">
        <v>155</v>
      </c>
      <c r="AJ33" s="49" t="s">
        <v>155</v>
      </c>
      <c r="AK33" s="49" t="s">
        <v>155</v>
      </c>
      <c r="AL33" s="49" t="s">
        <v>155</v>
      </c>
      <c r="AM33" s="49" t="s">
        <v>155</v>
      </c>
      <c r="AN33" s="50" t="s">
        <v>155</v>
      </c>
    </row>
    <row r="34" spans="1:40" ht="15.75" customHeight="1" x14ac:dyDescent="0.25">
      <c r="A34" s="34">
        <v>2020</v>
      </c>
      <c r="B34" s="35">
        <v>1889</v>
      </c>
      <c r="C34" s="36" t="s">
        <v>194</v>
      </c>
      <c r="D34" s="36" t="s">
        <v>92</v>
      </c>
      <c r="E34" s="36" t="s">
        <v>195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155</v>
      </c>
      <c r="L34" s="38" t="s">
        <v>155</v>
      </c>
      <c r="M34" s="38" t="s">
        <v>155</v>
      </c>
      <c r="N34" s="38">
        <v>39554</v>
      </c>
      <c r="O34" s="45">
        <v>1.677</v>
      </c>
      <c r="P34" s="45" t="s">
        <v>155</v>
      </c>
      <c r="Q34" s="45" t="s">
        <v>155</v>
      </c>
      <c r="R34" s="45" t="s">
        <v>155</v>
      </c>
      <c r="S34" s="45">
        <v>1.677</v>
      </c>
      <c r="T34" s="46">
        <v>3.3759999999999999</v>
      </c>
      <c r="U34" s="46" t="s">
        <v>155</v>
      </c>
      <c r="V34" s="46" t="s">
        <v>155</v>
      </c>
      <c r="W34" s="46" t="s">
        <v>155</v>
      </c>
      <c r="X34" s="46">
        <v>3.3759999999999999</v>
      </c>
      <c r="Y34" s="47">
        <v>3.0870000000000002</v>
      </c>
      <c r="Z34" s="47" t="s">
        <v>155</v>
      </c>
      <c r="AA34" s="47" t="s">
        <v>155</v>
      </c>
      <c r="AB34" s="47" t="s">
        <v>155</v>
      </c>
      <c r="AC34" s="47">
        <v>3.0870000000000002</v>
      </c>
      <c r="AD34" s="48">
        <v>30.75</v>
      </c>
      <c r="AE34" s="48" t="s">
        <v>155</v>
      </c>
      <c r="AF34" s="48" t="s">
        <v>155</v>
      </c>
      <c r="AG34" s="48" t="s">
        <v>155</v>
      </c>
      <c r="AH34" s="48">
        <v>30.75</v>
      </c>
      <c r="AI34" s="49" t="s">
        <v>155</v>
      </c>
      <c r="AJ34" s="49" t="s">
        <v>155</v>
      </c>
      <c r="AK34" s="49" t="s">
        <v>155</v>
      </c>
      <c r="AL34" s="49" t="s">
        <v>155</v>
      </c>
      <c r="AM34" s="49" t="s">
        <v>155</v>
      </c>
      <c r="AN34" s="50" t="s">
        <v>155</v>
      </c>
    </row>
    <row r="35" spans="1:40" ht="15.75" customHeight="1" x14ac:dyDescent="0.25">
      <c r="A35" s="34">
        <v>2020</v>
      </c>
      <c r="B35" s="35">
        <v>2001</v>
      </c>
      <c r="C35" s="36" t="s">
        <v>196</v>
      </c>
      <c r="D35" s="36" t="s">
        <v>71</v>
      </c>
      <c r="E35" s="36" t="s">
        <v>192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155</v>
      </c>
      <c r="K35" s="38" t="s">
        <v>155</v>
      </c>
      <c r="L35" s="38" t="s">
        <v>155</v>
      </c>
      <c r="M35" s="38" t="s">
        <v>155</v>
      </c>
      <c r="N35" s="38" t="s">
        <v>155</v>
      </c>
      <c r="O35" s="45" t="s">
        <v>155</v>
      </c>
      <c r="P35" s="45" t="s">
        <v>155</v>
      </c>
      <c r="Q35" s="45" t="s">
        <v>155</v>
      </c>
      <c r="R35" s="45" t="s">
        <v>155</v>
      </c>
      <c r="S35" s="45" t="s">
        <v>155</v>
      </c>
      <c r="T35" s="46" t="s">
        <v>155</v>
      </c>
      <c r="U35" s="46" t="s">
        <v>155</v>
      </c>
      <c r="V35" s="46" t="s">
        <v>155</v>
      </c>
      <c r="W35" s="46" t="s">
        <v>155</v>
      </c>
      <c r="X35" s="46" t="s">
        <v>155</v>
      </c>
      <c r="Y35" s="47" t="s">
        <v>155</v>
      </c>
      <c r="Z35" s="47" t="s">
        <v>155</v>
      </c>
      <c r="AA35" s="47" t="s">
        <v>155</v>
      </c>
      <c r="AB35" s="47" t="s">
        <v>155</v>
      </c>
      <c r="AC35" s="47" t="s">
        <v>155</v>
      </c>
      <c r="AD35" s="48" t="s">
        <v>155</v>
      </c>
      <c r="AE35" s="48" t="s">
        <v>155</v>
      </c>
      <c r="AF35" s="48" t="s">
        <v>155</v>
      </c>
      <c r="AG35" s="48" t="s">
        <v>155</v>
      </c>
      <c r="AH35" s="48" t="s">
        <v>155</v>
      </c>
      <c r="AI35" s="49" t="s">
        <v>155</v>
      </c>
      <c r="AJ35" s="49" t="s">
        <v>155</v>
      </c>
      <c r="AK35" s="49" t="s">
        <v>155</v>
      </c>
      <c r="AL35" s="49" t="s">
        <v>155</v>
      </c>
      <c r="AM35" s="49" t="s">
        <v>155</v>
      </c>
      <c r="AN35" s="50" t="s">
        <v>155</v>
      </c>
    </row>
    <row r="36" spans="1:40" ht="15.75" customHeight="1" x14ac:dyDescent="0.25">
      <c r="A36" s="34">
        <v>2020</v>
      </c>
      <c r="B36" s="35">
        <v>2212</v>
      </c>
      <c r="C36" s="36" t="s">
        <v>197</v>
      </c>
      <c r="D36" s="36" t="s">
        <v>92</v>
      </c>
      <c r="E36" s="36" t="s">
        <v>195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155</v>
      </c>
      <c r="L36" s="38" t="s">
        <v>155</v>
      </c>
      <c r="M36" s="38" t="s">
        <v>155</v>
      </c>
      <c r="N36" s="38">
        <v>18</v>
      </c>
      <c r="O36" s="45" t="s">
        <v>155</v>
      </c>
      <c r="P36" s="45" t="s">
        <v>155</v>
      </c>
      <c r="Q36" s="45" t="s">
        <v>155</v>
      </c>
      <c r="R36" s="45" t="s">
        <v>155</v>
      </c>
      <c r="S36" s="45" t="s">
        <v>155</v>
      </c>
      <c r="T36" s="46">
        <v>0.03</v>
      </c>
      <c r="U36" s="46" t="s">
        <v>155</v>
      </c>
      <c r="V36" s="46" t="s">
        <v>155</v>
      </c>
      <c r="W36" s="46" t="s">
        <v>155</v>
      </c>
      <c r="X36" s="46">
        <v>0.03</v>
      </c>
      <c r="Y36" s="47">
        <v>0.03</v>
      </c>
      <c r="Z36" s="47" t="s">
        <v>155</v>
      </c>
      <c r="AA36" s="47" t="s">
        <v>155</v>
      </c>
      <c r="AB36" s="47" t="s">
        <v>155</v>
      </c>
      <c r="AC36" s="47">
        <v>0.03</v>
      </c>
      <c r="AD36" s="48">
        <v>0.9</v>
      </c>
      <c r="AE36" s="48" t="s">
        <v>155</v>
      </c>
      <c r="AF36" s="48" t="s">
        <v>155</v>
      </c>
      <c r="AG36" s="48" t="s">
        <v>155</v>
      </c>
      <c r="AH36" s="48">
        <v>0.9</v>
      </c>
      <c r="AI36" s="49" t="s">
        <v>155</v>
      </c>
      <c r="AJ36" s="49" t="s">
        <v>155</v>
      </c>
      <c r="AK36" s="49" t="s">
        <v>155</v>
      </c>
      <c r="AL36" s="49" t="s">
        <v>155</v>
      </c>
      <c r="AM36" s="49" t="s">
        <v>155</v>
      </c>
      <c r="AN36" s="50" t="s">
        <v>155</v>
      </c>
    </row>
    <row r="37" spans="1:40" ht="15.75" customHeight="1" x14ac:dyDescent="0.25">
      <c r="A37" s="34">
        <v>2020</v>
      </c>
      <c r="B37" s="35">
        <v>2652</v>
      </c>
      <c r="C37" s="36" t="s">
        <v>198</v>
      </c>
      <c r="D37" s="36" t="s">
        <v>44</v>
      </c>
      <c r="E37" s="36" t="s">
        <v>175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155</v>
      </c>
      <c r="K37" s="38" t="s">
        <v>155</v>
      </c>
      <c r="L37" s="38" t="s">
        <v>155</v>
      </c>
      <c r="M37" s="38" t="s">
        <v>155</v>
      </c>
      <c r="N37" s="38" t="s">
        <v>155</v>
      </c>
      <c r="O37" s="45" t="s">
        <v>155</v>
      </c>
      <c r="P37" s="45" t="s">
        <v>155</v>
      </c>
      <c r="Q37" s="45" t="s">
        <v>155</v>
      </c>
      <c r="R37" s="45" t="s">
        <v>155</v>
      </c>
      <c r="S37" s="45" t="s">
        <v>155</v>
      </c>
      <c r="T37" s="46" t="s">
        <v>155</v>
      </c>
      <c r="U37" s="46" t="s">
        <v>155</v>
      </c>
      <c r="V37" s="46" t="s">
        <v>155</v>
      </c>
      <c r="W37" s="46" t="s">
        <v>155</v>
      </c>
      <c r="X37" s="46" t="s">
        <v>155</v>
      </c>
      <c r="Y37" s="47" t="s">
        <v>155</v>
      </c>
      <c r="Z37" s="47" t="s">
        <v>155</v>
      </c>
      <c r="AA37" s="47" t="s">
        <v>155</v>
      </c>
      <c r="AB37" s="47" t="s">
        <v>155</v>
      </c>
      <c r="AC37" s="47" t="s">
        <v>155</v>
      </c>
      <c r="AD37" s="48" t="s">
        <v>155</v>
      </c>
      <c r="AE37" s="48" t="s">
        <v>155</v>
      </c>
      <c r="AF37" s="48" t="s">
        <v>155</v>
      </c>
      <c r="AG37" s="48" t="s">
        <v>155</v>
      </c>
      <c r="AH37" s="48" t="s">
        <v>155</v>
      </c>
      <c r="AI37" s="49" t="s">
        <v>155</v>
      </c>
      <c r="AJ37" s="49" t="s">
        <v>155</v>
      </c>
      <c r="AK37" s="49" t="s">
        <v>155</v>
      </c>
      <c r="AL37" s="49" t="s">
        <v>155</v>
      </c>
      <c r="AM37" s="49" t="s">
        <v>155</v>
      </c>
      <c r="AN37" s="50" t="s">
        <v>155</v>
      </c>
    </row>
    <row r="38" spans="1:40" ht="15.75" customHeight="1" x14ac:dyDescent="0.25">
      <c r="A38" s="34">
        <v>2020</v>
      </c>
      <c r="B38" s="35">
        <v>2678</v>
      </c>
      <c r="C38" s="36" t="s">
        <v>199</v>
      </c>
      <c r="D38" s="36" t="s">
        <v>14</v>
      </c>
      <c r="E38" s="36" t="s">
        <v>154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155</v>
      </c>
      <c r="K38" s="38">
        <v>51</v>
      </c>
      <c r="L38" s="38" t="s">
        <v>155</v>
      </c>
      <c r="M38" s="38" t="s">
        <v>155</v>
      </c>
      <c r="N38" s="38">
        <v>51</v>
      </c>
      <c r="O38" s="45" t="s">
        <v>155</v>
      </c>
      <c r="P38" s="45" t="s">
        <v>155</v>
      </c>
      <c r="Q38" s="45" t="s">
        <v>155</v>
      </c>
      <c r="R38" s="45" t="s">
        <v>155</v>
      </c>
      <c r="S38" s="45" t="s">
        <v>155</v>
      </c>
      <c r="T38" s="46" t="s">
        <v>155</v>
      </c>
      <c r="U38" s="46">
        <v>1.32</v>
      </c>
      <c r="V38" s="46" t="s">
        <v>155</v>
      </c>
      <c r="W38" s="46" t="s">
        <v>155</v>
      </c>
      <c r="X38" s="46">
        <v>1.32</v>
      </c>
      <c r="Y38" s="47" t="s">
        <v>155</v>
      </c>
      <c r="Z38" s="47">
        <v>0.79200000000000004</v>
      </c>
      <c r="AA38" s="47" t="s">
        <v>155</v>
      </c>
      <c r="AB38" s="47" t="s">
        <v>155</v>
      </c>
      <c r="AC38" s="47">
        <v>0.79200000000000004</v>
      </c>
      <c r="AD38" s="48" t="s">
        <v>155</v>
      </c>
      <c r="AE38" s="48">
        <v>23.257000000000001</v>
      </c>
      <c r="AF38" s="48" t="s">
        <v>155</v>
      </c>
      <c r="AG38" s="48" t="s">
        <v>155</v>
      </c>
      <c r="AH38" s="48">
        <v>23.257000000000001</v>
      </c>
      <c r="AI38" s="49" t="s">
        <v>155</v>
      </c>
      <c r="AJ38" s="49">
        <v>1.4430000000000001</v>
      </c>
      <c r="AK38" s="49" t="s">
        <v>155</v>
      </c>
      <c r="AL38" s="49" t="s">
        <v>155</v>
      </c>
      <c r="AM38" s="49">
        <v>1.4430000000000001</v>
      </c>
      <c r="AN38" s="50" t="s">
        <v>155</v>
      </c>
    </row>
    <row r="39" spans="1:40" ht="15.75" customHeight="1" x14ac:dyDescent="0.25">
      <c r="A39" s="34">
        <v>2020</v>
      </c>
      <c r="B39" s="35">
        <v>2985</v>
      </c>
      <c r="C39" s="36" t="s">
        <v>200</v>
      </c>
      <c r="D39" s="36" t="s">
        <v>94</v>
      </c>
      <c r="E39" s="36" t="s">
        <v>175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155</v>
      </c>
      <c r="N39" s="38">
        <v>7833</v>
      </c>
      <c r="O39" s="45" t="s">
        <v>155</v>
      </c>
      <c r="P39" s="45" t="s">
        <v>155</v>
      </c>
      <c r="Q39" s="45" t="s">
        <v>155</v>
      </c>
      <c r="R39" s="45" t="s">
        <v>155</v>
      </c>
      <c r="S39" s="45" t="s">
        <v>155</v>
      </c>
      <c r="T39" s="46">
        <v>13.974</v>
      </c>
      <c r="U39" s="46">
        <v>5.0839999999999996</v>
      </c>
      <c r="V39" s="46">
        <v>4.9139999999999997</v>
      </c>
      <c r="W39" s="46" t="s">
        <v>155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155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155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155</v>
      </c>
      <c r="AM39" s="49">
        <v>152.91900000000001</v>
      </c>
      <c r="AN39" s="50">
        <v>70</v>
      </c>
    </row>
    <row r="40" spans="1:40" ht="15.75" customHeight="1" x14ac:dyDescent="0.25">
      <c r="A40" s="34">
        <v>2020</v>
      </c>
      <c r="B40" s="35">
        <v>3046</v>
      </c>
      <c r="C40" s="36" t="s">
        <v>201</v>
      </c>
      <c r="D40" s="36" t="s">
        <v>92</v>
      </c>
      <c r="E40" s="36" t="s">
        <v>202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155</v>
      </c>
      <c r="M40" s="38" t="s">
        <v>155</v>
      </c>
      <c r="N40" s="38">
        <v>194087</v>
      </c>
      <c r="O40" s="45">
        <v>0</v>
      </c>
      <c r="P40" s="45">
        <v>0</v>
      </c>
      <c r="Q40" s="45" t="s">
        <v>155</v>
      </c>
      <c r="R40" s="45" t="s">
        <v>155</v>
      </c>
      <c r="S40" s="45">
        <v>0</v>
      </c>
      <c r="T40" s="46">
        <v>383.9</v>
      </c>
      <c r="U40" s="46">
        <v>138.9</v>
      </c>
      <c r="V40" s="46" t="s">
        <v>155</v>
      </c>
      <c r="W40" s="46" t="s">
        <v>155</v>
      </c>
      <c r="X40" s="46">
        <v>522.79999999999995</v>
      </c>
      <c r="Y40" s="47">
        <v>0</v>
      </c>
      <c r="Z40" s="47">
        <v>24.513999999999999</v>
      </c>
      <c r="AA40" s="47" t="s">
        <v>155</v>
      </c>
      <c r="AB40" s="47" t="s">
        <v>155</v>
      </c>
      <c r="AC40" s="47">
        <v>24.513999999999999</v>
      </c>
      <c r="AD40" s="48">
        <v>5726</v>
      </c>
      <c r="AE40" s="48">
        <v>1217.8</v>
      </c>
      <c r="AF40" s="48" t="s">
        <v>155</v>
      </c>
      <c r="AG40" s="48" t="s">
        <v>155</v>
      </c>
      <c r="AH40" s="48">
        <v>6943.8</v>
      </c>
      <c r="AI40" s="49">
        <v>6630</v>
      </c>
      <c r="AJ40" s="49">
        <v>379</v>
      </c>
      <c r="AK40" s="49" t="s">
        <v>155</v>
      </c>
      <c r="AL40" s="49" t="s">
        <v>155</v>
      </c>
      <c r="AM40" s="49">
        <v>7009</v>
      </c>
      <c r="AN40" s="50" t="s">
        <v>155</v>
      </c>
    </row>
    <row r="41" spans="1:40" ht="15.75" customHeight="1" x14ac:dyDescent="0.25">
      <c r="A41" s="34">
        <v>2020</v>
      </c>
      <c r="B41" s="35">
        <v>3046</v>
      </c>
      <c r="C41" s="36" t="s">
        <v>201</v>
      </c>
      <c r="D41" s="36" t="s">
        <v>106</v>
      </c>
      <c r="E41" s="36" t="s">
        <v>202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155</v>
      </c>
      <c r="M41" s="38" t="s">
        <v>155</v>
      </c>
      <c r="N41" s="38">
        <v>15960</v>
      </c>
      <c r="O41" s="45">
        <v>0</v>
      </c>
      <c r="P41" s="45">
        <v>0</v>
      </c>
      <c r="Q41" s="45" t="s">
        <v>155</v>
      </c>
      <c r="R41" s="45" t="s">
        <v>155</v>
      </c>
      <c r="S41" s="45">
        <v>0</v>
      </c>
      <c r="T41" s="46">
        <v>30.7</v>
      </c>
      <c r="U41" s="46">
        <v>93.1</v>
      </c>
      <c r="V41" s="46" t="s">
        <v>155</v>
      </c>
      <c r="W41" s="46" t="s">
        <v>155</v>
      </c>
      <c r="X41" s="46">
        <v>123.8</v>
      </c>
      <c r="Y41" s="47">
        <v>0</v>
      </c>
      <c r="Z41" s="47">
        <v>0.88600000000000001</v>
      </c>
      <c r="AA41" s="47" t="s">
        <v>155</v>
      </c>
      <c r="AB41" s="47" t="s">
        <v>155</v>
      </c>
      <c r="AC41" s="47">
        <v>0.88600000000000001</v>
      </c>
      <c r="AD41" s="48">
        <v>865.79499999999996</v>
      </c>
      <c r="AE41" s="48">
        <v>184.119</v>
      </c>
      <c r="AF41" s="48" t="s">
        <v>155</v>
      </c>
      <c r="AG41" s="48" t="s">
        <v>155</v>
      </c>
      <c r="AH41" s="48">
        <v>1049.914</v>
      </c>
      <c r="AI41" s="49">
        <v>1002.401</v>
      </c>
      <c r="AJ41" s="49">
        <v>57.286000000000001</v>
      </c>
      <c r="AK41" s="49" t="s">
        <v>155</v>
      </c>
      <c r="AL41" s="49" t="s">
        <v>155</v>
      </c>
      <c r="AM41" s="49">
        <v>1059.6869999999999</v>
      </c>
      <c r="AN41" s="50" t="s">
        <v>155</v>
      </c>
    </row>
    <row r="42" spans="1:40" ht="15.75" customHeight="1" x14ac:dyDescent="0.25">
      <c r="A42" s="34">
        <v>2020</v>
      </c>
      <c r="B42" s="35">
        <v>3107</v>
      </c>
      <c r="C42" s="36" t="s">
        <v>203</v>
      </c>
      <c r="D42" s="36" t="s">
        <v>92</v>
      </c>
      <c r="E42" s="36" t="s">
        <v>202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155</v>
      </c>
      <c r="L42" s="38" t="s">
        <v>155</v>
      </c>
      <c r="M42" s="38" t="s">
        <v>155</v>
      </c>
      <c r="N42" s="38">
        <v>436</v>
      </c>
      <c r="O42" s="45">
        <v>254.49</v>
      </c>
      <c r="P42" s="45" t="s">
        <v>155</v>
      </c>
      <c r="Q42" s="45" t="s">
        <v>155</v>
      </c>
      <c r="R42" s="45" t="s">
        <v>155</v>
      </c>
      <c r="S42" s="45">
        <v>254.49</v>
      </c>
      <c r="T42" s="46">
        <v>10.6</v>
      </c>
      <c r="U42" s="46" t="s">
        <v>155</v>
      </c>
      <c r="V42" s="46" t="s">
        <v>155</v>
      </c>
      <c r="W42" s="46" t="s">
        <v>155</v>
      </c>
      <c r="X42" s="46">
        <v>10.6</v>
      </c>
      <c r="Y42" s="47">
        <v>10.6</v>
      </c>
      <c r="Z42" s="47" t="s">
        <v>155</v>
      </c>
      <c r="AA42" s="47" t="s">
        <v>155</v>
      </c>
      <c r="AB42" s="47" t="s">
        <v>155</v>
      </c>
      <c r="AC42" s="47">
        <v>10.6</v>
      </c>
      <c r="AD42" s="48">
        <v>10.9</v>
      </c>
      <c r="AE42" s="48" t="s">
        <v>155</v>
      </c>
      <c r="AF42" s="48" t="s">
        <v>155</v>
      </c>
      <c r="AG42" s="48" t="s">
        <v>155</v>
      </c>
      <c r="AH42" s="48">
        <v>10.9</v>
      </c>
      <c r="AI42" s="49">
        <v>0</v>
      </c>
      <c r="AJ42" s="49" t="s">
        <v>155</v>
      </c>
      <c r="AK42" s="49" t="s">
        <v>155</v>
      </c>
      <c r="AL42" s="49" t="s">
        <v>155</v>
      </c>
      <c r="AM42" s="49">
        <v>0</v>
      </c>
      <c r="AN42" s="50" t="s">
        <v>155</v>
      </c>
    </row>
    <row r="43" spans="1:40" ht="15.75" customHeight="1" x14ac:dyDescent="0.25">
      <c r="A43" s="34">
        <v>2020</v>
      </c>
      <c r="B43" s="35">
        <v>3108</v>
      </c>
      <c r="C43" s="36" t="s">
        <v>204</v>
      </c>
      <c r="D43" s="36" t="s">
        <v>31</v>
      </c>
      <c r="E43" s="36" t="s">
        <v>160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155</v>
      </c>
      <c r="K43" s="38" t="s">
        <v>155</v>
      </c>
      <c r="L43" s="38" t="s">
        <v>155</v>
      </c>
      <c r="M43" s="38" t="s">
        <v>155</v>
      </c>
      <c r="N43" s="38" t="s">
        <v>155</v>
      </c>
      <c r="O43" s="45" t="s">
        <v>155</v>
      </c>
      <c r="P43" s="45" t="s">
        <v>155</v>
      </c>
      <c r="Q43" s="45" t="s">
        <v>155</v>
      </c>
      <c r="R43" s="45" t="s">
        <v>155</v>
      </c>
      <c r="S43" s="45" t="s">
        <v>155</v>
      </c>
      <c r="T43" s="46" t="s">
        <v>155</v>
      </c>
      <c r="U43" s="46" t="s">
        <v>155</v>
      </c>
      <c r="V43" s="46" t="s">
        <v>155</v>
      </c>
      <c r="W43" s="46" t="s">
        <v>155</v>
      </c>
      <c r="X43" s="46" t="s">
        <v>155</v>
      </c>
      <c r="Y43" s="47" t="s">
        <v>155</v>
      </c>
      <c r="Z43" s="47" t="s">
        <v>155</v>
      </c>
      <c r="AA43" s="47" t="s">
        <v>155</v>
      </c>
      <c r="AB43" s="47" t="s">
        <v>155</v>
      </c>
      <c r="AC43" s="47" t="s">
        <v>155</v>
      </c>
      <c r="AD43" s="48" t="s">
        <v>155</v>
      </c>
      <c r="AE43" s="48" t="s">
        <v>155</v>
      </c>
      <c r="AF43" s="48" t="s">
        <v>155</v>
      </c>
      <c r="AG43" s="48" t="s">
        <v>155</v>
      </c>
      <c r="AH43" s="48" t="s">
        <v>155</v>
      </c>
      <c r="AI43" s="49" t="s">
        <v>155</v>
      </c>
      <c r="AJ43" s="49" t="s">
        <v>155</v>
      </c>
      <c r="AK43" s="49" t="s">
        <v>155</v>
      </c>
      <c r="AL43" s="49" t="s">
        <v>155</v>
      </c>
      <c r="AM43" s="49" t="s">
        <v>155</v>
      </c>
      <c r="AN43" s="50" t="s">
        <v>155</v>
      </c>
    </row>
    <row r="44" spans="1:40" ht="15.75" customHeight="1" x14ac:dyDescent="0.25">
      <c r="A44" s="34">
        <v>2020</v>
      </c>
      <c r="B44" s="35">
        <v>3205</v>
      </c>
      <c r="C44" s="36" t="s">
        <v>205</v>
      </c>
      <c r="D44" s="36" t="s">
        <v>77</v>
      </c>
      <c r="E44" s="36" t="s">
        <v>175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155</v>
      </c>
      <c r="K44" s="38" t="s">
        <v>155</v>
      </c>
      <c r="L44" s="38">
        <v>726</v>
      </c>
      <c r="M44" s="38" t="s">
        <v>155</v>
      </c>
      <c r="N44" s="38">
        <v>726</v>
      </c>
      <c r="O44" s="45" t="s">
        <v>155</v>
      </c>
      <c r="P44" s="45" t="s">
        <v>155</v>
      </c>
      <c r="Q44" s="45" t="s">
        <v>155</v>
      </c>
      <c r="R44" s="45" t="s">
        <v>155</v>
      </c>
      <c r="S44" s="45" t="s">
        <v>155</v>
      </c>
      <c r="T44" s="46" t="s">
        <v>155</v>
      </c>
      <c r="U44" s="46" t="s">
        <v>155</v>
      </c>
      <c r="V44" s="46">
        <v>60.1</v>
      </c>
      <c r="W44" s="46" t="s">
        <v>155</v>
      </c>
      <c r="X44" s="46">
        <v>60.1</v>
      </c>
      <c r="Y44" s="47" t="s">
        <v>155</v>
      </c>
      <c r="Z44" s="47" t="s">
        <v>155</v>
      </c>
      <c r="AA44" s="47">
        <v>18.5</v>
      </c>
      <c r="AB44" s="47" t="s">
        <v>155</v>
      </c>
      <c r="AC44" s="47">
        <v>18.5</v>
      </c>
      <c r="AD44" s="48" t="s">
        <v>155</v>
      </c>
      <c r="AE44" s="48" t="s">
        <v>155</v>
      </c>
      <c r="AF44" s="48" t="s">
        <v>155</v>
      </c>
      <c r="AG44" s="48" t="s">
        <v>155</v>
      </c>
      <c r="AH44" s="48" t="s">
        <v>155</v>
      </c>
      <c r="AI44" s="49" t="s">
        <v>155</v>
      </c>
      <c r="AJ44" s="49" t="s">
        <v>155</v>
      </c>
      <c r="AK44" s="49" t="s">
        <v>155</v>
      </c>
      <c r="AL44" s="49" t="s">
        <v>155</v>
      </c>
      <c r="AM44" s="49" t="s">
        <v>155</v>
      </c>
      <c r="AN44" s="50" t="s">
        <v>155</v>
      </c>
    </row>
    <row r="45" spans="1:40" ht="15.75" customHeight="1" x14ac:dyDescent="0.25">
      <c r="A45" s="34">
        <v>2020</v>
      </c>
      <c r="B45" s="35">
        <v>3222</v>
      </c>
      <c r="C45" s="36" t="s">
        <v>206</v>
      </c>
      <c r="D45" s="36" t="s">
        <v>5</v>
      </c>
      <c r="E45" s="36" t="s">
        <v>158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155</v>
      </c>
      <c r="L45" s="38" t="s">
        <v>155</v>
      </c>
      <c r="M45" s="38" t="s">
        <v>155</v>
      </c>
      <c r="N45" s="38">
        <v>211</v>
      </c>
      <c r="O45" s="45">
        <v>136.852</v>
      </c>
      <c r="P45" s="45" t="s">
        <v>155</v>
      </c>
      <c r="Q45" s="45" t="s">
        <v>155</v>
      </c>
      <c r="R45" s="45" t="s">
        <v>155</v>
      </c>
      <c r="S45" s="45">
        <v>136.852</v>
      </c>
      <c r="T45" s="46">
        <v>0.33100000000000002</v>
      </c>
      <c r="U45" s="46" t="s">
        <v>155</v>
      </c>
      <c r="V45" s="46" t="s">
        <v>155</v>
      </c>
      <c r="W45" s="46" t="s">
        <v>155</v>
      </c>
      <c r="X45" s="46">
        <v>0.33100000000000002</v>
      </c>
      <c r="Y45" s="47">
        <v>0.33100000000000002</v>
      </c>
      <c r="Z45" s="47" t="s">
        <v>155</v>
      </c>
      <c r="AA45" s="47" t="s">
        <v>155</v>
      </c>
      <c r="AB45" s="47" t="s">
        <v>155</v>
      </c>
      <c r="AC45" s="47">
        <v>0.33100000000000002</v>
      </c>
      <c r="AD45" s="48" t="s">
        <v>155</v>
      </c>
      <c r="AE45" s="48" t="s">
        <v>155</v>
      </c>
      <c r="AF45" s="48" t="s">
        <v>155</v>
      </c>
      <c r="AG45" s="48" t="s">
        <v>155</v>
      </c>
      <c r="AH45" s="48" t="s">
        <v>155</v>
      </c>
      <c r="AI45" s="49">
        <v>21</v>
      </c>
      <c r="AJ45" s="49" t="s">
        <v>155</v>
      </c>
      <c r="AK45" s="49" t="s">
        <v>155</v>
      </c>
      <c r="AL45" s="49" t="s">
        <v>155</v>
      </c>
      <c r="AM45" s="49">
        <v>21</v>
      </c>
      <c r="AN45" s="50" t="s">
        <v>155</v>
      </c>
    </row>
    <row r="46" spans="1:40" ht="15.75" customHeight="1" x14ac:dyDescent="0.25">
      <c r="A46" s="34">
        <v>2020</v>
      </c>
      <c r="B46" s="35">
        <v>3248</v>
      </c>
      <c r="C46" s="36" t="s">
        <v>207</v>
      </c>
      <c r="D46" s="36" t="s">
        <v>31</v>
      </c>
      <c r="E46" s="36" t="s">
        <v>160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155</v>
      </c>
      <c r="L46" s="38" t="s">
        <v>155</v>
      </c>
      <c r="M46" s="38" t="s">
        <v>155</v>
      </c>
      <c r="N46" s="38">
        <v>3585</v>
      </c>
      <c r="O46" s="45">
        <v>188</v>
      </c>
      <c r="P46" s="45" t="s">
        <v>155</v>
      </c>
      <c r="Q46" s="45" t="s">
        <v>155</v>
      </c>
      <c r="R46" s="45" t="s">
        <v>155</v>
      </c>
      <c r="S46" s="45">
        <v>188</v>
      </c>
      <c r="T46" s="46">
        <v>7</v>
      </c>
      <c r="U46" s="46" t="s">
        <v>155</v>
      </c>
      <c r="V46" s="46" t="s">
        <v>155</v>
      </c>
      <c r="W46" s="46" t="s">
        <v>155</v>
      </c>
      <c r="X46" s="46">
        <v>7</v>
      </c>
      <c r="Y46" s="47">
        <v>4</v>
      </c>
      <c r="Z46" s="47" t="s">
        <v>155</v>
      </c>
      <c r="AA46" s="47" t="s">
        <v>155</v>
      </c>
      <c r="AB46" s="47" t="s">
        <v>155</v>
      </c>
      <c r="AC46" s="47">
        <v>4</v>
      </c>
      <c r="AD46" s="48">
        <v>74</v>
      </c>
      <c r="AE46" s="48" t="s">
        <v>155</v>
      </c>
      <c r="AF46" s="48" t="s">
        <v>155</v>
      </c>
      <c r="AG46" s="48" t="s">
        <v>155</v>
      </c>
      <c r="AH46" s="48">
        <v>74</v>
      </c>
      <c r="AI46" s="49">
        <v>97</v>
      </c>
      <c r="AJ46" s="49" t="s">
        <v>155</v>
      </c>
      <c r="AK46" s="49" t="s">
        <v>155</v>
      </c>
      <c r="AL46" s="49" t="s">
        <v>155</v>
      </c>
      <c r="AM46" s="49">
        <v>97</v>
      </c>
      <c r="AN46" s="50">
        <v>5</v>
      </c>
    </row>
    <row r="47" spans="1:40" ht="15.75" customHeight="1" x14ac:dyDescent="0.25">
      <c r="A47" s="34">
        <v>2020</v>
      </c>
      <c r="B47" s="35">
        <v>3249</v>
      </c>
      <c r="C47" s="36" t="s">
        <v>208</v>
      </c>
      <c r="D47" s="36" t="s">
        <v>90</v>
      </c>
      <c r="E47" s="36" t="s">
        <v>209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155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155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155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155</v>
      </c>
      <c r="AC47" s="47">
        <v>7.7329999999999997</v>
      </c>
      <c r="AD47" s="48" t="s">
        <v>155</v>
      </c>
      <c r="AE47" s="48" t="s">
        <v>155</v>
      </c>
      <c r="AF47" s="48" t="s">
        <v>155</v>
      </c>
      <c r="AG47" s="48" t="s">
        <v>155</v>
      </c>
      <c r="AH47" s="48" t="s">
        <v>155</v>
      </c>
      <c r="AI47" s="49" t="s">
        <v>155</v>
      </c>
      <c r="AJ47" s="49" t="s">
        <v>155</v>
      </c>
      <c r="AK47" s="49" t="s">
        <v>155</v>
      </c>
      <c r="AL47" s="49" t="s">
        <v>155</v>
      </c>
      <c r="AM47" s="49" t="s">
        <v>155</v>
      </c>
      <c r="AN47" s="50" t="s">
        <v>155</v>
      </c>
    </row>
    <row r="48" spans="1:40" ht="15.75" customHeight="1" x14ac:dyDescent="0.25">
      <c r="A48" s="34">
        <v>2020</v>
      </c>
      <c r="B48" s="35">
        <v>3278</v>
      </c>
      <c r="C48" s="36" t="s">
        <v>210</v>
      </c>
      <c r="D48" s="36" t="s">
        <v>112</v>
      </c>
      <c r="E48" s="36" t="s">
        <v>180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155</v>
      </c>
      <c r="K48" s="38" t="s">
        <v>155</v>
      </c>
      <c r="L48" s="38" t="s">
        <v>155</v>
      </c>
      <c r="M48" s="38" t="s">
        <v>155</v>
      </c>
      <c r="N48" s="38" t="s">
        <v>155</v>
      </c>
      <c r="O48" s="45" t="s">
        <v>155</v>
      </c>
      <c r="P48" s="45" t="s">
        <v>155</v>
      </c>
      <c r="Q48" s="45" t="s">
        <v>155</v>
      </c>
      <c r="R48" s="45" t="s">
        <v>155</v>
      </c>
      <c r="S48" s="45" t="s">
        <v>155</v>
      </c>
      <c r="T48" s="46" t="s">
        <v>155</v>
      </c>
      <c r="U48" s="46" t="s">
        <v>155</v>
      </c>
      <c r="V48" s="46" t="s">
        <v>155</v>
      </c>
      <c r="W48" s="46" t="s">
        <v>155</v>
      </c>
      <c r="X48" s="46" t="s">
        <v>155</v>
      </c>
      <c r="Y48" s="47" t="s">
        <v>155</v>
      </c>
      <c r="Z48" s="47" t="s">
        <v>155</v>
      </c>
      <c r="AA48" s="47" t="s">
        <v>155</v>
      </c>
      <c r="AB48" s="47" t="s">
        <v>155</v>
      </c>
      <c r="AC48" s="47" t="s">
        <v>155</v>
      </c>
      <c r="AD48" s="48" t="s">
        <v>155</v>
      </c>
      <c r="AE48" s="48" t="s">
        <v>155</v>
      </c>
      <c r="AF48" s="48" t="s">
        <v>155</v>
      </c>
      <c r="AG48" s="48" t="s">
        <v>155</v>
      </c>
      <c r="AH48" s="48" t="s">
        <v>155</v>
      </c>
      <c r="AI48" s="49" t="s">
        <v>155</v>
      </c>
      <c r="AJ48" s="49" t="s">
        <v>155</v>
      </c>
      <c r="AK48" s="49" t="s">
        <v>155</v>
      </c>
      <c r="AL48" s="49" t="s">
        <v>155</v>
      </c>
      <c r="AM48" s="49" t="s">
        <v>155</v>
      </c>
      <c r="AN48" s="50" t="s">
        <v>155</v>
      </c>
    </row>
    <row r="49" spans="1:40" ht="15.75" customHeight="1" x14ac:dyDescent="0.25">
      <c r="A49" s="34">
        <v>2020</v>
      </c>
      <c r="B49" s="35">
        <v>3279</v>
      </c>
      <c r="C49" s="36" t="s">
        <v>211</v>
      </c>
      <c r="D49" s="36" t="s">
        <v>94</v>
      </c>
      <c r="E49" s="36" t="s">
        <v>175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155</v>
      </c>
      <c r="K49" s="38" t="s">
        <v>155</v>
      </c>
      <c r="L49" s="38" t="s">
        <v>155</v>
      </c>
      <c r="M49" s="38" t="s">
        <v>155</v>
      </c>
      <c r="N49" s="38" t="s">
        <v>155</v>
      </c>
      <c r="O49" s="45">
        <v>2660</v>
      </c>
      <c r="P49" s="45">
        <v>558.9</v>
      </c>
      <c r="Q49" s="45" t="s">
        <v>155</v>
      </c>
      <c r="R49" s="45" t="s">
        <v>155</v>
      </c>
      <c r="S49" s="45">
        <v>3218.9</v>
      </c>
      <c r="T49" s="46">
        <v>12.71</v>
      </c>
      <c r="U49" s="46">
        <v>1.3680000000000001</v>
      </c>
      <c r="V49" s="46" t="s">
        <v>155</v>
      </c>
      <c r="W49" s="46" t="s">
        <v>155</v>
      </c>
      <c r="X49" s="46">
        <v>14.077999999999999</v>
      </c>
      <c r="Y49" s="47">
        <v>12.71</v>
      </c>
      <c r="Z49" s="47">
        <v>1.3680000000000001</v>
      </c>
      <c r="AA49" s="47" t="s">
        <v>155</v>
      </c>
      <c r="AB49" s="47" t="s">
        <v>155</v>
      </c>
      <c r="AC49" s="47">
        <v>14.077999999999999</v>
      </c>
      <c r="AD49" s="48" t="s">
        <v>155</v>
      </c>
      <c r="AE49" s="48" t="s">
        <v>155</v>
      </c>
      <c r="AF49" s="48" t="s">
        <v>155</v>
      </c>
      <c r="AG49" s="48" t="s">
        <v>155</v>
      </c>
      <c r="AH49" s="48" t="s">
        <v>155</v>
      </c>
      <c r="AI49" s="49">
        <v>292.87700000000001</v>
      </c>
      <c r="AJ49" s="49">
        <v>357.536</v>
      </c>
      <c r="AK49" s="49">
        <v>29.079000000000001</v>
      </c>
      <c r="AL49" s="49" t="s">
        <v>155</v>
      </c>
      <c r="AM49" s="49">
        <v>679.49199999999996</v>
      </c>
      <c r="AN49" s="50" t="s">
        <v>155</v>
      </c>
    </row>
    <row r="50" spans="1:40" ht="15.75" customHeight="1" x14ac:dyDescent="0.25">
      <c r="A50" s="34">
        <v>2020</v>
      </c>
      <c r="B50" s="35">
        <v>3502</v>
      </c>
      <c r="C50" s="36" t="s">
        <v>212</v>
      </c>
      <c r="D50" s="36" t="s">
        <v>28</v>
      </c>
      <c r="E50" s="36" t="s">
        <v>158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155</v>
      </c>
      <c r="M50" s="38" t="s">
        <v>155</v>
      </c>
      <c r="N50" s="38">
        <v>55662</v>
      </c>
      <c r="O50" s="45">
        <v>0</v>
      </c>
      <c r="P50" s="45">
        <v>0</v>
      </c>
      <c r="Q50" s="45" t="s">
        <v>155</v>
      </c>
      <c r="R50" s="45" t="s">
        <v>155</v>
      </c>
      <c r="S50" s="45">
        <v>0</v>
      </c>
      <c r="T50" s="46">
        <v>67.8</v>
      </c>
      <c r="U50" s="46">
        <v>9.8000000000000007</v>
      </c>
      <c r="V50" s="46" t="s">
        <v>155</v>
      </c>
      <c r="W50" s="46" t="s">
        <v>155</v>
      </c>
      <c r="X50" s="46">
        <v>77.599999999999994</v>
      </c>
      <c r="Y50" s="47">
        <v>67.8</v>
      </c>
      <c r="Z50" s="47">
        <v>9.8000000000000007</v>
      </c>
      <c r="AA50" s="47" t="s">
        <v>155</v>
      </c>
      <c r="AB50" s="47" t="s">
        <v>155</v>
      </c>
      <c r="AC50" s="47">
        <v>77.599999999999994</v>
      </c>
      <c r="AD50" s="48">
        <v>24.35</v>
      </c>
      <c r="AE50" s="48">
        <v>0</v>
      </c>
      <c r="AF50" s="48" t="s">
        <v>155</v>
      </c>
      <c r="AG50" s="48" t="s">
        <v>155</v>
      </c>
      <c r="AH50" s="48">
        <v>24.35</v>
      </c>
      <c r="AI50" s="49">
        <v>5.79</v>
      </c>
      <c r="AJ50" s="49">
        <v>0.21</v>
      </c>
      <c r="AK50" s="49" t="s">
        <v>155</v>
      </c>
      <c r="AL50" s="49" t="s">
        <v>155</v>
      </c>
      <c r="AM50" s="49">
        <v>6</v>
      </c>
      <c r="AN50" s="50" t="s">
        <v>155</v>
      </c>
    </row>
    <row r="51" spans="1:40" ht="15.75" customHeight="1" x14ac:dyDescent="0.25">
      <c r="A51" s="34">
        <v>2020</v>
      </c>
      <c r="B51" s="35">
        <v>3503</v>
      </c>
      <c r="C51" s="36" t="s">
        <v>213</v>
      </c>
      <c r="D51" s="36" t="s">
        <v>58</v>
      </c>
      <c r="E51" s="36" t="s">
        <v>167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155</v>
      </c>
    </row>
    <row r="52" spans="1:40" ht="15.75" customHeight="1" x14ac:dyDescent="0.25">
      <c r="A52" s="34">
        <v>2020</v>
      </c>
      <c r="B52" s="35">
        <v>3542</v>
      </c>
      <c r="C52" s="36" t="s">
        <v>214</v>
      </c>
      <c r="D52" s="36" t="s">
        <v>96</v>
      </c>
      <c r="E52" s="36" t="s">
        <v>167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155</v>
      </c>
      <c r="M52" s="38" t="s">
        <v>155</v>
      </c>
      <c r="N52" s="38">
        <v>45792</v>
      </c>
      <c r="O52" s="45" t="s">
        <v>155</v>
      </c>
      <c r="P52" s="45" t="s">
        <v>155</v>
      </c>
      <c r="Q52" s="45" t="s">
        <v>155</v>
      </c>
      <c r="R52" s="45" t="s">
        <v>155</v>
      </c>
      <c r="S52" s="45" t="s">
        <v>155</v>
      </c>
      <c r="T52" s="46">
        <v>47.2</v>
      </c>
      <c r="U52" s="46">
        <v>22.082000000000001</v>
      </c>
      <c r="V52" s="46" t="s">
        <v>155</v>
      </c>
      <c r="W52" s="46" t="s">
        <v>155</v>
      </c>
      <c r="X52" s="46">
        <v>69.281999999999996</v>
      </c>
      <c r="Y52" s="47" t="s">
        <v>155</v>
      </c>
      <c r="Z52" s="47" t="s">
        <v>155</v>
      </c>
      <c r="AA52" s="47" t="s">
        <v>155</v>
      </c>
      <c r="AB52" s="47" t="s">
        <v>155</v>
      </c>
      <c r="AC52" s="47" t="s">
        <v>155</v>
      </c>
      <c r="AD52" s="48">
        <v>466</v>
      </c>
      <c r="AE52" s="48">
        <v>363</v>
      </c>
      <c r="AF52" s="48" t="s">
        <v>155</v>
      </c>
      <c r="AG52" s="48" t="s">
        <v>155</v>
      </c>
      <c r="AH52" s="48">
        <v>829</v>
      </c>
      <c r="AI52" s="49">
        <v>655</v>
      </c>
      <c r="AJ52" s="49">
        <v>85</v>
      </c>
      <c r="AK52" s="49" t="s">
        <v>155</v>
      </c>
      <c r="AL52" s="49" t="s">
        <v>155</v>
      </c>
      <c r="AM52" s="49">
        <v>740</v>
      </c>
      <c r="AN52" s="50" t="s">
        <v>155</v>
      </c>
    </row>
    <row r="53" spans="1:40" ht="15.75" customHeight="1" x14ac:dyDescent="0.25">
      <c r="A53" s="34">
        <v>2020</v>
      </c>
      <c r="B53" s="35">
        <v>3641</v>
      </c>
      <c r="C53" s="36" t="s">
        <v>215</v>
      </c>
      <c r="D53" s="36" t="s">
        <v>52</v>
      </c>
      <c r="E53" s="36" t="s">
        <v>154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155</v>
      </c>
      <c r="K53" s="38" t="s">
        <v>155</v>
      </c>
      <c r="L53" s="38" t="s">
        <v>155</v>
      </c>
      <c r="M53" s="38" t="s">
        <v>155</v>
      </c>
      <c r="N53" s="38" t="s">
        <v>155</v>
      </c>
      <c r="O53" s="45" t="s">
        <v>155</v>
      </c>
      <c r="P53" s="45" t="s">
        <v>155</v>
      </c>
      <c r="Q53" s="45" t="s">
        <v>155</v>
      </c>
      <c r="R53" s="45" t="s">
        <v>155</v>
      </c>
      <c r="S53" s="45" t="s">
        <v>155</v>
      </c>
      <c r="T53" s="46" t="s">
        <v>155</v>
      </c>
      <c r="U53" s="46" t="s">
        <v>155</v>
      </c>
      <c r="V53" s="46" t="s">
        <v>155</v>
      </c>
      <c r="W53" s="46" t="s">
        <v>155</v>
      </c>
      <c r="X53" s="46" t="s">
        <v>155</v>
      </c>
      <c r="Y53" s="47" t="s">
        <v>155</v>
      </c>
      <c r="Z53" s="47" t="s">
        <v>155</v>
      </c>
      <c r="AA53" s="47" t="s">
        <v>155</v>
      </c>
      <c r="AB53" s="47" t="s">
        <v>155</v>
      </c>
      <c r="AC53" s="47" t="s">
        <v>155</v>
      </c>
      <c r="AD53" s="48" t="s">
        <v>155</v>
      </c>
      <c r="AE53" s="48" t="s">
        <v>155</v>
      </c>
      <c r="AF53" s="48" t="s">
        <v>155</v>
      </c>
      <c r="AG53" s="48" t="s">
        <v>155</v>
      </c>
      <c r="AH53" s="48" t="s">
        <v>155</v>
      </c>
      <c r="AI53" s="49" t="s">
        <v>155</v>
      </c>
      <c r="AJ53" s="49" t="s">
        <v>155</v>
      </c>
      <c r="AK53" s="49" t="s">
        <v>155</v>
      </c>
      <c r="AL53" s="49" t="s">
        <v>155</v>
      </c>
      <c r="AM53" s="49" t="s">
        <v>155</v>
      </c>
      <c r="AN53" s="50" t="s">
        <v>155</v>
      </c>
    </row>
    <row r="54" spans="1:40" ht="15.75" customHeight="1" x14ac:dyDescent="0.25">
      <c r="A54" s="34">
        <v>2020</v>
      </c>
      <c r="B54" s="35">
        <v>3755</v>
      </c>
      <c r="C54" s="36" t="s">
        <v>216</v>
      </c>
      <c r="D54" s="36" t="s">
        <v>96</v>
      </c>
      <c r="E54" s="36" t="s">
        <v>167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155</v>
      </c>
    </row>
    <row r="55" spans="1:40" ht="15.75" customHeight="1" x14ac:dyDescent="0.25">
      <c r="A55" s="34">
        <v>2020</v>
      </c>
      <c r="B55" s="35">
        <v>3757</v>
      </c>
      <c r="C55" s="36" t="s">
        <v>217</v>
      </c>
      <c r="D55" s="36" t="s">
        <v>28</v>
      </c>
      <c r="E55" s="36" t="s">
        <v>218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155</v>
      </c>
      <c r="K55" s="38">
        <v>7</v>
      </c>
      <c r="L55" s="38" t="s">
        <v>155</v>
      </c>
      <c r="M55" s="38" t="s">
        <v>155</v>
      </c>
      <c r="N55" s="38">
        <v>7</v>
      </c>
      <c r="O55" s="45" t="s">
        <v>155</v>
      </c>
      <c r="P55" s="45" t="s">
        <v>155</v>
      </c>
      <c r="Q55" s="45" t="s">
        <v>155</v>
      </c>
      <c r="R55" s="45" t="s">
        <v>155</v>
      </c>
      <c r="S55" s="45" t="s">
        <v>155</v>
      </c>
      <c r="T55" s="46" t="s">
        <v>155</v>
      </c>
      <c r="U55" s="46">
        <v>18.616</v>
      </c>
      <c r="V55" s="46" t="s">
        <v>155</v>
      </c>
      <c r="W55" s="46" t="s">
        <v>155</v>
      </c>
      <c r="X55" s="46">
        <v>18.616</v>
      </c>
      <c r="Y55" s="47" t="s">
        <v>155</v>
      </c>
      <c r="Z55" s="47">
        <v>18.274999999999999</v>
      </c>
      <c r="AA55" s="47" t="s">
        <v>155</v>
      </c>
      <c r="AB55" s="47" t="s">
        <v>155</v>
      </c>
      <c r="AC55" s="47">
        <v>18.274999999999999</v>
      </c>
      <c r="AD55" s="48" t="s">
        <v>155</v>
      </c>
      <c r="AE55" s="48">
        <v>214</v>
      </c>
      <c r="AF55" s="48" t="s">
        <v>155</v>
      </c>
      <c r="AG55" s="48" t="s">
        <v>155</v>
      </c>
      <c r="AH55" s="48">
        <v>214</v>
      </c>
      <c r="AI55" s="49" t="s">
        <v>155</v>
      </c>
      <c r="AJ55" s="49">
        <v>250</v>
      </c>
      <c r="AK55" s="49" t="s">
        <v>155</v>
      </c>
      <c r="AL55" s="49" t="s">
        <v>155</v>
      </c>
      <c r="AM55" s="49">
        <v>250</v>
      </c>
      <c r="AN55" s="50" t="s">
        <v>155</v>
      </c>
    </row>
    <row r="56" spans="1:40" ht="15.75" customHeight="1" x14ac:dyDescent="0.25">
      <c r="A56" s="34">
        <v>2020</v>
      </c>
      <c r="B56" s="35">
        <v>3931</v>
      </c>
      <c r="C56" s="36" t="s">
        <v>219</v>
      </c>
      <c r="D56" s="36" t="s">
        <v>38</v>
      </c>
      <c r="E56" s="36" t="s">
        <v>154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155</v>
      </c>
      <c r="N56" s="38">
        <v>4568</v>
      </c>
      <c r="O56" s="45" t="s">
        <v>155</v>
      </c>
      <c r="P56" s="45" t="s">
        <v>155</v>
      </c>
      <c r="Q56" s="45" t="s">
        <v>155</v>
      </c>
      <c r="R56" s="45" t="s">
        <v>155</v>
      </c>
      <c r="S56" s="45" t="s">
        <v>155</v>
      </c>
      <c r="T56" s="46">
        <v>3</v>
      </c>
      <c r="U56" s="46">
        <v>8</v>
      </c>
      <c r="V56" s="46">
        <v>3</v>
      </c>
      <c r="W56" s="46" t="s">
        <v>155</v>
      </c>
      <c r="X56" s="46">
        <v>14</v>
      </c>
      <c r="Y56" s="47" t="s">
        <v>155</v>
      </c>
      <c r="Z56" s="47" t="s">
        <v>155</v>
      </c>
      <c r="AA56" s="47" t="s">
        <v>155</v>
      </c>
      <c r="AB56" s="47" t="s">
        <v>155</v>
      </c>
      <c r="AC56" s="47" t="s">
        <v>155</v>
      </c>
      <c r="AD56" s="48" t="s">
        <v>155</v>
      </c>
      <c r="AE56" s="48" t="s">
        <v>155</v>
      </c>
      <c r="AF56" s="48" t="s">
        <v>155</v>
      </c>
      <c r="AG56" s="48" t="s">
        <v>155</v>
      </c>
      <c r="AH56" s="48" t="s">
        <v>155</v>
      </c>
      <c r="AI56" s="49" t="s">
        <v>155</v>
      </c>
      <c r="AJ56" s="49" t="s">
        <v>155</v>
      </c>
      <c r="AK56" s="49" t="s">
        <v>155</v>
      </c>
      <c r="AL56" s="49" t="s">
        <v>155</v>
      </c>
      <c r="AM56" s="49" t="s">
        <v>155</v>
      </c>
      <c r="AN56" s="50" t="s">
        <v>155</v>
      </c>
    </row>
    <row r="57" spans="1:40" ht="15.75" customHeight="1" x14ac:dyDescent="0.25">
      <c r="A57" s="34">
        <v>2020</v>
      </c>
      <c r="B57" s="35">
        <v>3989</v>
      </c>
      <c r="C57" s="36" t="s">
        <v>220</v>
      </c>
      <c r="D57" s="36" t="s">
        <v>20</v>
      </c>
      <c r="E57" s="36" t="s">
        <v>221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155</v>
      </c>
      <c r="M57" s="38" t="s">
        <v>155</v>
      </c>
      <c r="N57" s="38">
        <v>19</v>
      </c>
      <c r="O57" s="45">
        <v>0</v>
      </c>
      <c r="P57" s="45">
        <v>0</v>
      </c>
      <c r="Q57" s="45" t="s">
        <v>155</v>
      </c>
      <c r="R57" s="45" t="s">
        <v>155</v>
      </c>
      <c r="S57" s="45">
        <v>0</v>
      </c>
      <c r="T57" s="46">
        <v>0</v>
      </c>
      <c r="U57" s="46">
        <v>1.38</v>
      </c>
      <c r="V57" s="46" t="s">
        <v>155</v>
      </c>
      <c r="W57" s="46" t="s">
        <v>155</v>
      </c>
      <c r="X57" s="46">
        <v>1.38</v>
      </c>
      <c r="Y57" s="47">
        <v>0</v>
      </c>
      <c r="Z57" s="47">
        <v>1.38</v>
      </c>
      <c r="AA57" s="47" t="s">
        <v>155</v>
      </c>
      <c r="AB57" s="47" t="s">
        <v>155</v>
      </c>
      <c r="AC57" s="47">
        <v>1.38</v>
      </c>
      <c r="AD57" s="48">
        <v>0</v>
      </c>
      <c r="AE57" s="48">
        <v>14.641999999999999</v>
      </c>
      <c r="AF57" s="48" t="s">
        <v>155</v>
      </c>
      <c r="AG57" s="48" t="s">
        <v>155</v>
      </c>
      <c r="AH57" s="48">
        <v>14.641999999999999</v>
      </c>
      <c r="AI57" s="49">
        <v>132.881</v>
      </c>
      <c r="AJ57" s="49">
        <v>267.7</v>
      </c>
      <c r="AK57" s="49" t="s">
        <v>155</v>
      </c>
      <c r="AL57" s="49" t="s">
        <v>155</v>
      </c>
      <c r="AM57" s="49">
        <v>400.58100000000002</v>
      </c>
      <c r="AN57" s="50" t="s">
        <v>155</v>
      </c>
    </row>
    <row r="58" spans="1:40" ht="15.75" customHeight="1" x14ac:dyDescent="0.25">
      <c r="A58" s="34">
        <v>2020</v>
      </c>
      <c r="B58" s="35">
        <v>4045</v>
      </c>
      <c r="C58" s="36" t="s">
        <v>222</v>
      </c>
      <c r="D58" s="36" t="s">
        <v>71</v>
      </c>
      <c r="E58" s="36" t="s">
        <v>154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155</v>
      </c>
      <c r="K58" s="38" t="s">
        <v>155</v>
      </c>
      <c r="L58" s="38" t="s">
        <v>155</v>
      </c>
      <c r="M58" s="38" t="s">
        <v>155</v>
      </c>
      <c r="N58" s="38" t="s">
        <v>155</v>
      </c>
      <c r="O58" s="45" t="s">
        <v>155</v>
      </c>
      <c r="P58" s="45" t="s">
        <v>155</v>
      </c>
      <c r="Q58" s="45" t="s">
        <v>155</v>
      </c>
      <c r="R58" s="45" t="s">
        <v>155</v>
      </c>
      <c r="S58" s="45" t="s">
        <v>155</v>
      </c>
      <c r="T58" s="46" t="s">
        <v>155</v>
      </c>
      <c r="U58" s="46" t="s">
        <v>155</v>
      </c>
      <c r="V58" s="46" t="s">
        <v>155</v>
      </c>
      <c r="W58" s="46" t="s">
        <v>155</v>
      </c>
      <c r="X58" s="46" t="s">
        <v>155</v>
      </c>
      <c r="Y58" s="47" t="s">
        <v>155</v>
      </c>
      <c r="Z58" s="47" t="s">
        <v>155</v>
      </c>
      <c r="AA58" s="47" t="s">
        <v>155</v>
      </c>
      <c r="AB58" s="47" t="s">
        <v>155</v>
      </c>
      <c r="AC58" s="47" t="s">
        <v>155</v>
      </c>
      <c r="AD58" s="48" t="s">
        <v>155</v>
      </c>
      <c r="AE58" s="48" t="s">
        <v>155</v>
      </c>
      <c r="AF58" s="48" t="s">
        <v>155</v>
      </c>
      <c r="AG58" s="48" t="s">
        <v>155</v>
      </c>
      <c r="AH58" s="48" t="s">
        <v>155</v>
      </c>
      <c r="AI58" s="49" t="s">
        <v>155</v>
      </c>
      <c r="AJ58" s="49" t="s">
        <v>155</v>
      </c>
      <c r="AK58" s="49" t="s">
        <v>155</v>
      </c>
      <c r="AL58" s="49" t="s">
        <v>155</v>
      </c>
      <c r="AM58" s="49" t="s">
        <v>155</v>
      </c>
      <c r="AN58" s="50" t="s">
        <v>155</v>
      </c>
    </row>
    <row r="59" spans="1:40" ht="15.75" customHeight="1" x14ac:dyDescent="0.25">
      <c r="A59" s="34">
        <v>2020</v>
      </c>
      <c r="B59" s="35">
        <v>4065</v>
      </c>
      <c r="C59" s="36" t="s">
        <v>223</v>
      </c>
      <c r="D59" s="36" t="s">
        <v>96</v>
      </c>
      <c r="E59" s="36" t="s">
        <v>167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155</v>
      </c>
      <c r="K59" s="38" t="s">
        <v>155</v>
      </c>
      <c r="L59" s="38">
        <v>10</v>
      </c>
      <c r="M59" s="38" t="s">
        <v>155</v>
      </c>
      <c r="N59" s="38">
        <v>10</v>
      </c>
      <c r="O59" s="45" t="s">
        <v>155</v>
      </c>
      <c r="P59" s="45" t="s">
        <v>155</v>
      </c>
      <c r="Q59" s="45" t="s">
        <v>155</v>
      </c>
      <c r="R59" s="45" t="s">
        <v>155</v>
      </c>
      <c r="S59" s="45" t="s">
        <v>155</v>
      </c>
      <c r="T59" s="46" t="s">
        <v>155</v>
      </c>
      <c r="U59" s="46" t="s">
        <v>155</v>
      </c>
      <c r="V59" s="46">
        <v>13.6</v>
      </c>
      <c r="W59" s="46" t="s">
        <v>155</v>
      </c>
      <c r="X59" s="46">
        <v>13.6</v>
      </c>
      <c r="Y59" s="47" t="s">
        <v>155</v>
      </c>
      <c r="Z59" s="47" t="s">
        <v>155</v>
      </c>
      <c r="AA59" s="47" t="s">
        <v>155</v>
      </c>
      <c r="AB59" s="47" t="s">
        <v>155</v>
      </c>
      <c r="AC59" s="47" t="s">
        <v>155</v>
      </c>
      <c r="AD59" s="48" t="s">
        <v>155</v>
      </c>
      <c r="AE59" s="48" t="s">
        <v>155</v>
      </c>
      <c r="AF59" s="48" t="s">
        <v>155</v>
      </c>
      <c r="AG59" s="48" t="s">
        <v>155</v>
      </c>
      <c r="AH59" s="48" t="s">
        <v>155</v>
      </c>
      <c r="AI59" s="49" t="s">
        <v>155</v>
      </c>
      <c r="AJ59" s="49" t="s">
        <v>155</v>
      </c>
      <c r="AK59" s="49" t="s">
        <v>155</v>
      </c>
      <c r="AL59" s="49" t="s">
        <v>155</v>
      </c>
      <c r="AM59" s="49" t="s">
        <v>155</v>
      </c>
      <c r="AN59" s="50" t="s">
        <v>155</v>
      </c>
    </row>
    <row r="60" spans="1:40" ht="15.75" customHeight="1" x14ac:dyDescent="0.25">
      <c r="A60" s="34">
        <v>2020</v>
      </c>
      <c r="B60" s="35">
        <v>4110</v>
      </c>
      <c r="C60" s="36" t="s">
        <v>224</v>
      </c>
      <c r="D60" s="36" t="s">
        <v>38</v>
      </c>
      <c r="E60" s="36" t="s">
        <v>167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155</v>
      </c>
      <c r="N60" s="38">
        <v>396482</v>
      </c>
      <c r="O60" s="45">
        <v>963</v>
      </c>
      <c r="P60" s="45" t="s">
        <v>155</v>
      </c>
      <c r="Q60" s="45" t="s">
        <v>155</v>
      </c>
      <c r="R60" s="45" t="s">
        <v>155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155</v>
      </c>
      <c r="X60" s="46">
        <v>997</v>
      </c>
      <c r="Y60" s="47">
        <v>141</v>
      </c>
      <c r="Z60" s="47" t="s">
        <v>155</v>
      </c>
      <c r="AA60" s="47" t="s">
        <v>155</v>
      </c>
      <c r="AB60" s="47" t="s">
        <v>155</v>
      </c>
      <c r="AC60" s="47">
        <v>141</v>
      </c>
      <c r="AD60" s="48">
        <v>8979</v>
      </c>
      <c r="AE60" s="48" t="s">
        <v>155</v>
      </c>
      <c r="AF60" s="48" t="s">
        <v>155</v>
      </c>
      <c r="AG60" s="48" t="s">
        <v>155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155</v>
      </c>
      <c r="AM60" s="49">
        <v>5015</v>
      </c>
      <c r="AN60" s="50">
        <v>0</v>
      </c>
    </row>
    <row r="61" spans="1:40" ht="15.75" customHeight="1" x14ac:dyDescent="0.25">
      <c r="A61" s="34">
        <v>2020</v>
      </c>
      <c r="B61" s="35">
        <v>4176</v>
      </c>
      <c r="C61" s="36" t="s">
        <v>225</v>
      </c>
      <c r="D61" s="36" t="s">
        <v>22</v>
      </c>
      <c r="E61" s="36" t="s">
        <v>226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155</v>
      </c>
      <c r="N61" s="38">
        <v>15026</v>
      </c>
      <c r="O61" s="45" t="s">
        <v>155</v>
      </c>
      <c r="P61" s="45" t="s">
        <v>155</v>
      </c>
      <c r="Q61" s="45" t="s">
        <v>155</v>
      </c>
      <c r="R61" s="45" t="s">
        <v>155</v>
      </c>
      <c r="S61" s="45" t="s">
        <v>155</v>
      </c>
      <c r="T61" s="46">
        <v>20.456</v>
      </c>
      <c r="U61" s="46">
        <v>27.573</v>
      </c>
      <c r="V61" s="46">
        <v>31.95</v>
      </c>
      <c r="W61" s="46" t="s">
        <v>155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155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155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155</v>
      </c>
      <c r="AM61" s="49">
        <v>1948.3430000000001</v>
      </c>
      <c r="AN61" s="50" t="s">
        <v>155</v>
      </c>
    </row>
    <row r="62" spans="1:40" ht="15.75" customHeight="1" x14ac:dyDescent="0.25">
      <c r="A62" s="34">
        <v>2020</v>
      </c>
      <c r="B62" s="35">
        <v>4226</v>
      </c>
      <c r="C62" s="36" t="s">
        <v>227</v>
      </c>
      <c r="D62" s="36" t="s">
        <v>90</v>
      </c>
      <c r="E62" s="36" t="s">
        <v>209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155</v>
      </c>
      <c r="M62" s="38" t="s">
        <v>155</v>
      </c>
      <c r="N62" s="38">
        <v>28195</v>
      </c>
      <c r="O62" s="45">
        <v>315</v>
      </c>
      <c r="P62" s="45">
        <v>479</v>
      </c>
      <c r="Q62" s="45" t="s">
        <v>155</v>
      </c>
      <c r="R62" s="45" t="s">
        <v>155</v>
      </c>
      <c r="S62" s="45">
        <v>794</v>
      </c>
      <c r="T62" s="46">
        <v>24</v>
      </c>
      <c r="U62" s="46">
        <v>363.7</v>
      </c>
      <c r="V62" s="46" t="s">
        <v>155</v>
      </c>
      <c r="W62" s="46" t="s">
        <v>155</v>
      </c>
      <c r="X62" s="46">
        <v>387.7</v>
      </c>
      <c r="Y62" s="47">
        <v>24</v>
      </c>
      <c r="Z62" s="47">
        <v>308</v>
      </c>
      <c r="AA62" s="47" t="s">
        <v>155</v>
      </c>
      <c r="AB62" s="47" t="s">
        <v>155</v>
      </c>
      <c r="AC62" s="47">
        <v>332</v>
      </c>
      <c r="AD62" s="48">
        <v>901</v>
      </c>
      <c r="AE62" s="48">
        <v>22735</v>
      </c>
      <c r="AF62" s="48" t="s">
        <v>155</v>
      </c>
      <c r="AG62" s="48" t="s">
        <v>155</v>
      </c>
      <c r="AH62" s="48">
        <v>23636</v>
      </c>
      <c r="AI62" s="49">
        <v>772</v>
      </c>
      <c r="AJ62" s="49">
        <v>465</v>
      </c>
      <c r="AK62" s="49" t="s">
        <v>155</v>
      </c>
      <c r="AL62" s="49" t="s">
        <v>155</v>
      </c>
      <c r="AM62" s="49">
        <v>1237</v>
      </c>
      <c r="AN62" s="50" t="s">
        <v>155</v>
      </c>
    </row>
    <row r="63" spans="1:40" ht="15.75" customHeight="1" x14ac:dyDescent="0.25">
      <c r="A63" s="34">
        <v>2020</v>
      </c>
      <c r="B63" s="35">
        <v>4254</v>
      </c>
      <c r="C63" s="36" t="s">
        <v>228</v>
      </c>
      <c r="D63" s="36" t="s">
        <v>63</v>
      </c>
      <c r="E63" s="36" t="s">
        <v>154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155</v>
      </c>
      <c r="N63" s="38">
        <v>145886</v>
      </c>
      <c r="O63" s="45">
        <v>1247.8</v>
      </c>
      <c r="P63" s="45" t="s">
        <v>155</v>
      </c>
      <c r="Q63" s="45" t="s">
        <v>155</v>
      </c>
      <c r="R63" s="45" t="s">
        <v>155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155</v>
      </c>
      <c r="X63" s="46">
        <v>473.9</v>
      </c>
      <c r="Y63" s="47">
        <v>75.180000000000007</v>
      </c>
      <c r="Z63" s="47" t="s">
        <v>155</v>
      </c>
      <c r="AA63" s="47" t="s">
        <v>155</v>
      </c>
      <c r="AB63" s="47" t="s">
        <v>155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155</v>
      </c>
      <c r="AH63" s="48">
        <v>18511.667000000001</v>
      </c>
      <c r="AI63" s="49">
        <v>18422.490000000002</v>
      </c>
      <c r="AJ63" s="49">
        <v>6875.3209999999999</v>
      </c>
      <c r="AK63" s="49" t="s">
        <v>155</v>
      </c>
      <c r="AL63" s="49" t="s">
        <v>155</v>
      </c>
      <c r="AM63" s="49">
        <v>25297.811000000002</v>
      </c>
      <c r="AN63" s="50" t="s">
        <v>155</v>
      </c>
    </row>
    <row r="64" spans="1:40" ht="15.75" customHeight="1" x14ac:dyDescent="0.25">
      <c r="A64" s="34">
        <v>2020</v>
      </c>
      <c r="B64" s="35">
        <v>4295</v>
      </c>
      <c r="C64" s="36" t="s">
        <v>229</v>
      </c>
      <c r="D64" s="36" t="s">
        <v>112</v>
      </c>
      <c r="E64" s="36" t="s">
        <v>180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155</v>
      </c>
      <c r="K64" s="38">
        <v>5</v>
      </c>
      <c r="L64" s="38" t="s">
        <v>155</v>
      </c>
      <c r="M64" s="38" t="s">
        <v>155</v>
      </c>
      <c r="N64" s="38">
        <v>5</v>
      </c>
      <c r="O64" s="45" t="s">
        <v>155</v>
      </c>
      <c r="P64" s="45">
        <v>0.81499999999999995</v>
      </c>
      <c r="Q64" s="45" t="s">
        <v>155</v>
      </c>
      <c r="R64" s="45" t="s">
        <v>155</v>
      </c>
      <c r="S64" s="45">
        <v>0.81499999999999995</v>
      </c>
      <c r="T64" s="46" t="s">
        <v>155</v>
      </c>
      <c r="U64" s="46">
        <v>1.304</v>
      </c>
      <c r="V64" s="46" t="s">
        <v>155</v>
      </c>
      <c r="W64" s="46" t="s">
        <v>155</v>
      </c>
      <c r="X64" s="46">
        <v>1.304</v>
      </c>
      <c r="Y64" s="47" t="s">
        <v>155</v>
      </c>
      <c r="Z64" s="47">
        <v>0.81499999999999995</v>
      </c>
      <c r="AA64" s="47" t="s">
        <v>155</v>
      </c>
      <c r="AB64" s="47" t="s">
        <v>155</v>
      </c>
      <c r="AC64" s="47">
        <v>0.81499999999999995</v>
      </c>
      <c r="AD64" s="48" t="s">
        <v>155</v>
      </c>
      <c r="AE64" s="48">
        <v>39.124000000000002</v>
      </c>
      <c r="AF64" s="48" t="s">
        <v>155</v>
      </c>
      <c r="AG64" s="48" t="s">
        <v>155</v>
      </c>
      <c r="AH64" s="48">
        <v>39.124000000000002</v>
      </c>
      <c r="AI64" s="49" t="s">
        <v>155</v>
      </c>
      <c r="AJ64" s="49" t="s">
        <v>155</v>
      </c>
      <c r="AK64" s="49" t="s">
        <v>155</v>
      </c>
      <c r="AL64" s="49" t="s">
        <v>155</v>
      </c>
      <c r="AM64" s="49" t="s">
        <v>155</v>
      </c>
      <c r="AN64" s="50" t="s">
        <v>155</v>
      </c>
    </row>
    <row r="65" spans="1:40" ht="15.75" customHeight="1" x14ac:dyDescent="0.25">
      <c r="A65" s="34">
        <v>2020</v>
      </c>
      <c r="B65" s="35">
        <v>4362</v>
      </c>
      <c r="C65" s="36" t="s">
        <v>230</v>
      </c>
      <c r="D65" s="36" t="s">
        <v>38</v>
      </c>
      <c r="E65" s="36" t="s">
        <v>154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155</v>
      </c>
      <c r="K65" s="38">
        <v>53</v>
      </c>
      <c r="L65" s="38" t="s">
        <v>155</v>
      </c>
      <c r="M65" s="38" t="s">
        <v>155</v>
      </c>
      <c r="N65" s="38">
        <v>53</v>
      </c>
      <c r="O65" s="45" t="s">
        <v>155</v>
      </c>
      <c r="P65" s="45" t="s">
        <v>155</v>
      </c>
      <c r="Q65" s="45" t="s">
        <v>155</v>
      </c>
      <c r="R65" s="45" t="s">
        <v>155</v>
      </c>
      <c r="S65" s="45" t="s">
        <v>155</v>
      </c>
      <c r="T65" s="46" t="s">
        <v>155</v>
      </c>
      <c r="U65" s="46">
        <v>3</v>
      </c>
      <c r="V65" s="46" t="s">
        <v>155</v>
      </c>
      <c r="W65" s="46" t="s">
        <v>155</v>
      </c>
      <c r="X65" s="46">
        <v>3</v>
      </c>
      <c r="Y65" s="47" t="s">
        <v>155</v>
      </c>
      <c r="Z65" s="47">
        <v>3</v>
      </c>
      <c r="AA65" s="47" t="s">
        <v>155</v>
      </c>
      <c r="AB65" s="47" t="s">
        <v>155</v>
      </c>
      <c r="AC65" s="47">
        <v>3</v>
      </c>
      <c r="AD65" s="48" t="s">
        <v>155</v>
      </c>
      <c r="AE65" s="48">
        <v>830</v>
      </c>
      <c r="AF65" s="48" t="s">
        <v>155</v>
      </c>
      <c r="AG65" s="48" t="s">
        <v>155</v>
      </c>
      <c r="AH65" s="48">
        <v>830</v>
      </c>
      <c r="AI65" s="49" t="s">
        <v>155</v>
      </c>
      <c r="AJ65" s="49" t="s">
        <v>155</v>
      </c>
      <c r="AK65" s="49" t="s">
        <v>155</v>
      </c>
      <c r="AL65" s="49" t="s">
        <v>155</v>
      </c>
      <c r="AM65" s="49" t="s">
        <v>155</v>
      </c>
      <c r="AN65" s="50" t="s">
        <v>155</v>
      </c>
    </row>
    <row r="66" spans="1:40" ht="15.75" customHeight="1" x14ac:dyDescent="0.25">
      <c r="A66" s="34">
        <v>2020</v>
      </c>
      <c r="B66" s="35">
        <v>4363</v>
      </c>
      <c r="C66" s="36" t="s">
        <v>231</v>
      </c>
      <c r="D66" s="36" t="s">
        <v>44</v>
      </c>
      <c r="E66" s="36" t="s">
        <v>175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155</v>
      </c>
      <c r="L66" s="38">
        <v>4</v>
      </c>
      <c r="M66" s="38" t="s">
        <v>155</v>
      </c>
      <c r="N66" s="38">
        <v>4469</v>
      </c>
      <c r="O66" s="45" t="s">
        <v>155</v>
      </c>
      <c r="P66" s="45" t="s">
        <v>155</v>
      </c>
      <c r="Q66" s="45" t="s">
        <v>155</v>
      </c>
      <c r="R66" s="45" t="s">
        <v>155</v>
      </c>
      <c r="S66" s="45" t="s">
        <v>155</v>
      </c>
      <c r="T66" s="46">
        <v>32.496000000000002</v>
      </c>
      <c r="U66" s="46" t="s">
        <v>155</v>
      </c>
      <c r="V66" s="46">
        <v>75.12</v>
      </c>
      <c r="W66" s="46" t="s">
        <v>155</v>
      </c>
      <c r="X66" s="46">
        <v>107.616</v>
      </c>
      <c r="Y66" s="47">
        <v>26.414999999999999</v>
      </c>
      <c r="Z66" s="47" t="s">
        <v>155</v>
      </c>
      <c r="AA66" s="47">
        <v>45.563000000000002</v>
      </c>
      <c r="AB66" s="47" t="s">
        <v>155</v>
      </c>
      <c r="AC66" s="47">
        <v>71.977999999999994</v>
      </c>
      <c r="AD66" s="48" t="s">
        <v>155</v>
      </c>
      <c r="AE66" s="48" t="s">
        <v>155</v>
      </c>
      <c r="AF66" s="48" t="s">
        <v>155</v>
      </c>
      <c r="AG66" s="48" t="s">
        <v>155</v>
      </c>
      <c r="AH66" s="48" t="s">
        <v>155</v>
      </c>
      <c r="AI66" s="49" t="s">
        <v>155</v>
      </c>
      <c r="AJ66" s="49" t="s">
        <v>155</v>
      </c>
      <c r="AK66" s="49" t="s">
        <v>155</v>
      </c>
      <c r="AL66" s="49" t="s">
        <v>155</v>
      </c>
      <c r="AM66" s="49" t="s">
        <v>155</v>
      </c>
      <c r="AN66" s="50">
        <v>0</v>
      </c>
    </row>
    <row r="67" spans="1:40" ht="15.75" customHeight="1" x14ac:dyDescent="0.25">
      <c r="A67" s="34">
        <v>2020</v>
      </c>
      <c r="B67" s="35">
        <v>4430</v>
      </c>
      <c r="C67" s="36" t="s">
        <v>232</v>
      </c>
      <c r="D67" s="36" t="s">
        <v>5</v>
      </c>
      <c r="E67" s="36" t="s">
        <v>158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155</v>
      </c>
      <c r="L67" s="38" t="s">
        <v>155</v>
      </c>
      <c r="M67" s="38" t="s">
        <v>155</v>
      </c>
      <c r="N67" s="38">
        <v>2506</v>
      </c>
      <c r="O67" s="45" t="s">
        <v>155</v>
      </c>
      <c r="P67" s="45" t="s">
        <v>155</v>
      </c>
      <c r="Q67" s="45" t="s">
        <v>155</v>
      </c>
      <c r="R67" s="45" t="s">
        <v>155</v>
      </c>
      <c r="S67" s="45" t="s">
        <v>155</v>
      </c>
      <c r="T67" s="46">
        <v>0.27400000000000002</v>
      </c>
      <c r="U67" s="46" t="s">
        <v>155</v>
      </c>
      <c r="V67" s="46" t="s">
        <v>155</v>
      </c>
      <c r="W67" s="46" t="s">
        <v>155</v>
      </c>
      <c r="X67" s="46">
        <v>0.27400000000000002</v>
      </c>
      <c r="Y67" s="47" t="s">
        <v>155</v>
      </c>
      <c r="Z67" s="47" t="s">
        <v>155</v>
      </c>
      <c r="AA67" s="47" t="s">
        <v>155</v>
      </c>
      <c r="AB67" s="47" t="s">
        <v>155</v>
      </c>
      <c r="AC67" s="47" t="s">
        <v>155</v>
      </c>
      <c r="AD67" s="48" t="s">
        <v>155</v>
      </c>
      <c r="AE67" s="48" t="s">
        <v>155</v>
      </c>
      <c r="AF67" s="48" t="s">
        <v>155</v>
      </c>
      <c r="AG67" s="48" t="s">
        <v>155</v>
      </c>
      <c r="AH67" s="48" t="s">
        <v>155</v>
      </c>
      <c r="AI67" s="49" t="s">
        <v>155</v>
      </c>
      <c r="AJ67" s="49" t="s">
        <v>155</v>
      </c>
      <c r="AK67" s="49" t="s">
        <v>155</v>
      </c>
      <c r="AL67" s="49" t="s">
        <v>155</v>
      </c>
      <c r="AM67" s="49" t="s">
        <v>155</v>
      </c>
      <c r="AN67" s="50" t="s">
        <v>155</v>
      </c>
    </row>
    <row r="68" spans="1:40" ht="15.75" customHeight="1" x14ac:dyDescent="0.25">
      <c r="A68" s="34">
        <v>2020</v>
      </c>
      <c r="B68" s="35">
        <v>4432</v>
      </c>
      <c r="C68" s="36" t="s">
        <v>233</v>
      </c>
      <c r="D68" s="36" t="s">
        <v>31</v>
      </c>
      <c r="E68" s="36" t="s">
        <v>160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155</v>
      </c>
      <c r="L68" s="38" t="s">
        <v>155</v>
      </c>
      <c r="M68" s="38" t="s">
        <v>155</v>
      </c>
      <c r="N68" s="38">
        <v>15190</v>
      </c>
      <c r="O68" s="45">
        <v>105.6</v>
      </c>
      <c r="P68" s="45" t="s">
        <v>155</v>
      </c>
      <c r="Q68" s="45" t="s">
        <v>155</v>
      </c>
      <c r="R68" s="45" t="s">
        <v>155</v>
      </c>
      <c r="S68" s="45">
        <v>105.6</v>
      </c>
      <c r="T68" s="46">
        <v>15</v>
      </c>
      <c r="U68" s="46" t="s">
        <v>155</v>
      </c>
      <c r="V68" s="46" t="s">
        <v>155</v>
      </c>
      <c r="W68" s="46" t="s">
        <v>155</v>
      </c>
      <c r="X68" s="46">
        <v>15</v>
      </c>
      <c r="Y68" s="47">
        <v>8</v>
      </c>
      <c r="Z68" s="47" t="s">
        <v>155</v>
      </c>
      <c r="AA68" s="47" t="s">
        <v>155</v>
      </c>
      <c r="AB68" s="47" t="s">
        <v>155</v>
      </c>
      <c r="AC68" s="47">
        <v>8</v>
      </c>
      <c r="AD68" s="48">
        <v>116.935</v>
      </c>
      <c r="AE68" s="48" t="s">
        <v>155</v>
      </c>
      <c r="AF68" s="48" t="s">
        <v>155</v>
      </c>
      <c r="AG68" s="48" t="s">
        <v>155</v>
      </c>
      <c r="AH68" s="48">
        <v>116.935</v>
      </c>
      <c r="AI68" s="49" t="s">
        <v>155</v>
      </c>
      <c r="AJ68" s="49" t="s">
        <v>155</v>
      </c>
      <c r="AK68" s="49" t="s">
        <v>155</v>
      </c>
      <c r="AL68" s="49" t="s">
        <v>155</v>
      </c>
      <c r="AM68" s="49" t="s">
        <v>155</v>
      </c>
      <c r="AN68" s="50" t="s">
        <v>155</v>
      </c>
    </row>
    <row r="69" spans="1:40" ht="15.75" customHeight="1" x14ac:dyDescent="0.25">
      <c r="A69" s="34">
        <v>2020</v>
      </c>
      <c r="B69" s="35">
        <v>4433</v>
      </c>
      <c r="C69" s="36" t="s">
        <v>234</v>
      </c>
      <c r="D69" s="36" t="s">
        <v>31</v>
      </c>
      <c r="E69" s="36" t="s">
        <v>160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155</v>
      </c>
      <c r="K69" s="38" t="s">
        <v>155</v>
      </c>
      <c r="L69" s="38" t="s">
        <v>155</v>
      </c>
      <c r="M69" s="38" t="s">
        <v>155</v>
      </c>
      <c r="N69" s="38" t="s">
        <v>155</v>
      </c>
      <c r="O69" s="45" t="s">
        <v>155</v>
      </c>
      <c r="P69" s="45" t="s">
        <v>155</v>
      </c>
      <c r="Q69" s="45" t="s">
        <v>155</v>
      </c>
      <c r="R69" s="45" t="s">
        <v>155</v>
      </c>
      <c r="S69" s="45" t="s">
        <v>155</v>
      </c>
      <c r="T69" s="46" t="s">
        <v>155</v>
      </c>
      <c r="U69" s="46" t="s">
        <v>155</v>
      </c>
      <c r="V69" s="46" t="s">
        <v>155</v>
      </c>
      <c r="W69" s="46" t="s">
        <v>155</v>
      </c>
      <c r="X69" s="46" t="s">
        <v>155</v>
      </c>
      <c r="Y69" s="47" t="s">
        <v>155</v>
      </c>
      <c r="Z69" s="47" t="s">
        <v>155</v>
      </c>
      <c r="AA69" s="47" t="s">
        <v>155</v>
      </c>
      <c r="AB69" s="47" t="s">
        <v>155</v>
      </c>
      <c r="AC69" s="47" t="s">
        <v>155</v>
      </c>
      <c r="AD69" s="48" t="s">
        <v>155</v>
      </c>
      <c r="AE69" s="48" t="s">
        <v>155</v>
      </c>
      <c r="AF69" s="48" t="s">
        <v>155</v>
      </c>
      <c r="AG69" s="48" t="s">
        <v>155</v>
      </c>
      <c r="AH69" s="48" t="s">
        <v>155</v>
      </c>
      <c r="AI69" s="49" t="s">
        <v>155</v>
      </c>
      <c r="AJ69" s="49" t="s">
        <v>155</v>
      </c>
      <c r="AK69" s="49" t="s">
        <v>155</v>
      </c>
      <c r="AL69" s="49" t="s">
        <v>155</v>
      </c>
      <c r="AM69" s="49" t="s">
        <v>155</v>
      </c>
      <c r="AN69" s="50" t="s">
        <v>155</v>
      </c>
    </row>
    <row r="70" spans="1:40" ht="15.75" customHeight="1" x14ac:dyDescent="0.25">
      <c r="A70" s="34">
        <v>2020</v>
      </c>
      <c r="B70" s="35">
        <v>4509</v>
      </c>
      <c r="C70" s="36" t="s">
        <v>235</v>
      </c>
      <c r="D70" s="36" t="s">
        <v>14</v>
      </c>
      <c r="E70" s="36" t="s">
        <v>154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155</v>
      </c>
      <c r="K70" s="38">
        <v>597</v>
      </c>
      <c r="L70" s="38">
        <v>1</v>
      </c>
      <c r="M70" s="38" t="s">
        <v>155</v>
      </c>
      <c r="N70" s="38">
        <v>598</v>
      </c>
      <c r="O70" s="45" t="s">
        <v>155</v>
      </c>
      <c r="P70" s="45">
        <v>27.5</v>
      </c>
      <c r="Q70" s="45">
        <v>1.2</v>
      </c>
      <c r="R70" s="45" t="s">
        <v>155</v>
      </c>
      <c r="S70" s="45">
        <v>28.7</v>
      </c>
      <c r="T70" s="46" t="s">
        <v>155</v>
      </c>
      <c r="U70" s="46">
        <v>10.5</v>
      </c>
      <c r="V70" s="46">
        <v>1.2</v>
      </c>
      <c r="W70" s="46" t="s">
        <v>155</v>
      </c>
      <c r="X70" s="46">
        <v>11.7</v>
      </c>
      <c r="Y70" s="47" t="s">
        <v>155</v>
      </c>
      <c r="Z70" s="47" t="s">
        <v>155</v>
      </c>
      <c r="AA70" s="47" t="s">
        <v>155</v>
      </c>
      <c r="AB70" s="47" t="s">
        <v>155</v>
      </c>
      <c r="AC70" s="47" t="s">
        <v>155</v>
      </c>
      <c r="AD70" s="48" t="s">
        <v>155</v>
      </c>
      <c r="AE70" s="48" t="s">
        <v>155</v>
      </c>
      <c r="AF70" s="48" t="s">
        <v>155</v>
      </c>
      <c r="AG70" s="48" t="s">
        <v>155</v>
      </c>
      <c r="AH70" s="48" t="s">
        <v>155</v>
      </c>
      <c r="AI70" s="49" t="s">
        <v>155</v>
      </c>
      <c r="AJ70" s="49">
        <v>674</v>
      </c>
      <c r="AK70" s="49">
        <v>28</v>
      </c>
      <c r="AL70" s="49" t="s">
        <v>155</v>
      </c>
      <c r="AM70" s="49">
        <v>702</v>
      </c>
      <c r="AN70" s="50" t="s">
        <v>155</v>
      </c>
    </row>
    <row r="71" spans="1:40" ht="15.75" customHeight="1" x14ac:dyDescent="0.25">
      <c r="A71" s="34">
        <v>2020</v>
      </c>
      <c r="B71" s="35">
        <v>4538</v>
      </c>
      <c r="C71" s="36" t="s">
        <v>236</v>
      </c>
      <c r="D71" s="36" t="s">
        <v>31</v>
      </c>
      <c r="E71" s="36" t="s">
        <v>160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155</v>
      </c>
      <c r="K71" s="38" t="s">
        <v>155</v>
      </c>
      <c r="L71" s="38">
        <v>2</v>
      </c>
      <c r="M71" s="38" t="s">
        <v>155</v>
      </c>
      <c r="N71" s="38">
        <v>2</v>
      </c>
      <c r="O71" s="45" t="s">
        <v>155</v>
      </c>
      <c r="P71" s="45" t="s">
        <v>155</v>
      </c>
      <c r="Q71" s="45" t="s">
        <v>155</v>
      </c>
      <c r="R71" s="45" t="s">
        <v>155</v>
      </c>
      <c r="S71" s="45" t="s">
        <v>155</v>
      </c>
      <c r="T71" s="46" t="s">
        <v>155</v>
      </c>
      <c r="U71" s="46" t="s">
        <v>155</v>
      </c>
      <c r="V71" s="46">
        <v>12</v>
      </c>
      <c r="W71" s="46" t="s">
        <v>155</v>
      </c>
      <c r="X71" s="46">
        <v>12</v>
      </c>
      <c r="Y71" s="47" t="s">
        <v>155</v>
      </c>
      <c r="Z71" s="47" t="s">
        <v>155</v>
      </c>
      <c r="AA71" s="47">
        <v>10</v>
      </c>
      <c r="AB71" s="47" t="s">
        <v>155</v>
      </c>
      <c r="AC71" s="47">
        <v>10</v>
      </c>
      <c r="AD71" s="48" t="s">
        <v>155</v>
      </c>
      <c r="AE71" s="48" t="s">
        <v>155</v>
      </c>
      <c r="AF71" s="48">
        <v>0</v>
      </c>
      <c r="AG71" s="48" t="s">
        <v>155</v>
      </c>
      <c r="AH71" s="48">
        <v>0</v>
      </c>
      <c r="AI71" s="49" t="s">
        <v>155</v>
      </c>
      <c r="AJ71" s="49" t="s">
        <v>155</v>
      </c>
      <c r="AK71" s="49">
        <v>0</v>
      </c>
      <c r="AL71" s="49" t="s">
        <v>155</v>
      </c>
      <c r="AM71" s="49">
        <v>0</v>
      </c>
      <c r="AN71" s="50" t="s">
        <v>155</v>
      </c>
    </row>
    <row r="72" spans="1:40" ht="15.75" customHeight="1" x14ac:dyDescent="0.25">
      <c r="A72" s="34">
        <v>2020</v>
      </c>
      <c r="B72" s="35">
        <v>4675</v>
      </c>
      <c r="C72" s="36" t="s">
        <v>237</v>
      </c>
      <c r="D72" s="36" t="s">
        <v>71</v>
      </c>
      <c r="E72" s="36" t="s">
        <v>192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155</v>
      </c>
      <c r="M72" s="38" t="s">
        <v>155</v>
      </c>
      <c r="N72" s="38">
        <v>449</v>
      </c>
      <c r="O72" s="45">
        <v>0</v>
      </c>
      <c r="P72" s="45">
        <v>0</v>
      </c>
      <c r="Q72" s="45" t="s">
        <v>155</v>
      </c>
      <c r="R72" s="45" t="s">
        <v>155</v>
      </c>
      <c r="S72" s="45">
        <v>0</v>
      </c>
      <c r="T72" s="46">
        <v>1</v>
      </c>
      <c r="U72" s="46">
        <v>8.44</v>
      </c>
      <c r="V72" s="46" t="s">
        <v>155</v>
      </c>
      <c r="W72" s="46" t="s">
        <v>155</v>
      </c>
      <c r="X72" s="46">
        <v>9.44</v>
      </c>
      <c r="Y72" s="47">
        <v>0.96</v>
      </c>
      <c r="Z72" s="47">
        <v>5.86</v>
      </c>
      <c r="AA72" s="47" t="s">
        <v>155</v>
      </c>
      <c r="AB72" s="47" t="s">
        <v>155</v>
      </c>
      <c r="AC72" s="47">
        <v>6.82</v>
      </c>
      <c r="AD72" s="48">
        <v>19.420000000000002</v>
      </c>
      <c r="AE72" s="48" t="s">
        <v>155</v>
      </c>
      <c r="AF72" s="48" t="s">
        <v>155</v>
      </c>
      <c r="AG72" s="48" t="s">
        <v>155</v>
      </c>
      <c r="AH72" s="48">
        <v>19.420000000000002</v>
      </c>
      <c r="AI72" s="49">
        <v>3</v>
      </c>
      <c r="AJ72" s="49" t="s">
        <v>155</v>
      </c>
      <c r="AK72" s="49" t="s">
        <v>155</v>
      </c>
      <c r="AL72" s="49" t="s">
        <v>155</v>
      </c>
      <c r="AM72" s="49">
        <v>3</v>
      </c>
      <c r="AN72" s="50" t="s">
        <v>155</v>
      </c>
    </row>
    <row r="73" spans="1:40" ht="15.75" customHeight="1" x14ac:dyDescent="0.25">
      <c r="A73" s="34">
        <v>2020</v>
      </c>
      <c r="B73" s="35">
        <v>4794</v>
      </c>
      <c r="C73" s="36" t="s">
        <v>238</v>
      </c>
      <c r="D73" s="36" t="s">
        <v>118</v>
      </c>
      <c r="E73" s="36" t="s">
        <v>167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155</v>
      </c>
      <c r="K73" s="38">
        <v>3</v>
      </c>
      <c r="L73" s="38">
        <v>4</v>
      </c>
      <c r="M73" s="38" t="s">
        <v>155</v>
      </c>
      <c r="N73" s="38">
        <v>7</v>
      </c>
      <c r="O73" s="45" t="s">
        <v>155</v>
      </c>
      <c r="P73" s="45" t="s">
        <v>155</v>
      </c>
      <c r="Q73" s="45" t="s">
        <v>155</v>
      </c>
      <c r="R73" s="45" t="s">
        <v>155</v>
      </c>
      <c r="S73" s="45" t="s">
        <v>155</v>
      </c>
      <c r="T73" s="46" t="s">
        <v>155</v>
      </c>
      <c r="U73" s="46">
        <v>1.954</v>
      </c>
      <c r="V73" s="46">
        <v>4.4649999999999999</v>
      </c>
      <c r="W73" s="46" t="s">
        <v>155</v>
      </c>
      <c r="X73" s="46">
        <v>6.4189999999999996</v>
      </c>
      <c r="Y73" s="47" t="s">
        <v>155</v>
      </c>
      <c r="Z73" s="47">
        <v>1.954</v>
      </c>
      <c r="AA73" s="47">
        <v>4.4649999999999999</v>
      </c>
      <c r="AB73" s="47" t="s">
        <v>155</v>
      </c>
      <c r="AC73" s="47">
        <v>6.4189999999999996</v>
      </c>
      <c r="AD73" s="48" t="s">
        <v>155</v>
      </c>
      <c r="AE73" s="48">
        <v>33.78</v>
      </c>
      <c r="AF73" s="48">
        <v>81.56</v>
      </c>
      <c r="AG73" s="48" t="s">
        <v>155</v>
      </c>
      <c r="AH73" s="48">
        <v>115.34</v>
      </c>
      <c r="AI73" s="49" t="s">
        <v>155</v>
      </c>
      <c r="AJ73" s="49" t="s">
        <v>155</v>
      </c>
      <c r="AK73" s="49" t="s">
        <v>155</v>
      </c>
      <c r="AL73" s="49" t="s">
        <v>155</v>
      </c>
      <c r="AM73" s="49" t="s">
        <v>155</v>
      </c>
      <c r="AN73" s="50" t="s">
        <v>155</v>
      </c>
    </row>
    <row r="74" spans="1:40" ht="15.75" customHeight="1" x14ac:dyDescent="0.25">
      <c r="A74" s="34">
        <v>2020</v>
      </c>
      <c r="B74" s="35">
        <v>4911</v>
      </c>
      <c r="C74" s="36" t="s">
        <v>239</v>
      </c>
      <c r="D74" s="36" t="s">
        <v>77</v>
      </c>
      <c r="E74" s="36" t="s">
        <v>175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155</v>
      </c>
      <c r="K74" s="38" t="s">
        <v>155</v>
      </c>
      <c r="L74" s="38">
        <v>4756</v>
      </c>
      <c r="M74" s="38" t="s">
        <v>155</v>
      </c>
      <c r="N74" s="38">
        <v>4756</v>
      </c>
      <c r="O74" s="45" t="s">
        <v>155</v>
      </c>
      <c r="P74" s="45" t="s">
        <v>155</v>
      </c>
      <c r="Q74" s="45" t="s">
        <v>155</v>
      </c>
      <c r="R74" s="45" t="s">
        <v>155</v>
      </c>
      <c r="S74" s="45" t="s">
        <v>155</v>
      </c>
      <c r="T74" s="46" t="s">
        <v>155</v>
      </c>
      <c r="U74" s="46" t="s">
        <v>155</v>
      </c>
      <c r="V74" s="46">
        <v>109.833</v>
      </c>
      <c r="W74" s="46" t="s">
        <v>155</v>
      </c>
      <c r="X74" s="46">
        <v>109.833</v>
      </c>
      <c r="Y74" s="47" t="s">
        <v>155</v>
      </c>
      <c r="Z74" s="47" t="s">
        <v>155</v>
      </c>
      <c r="AA74" s="47">
        <v>96.77</v>
      </c>
      <c r="AB74" s="47" t="s">
        <v>155</v>
      </c>
      <c r="AC74" s="47">
        <v>96.77</v>
      </c>
      <c r="AD74" s="48" t="s">
        <v>155</v>
      </c>
      <c r="AE74" s="48" t="s">
        <v>155</v>
      </c>
      <c r="AF74" s="48" t="s">
        <v>155</v>
      </c>
      <c r="AG74" s="48" t="s">
        <v>155</v>
      </c>
      <c r="AH74" s="48" t="s">
        <v>155</v>
      </c>
      <c r="AI74" s="49" t="s">
        <v>155</v>
      </c>
      <c r="AJ74" s="49" t="s">
        <v>155</v>
      </c>
      <c r="AK74" s="49">
        <v>88.388000000000005</v>
      </c>
      <c r="AL74" s="49" t="s">
        <v>155</v>
      </c>
      <c r="AM74" s="49">
        <v>88.388000000000005</v>
      </c>
      <c r="AN74" s="50" t="s">
        <v>155</v>
      </c>
    </row>
    <row r="75" spans="1:40" ht="15.75" customHeight="1" x14ac:dyDescent="0.25">
      <c r="A75" s="34">
        <v>2020</v>
      </c>
      <c r="B75" s="35">
        <v>4960</v>
      </c>
      <c r="C75" s="36" t="s">
        <v>240</v>
      </c>
      <c r="D75" s="36" t="s">
        <v>41</v>
      </c>
      <c r="E75" s="36" t="s">
        <v>154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155</v>
      </c>
      <c r="K75" s="38" t="s">
        <v>155</v>
      </c>
      <c r="L75" s="38" t="s">
        <v>155</v>
      </c>
      <c r="M75" s="38" t="s">
        <v>155</v>
      </c>
      <c r="N75" s="38" t="s">
        <v>155</v>
      </c>
      <c r="O75" s="45" t="s">
        <v>155</v>
      </c>
      <c r="P75" s="45" t="s">
        <v>155</v>
      </c>
      <c r="Q75" s="45" t="s">
        <v>155</v>
      </c>
      <c r="R75" s="45" t="s">
        <v>155</v>
      </c>
      <c r="S75" s="45" t="s">
        <v>155</v>
      </c>
      <c r="T75" s="46" t="s">
        <v>155</v>
      </c>
      <c r="U75" s="46" t="s">
        <v>155</v>
      </c>
      <c r="V75" s="46" t="s">
        <v>155</v>
      </c>
      <c r="W75" s="46" t="s">
        <v>155</v>
      </c>
      <c r="X75" s="46" t="s">
        <v>155</v>
      </c>
      <c r="Y75" s="47" t="s">
        <v>155</v>
      </c>
      <c r="Z75" s="47" t="s">
        <v>155</v>
      </c>
      <c r="AA75" s="47" t="s">
        <v>155</v>
      </c>
      <c r="AB75" s="47" t="s">
        <v>155</v>
      </c>
      <c r="AC75" s="47" t="s">
        <v>155</v>
      </c>
      <c r="AD75" s="48" t="s">
        <v>155</v>
      </c>
      <c r="AE75" s="48" t="s">
        <v>155</v>
      </c>
      <c r="AF75" s="48" t="s">
        <v>155</v>
      </c>
      <c r="AG75" s="48" t="s">
        <v>155</v>
      </c>
      <c r="AH75" s="48" t="s">
        <v>155</v>
      </c>
      <c r="AI75" s="49" t="s">
        <v>155</v>
      </c>
      <c r="AJ75" s="49" t="s">
        <v>155</v>
      </c>
      <c r="AK75" s="49" t="s">
        <v>155</v>
      </c>
      <c r="AL75" s="49" t="s">
        <v>155</v>
      </c>
      <c r="AM75" s="49" t="s">
        <v>155</v>
      </c>
      <c r="AN75" s="50" t="s">
        <v>155</v>
      </c>
    </row>
    <row r="76" spans="1:40" ht="15.75" customHeight="1" x14ac:dyDescent="0.25">
      <c r="A76" s="34">
        <v>2020</v>
      </c>
      <c r="B76" s="35">
        <v>5027</v>
      </c>
      <c r="C76" s="36" t="s">
        <v>241</v>
      </c>
      <c r="D76" s="36" t="s">
        <v>25</v>
      </c>
      <c r="E76" s="36" t="s">
        <v>167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155</v>
      </c>
    </row>
    <row r="77" spans="1:40" ht="15.75" customHeight="1" x14ac:dyDescent="0.25">
      <c r="A77" s="34">
        <v>2020</v>
      </c>
      <c r="B77" s="35">
        <v>5027</v>
      </c>
      <c r="C77" s="36" t="s">
        <v>241</v>
      </c>
      <c r="D77" s="36" t="s">
        <v>58</v>
      </c>
      <c r="E77" s="36" t="s">
        <v>167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155</v>
      </c>
    </row>
    <row r="78" spans="1:40" ht="15.75" customHeight="1" x14ac:dyDescent="0.25">
      <c r="A78" s="34">
        <v>2020</v>
      </c>
      <c r="B78" s="35">
        <v>5070</v>
      </c>
      <c r="C78" s="36" t="s">
        <v>242</v>
      </c>
      <c r="D78" s="36" t="s">
        <v>25</v>
      </c>
      <c r="E78" s="36" t="s">
        <v>167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155</v>
      </c>
      <c r="M78" s="38" t="s">
        <v>155</v>
      </c>
      <c r="N78" s="38">
        <v>30130</v>
      </c>
      <c r="O78" s="45">
        <v>0</v>
      </c>
      <c r="P78" s="45">
        <v>0</v>
      </c>
      <c r="Q78" s="45" t="s">
        <v>155</v>
      </c>
      <c r="R78" s="45" t="s">
        <v>155</v>
      </c>
      <c r="S78" s="45">
        <v>0</v>
      </c>
      <c r="T78" s="46">
        <v>20.13</v>
      </c>
      <c r="U78" s="46">
        <v>25.09</v>
      </c>
      <c r="V78" s="46" t="s">
        <v>155</v>
      </c>
      <c r="W78" s="46" t="s">
        <v>155</v>
      </c>
      <c r="X78" s="46">
        <v>45.22</v>
      </c>
      <c r="Y78" s="47">
        <v>19.079999999999998</v>
      </c>
      <c r="Z78" s="47">
        <v>18.829999999999998</v>
      </c>
      <c r="AA78" s="47" t="s">
        <v>155</v>
      </c>
      <c r="AB78" s="47" t="s">
        <v>155</v>
      </c>
      <c r="AC78" s="47">
        <v>37.909999999999997</v>
      </c>
      <c r="AD78" s="48">
        <v>559</v>
      </c>
      <c r="AE78" s="48">
        <v>4</v>
      </c>
      <c r="AF78" s="48" t="s">
        <v>155</v>
      </c>
      <c r="AG78" s="48" t="s">
        <v>155</v>
      </c>
      <c r="AH78" s="48">
        <v>563</v>
      </c>
      <c r="AI78" s="49">
        <v>56</v>
      </c>
      <c r="AJ78" s="49">
        <v>2</v>
      </c>
      <c r="AK78" s="49" t="s">
        <v>155</v>
      </c>
      <c r="AL78" s="49" t="s">
        <v>155</v>
      </c>
      <c r="AM78" s="49">
        <v>58</v>
      </c>
      <c r="AN78" s="50" t="s">
        <v>155</v>
      </c>
    </row>
    <row r="79" spans="1:40" ht="15.75" customHeight="1" x14ac:dyDescent="0.25">
      <c r="A79" s="34">
        <v>2020</v>
      </c>
      <c r="B79" s="35">
        <v>5078</v>
      </c>
      <c r="C79" s="36" t="s">
        <v>243</v>
      </c>
      <c r="D79" s="36" t="s">
        <v>112</v>
      </c>
      <c r="E79" s="36" t="s">
        <v>180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155</v>
      </c>
      <c r="L79" s="38" t="s">
        <v>155</v>
      </c>
      <c r="M79" s="38" t="s">
        <v>155</v>
      </c>
      <c r="N79" s="38">
        <v>11789</v>
      </c>
      <c r="O79" s="45">
        <v>92</v>
      </c>
      <c r="P79" s="45" t="s">
        <v>155</v>
      </c>
      <c r="Q79" s="45" t="s">
        <v>155</v>
      </c>
      <c r="R79" s="45" t="s">
        <v>155</v>
      </c>
      <c r="S79" s="45">
        <v>92</v>
      </c>
      <c r="T79" s="46">
        <v>27.7</v>
      </c>
      <c r="U79" s="46" t="s">
        <v>155</v>
      </c>
      <c r="V79" s="46" t="s">
        <v>155</v>
      </c>
      <c r="W79" s="46" t="s">
        <v>155</v>
      </c>
      <c r="X79" s="46">
        <v>27.7</v>
      </c>
      <c r="Y79" s="47">
        <v>12</v>
      </c>
      <c r="Z79" s="47" t="s">
        <v>155</v>
      </c>
      <c r="AA79" s="47" t="s">
        <v>155</v>
      </c>
      <c r="AB79" s="47" t="s">
        <v>155</v>
      </c>
      <c r="AC79" s="47">
        <v>12</v>
      </c>
      <c r="AD79" s="48">
        <v>469</v>
      </c>
      <c r="AE79" s="48" t="s">
        <v>155</v>
      </c>
      <c r="AF79" s="48" t="s">
        <v>155</v>
      </c>
      <c r="AG79" s="48" t="s">
        <v>155</v>
      </c>
      <c r="AH79" s="48">
        <v>469</v>
      </c>
      <c r="AI79" s="49">
        <v>302</v>
      </c>
      <c r="AJ79" s="49" t="s">
        <v>155</v>
      </c>
      <c r="AK79" s="49" t="s">
        <v>155</v>
      </c>
      <c r="AL79" s="49" t="s">
        <v>155</v>
      </c>
      <c r="AM79" s="49">
        <v>302</v>
      </c>
      <c r="AN79" s="50" t="s">
        <v>155</v>
      </c>
    </row>
    <row r="80" spans="1:40" ht="15.75" customHeight="1" x14ac:dyDescent="0.25">
      <c r="A80" s="34">
        <v>2020</v>
      </c>
      <c r="B80" s="35">
        <v>5109</v>
      </c>
      <c r="C80" s="36" t="s">
        <v>244</v>
      </c>
      <c r="D80" s="36" t="s">
        <v>63</v>
      </c>
      <c r="E80" s="36" t="s">
        <v>154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155</v>
      </c>
      <c r="N80" s="38">
        <v>362366</v>
      </c>
      <c r="O80" s="45">
        <v>914</v>
      </c>
      <c r="P80" s="45" t="s">
        <v>155</v>
      </c>
      <c r="Q80" s="45" t="s">
        <v>155</v>
      </c>
      <c r="R80" s="45" t="s">
        <v>155</v>
      </c>
      <c r="S80" s="45">
        <v>914</v>
      </c>
      <c r="T80" s="46">
        <v>190</v>
      </c>
      <c r="U80" s="46">
        <v>34</v>
      </c>
      <c r="V80" s="46">
        <v>550</v>
      </c>
      <c r="W80" s="46" t="s">
        <v>155</v>
      </c>
      <c r="X80" s="46">
        <v>774</v>
      </c>
      <c r="Y80" s="47">
        <v>182</v>
      </c>
      <c r="Z80" s="47" t="s">
        <v>155</v>
      </c>
      <c r="AA80" s="47" t="s">
        <v>155</v>
      </c>
      <c r="AB80" s="47" t="s">
        <v>155</v>
      </c>
      <c r="AC80" s="47">
        <v>182</v>
      </c>
      <c r="AD80" s="48">
        <v>562.4</v>
      </c>
      <c r="AE80" s="48" t="s">
        <v>155</v>
      </c>
      <c r="AF80" s="48">
        <v>711</v>
      </c>
      <c r="AG80" s="48" t="s">
        <v>155</v>
      </c>
      <c r="AH80" s="48">
        <v>1273.4000000000001</v>
      </c>
      <c r="AI80" s="49">
        <v>4675.018</v>
      </c>
      <c r="AJ80" s="49" t="s">
        <v>155</v>
      </c>
      <c r="AK80" s="49" t="s">
        <v>155</v>
      </c>
      <c r="AL80" s="49" t="s">
        <v>155</v>
      </c>
      <c r="AM80" s="49">
        <v>4675.018</v>
      </c>
      <c r="AN80" s="50" t="s">
        <v>155</v>
      </c>
    </row>
    <row r="81" spans="1:40" ht="15.75" customHeight="1" x14ac:dyDescent="0.25">
      <c r="A81" s="34">
        <v>2020</v>
      </c>
      <c r="B81" s="35">
        <v>5202</v>
      </c>
      <c r="C81" s="36" t="s">
        <v>245</v>
      </c>
      <c r="D81" s="36" t="s">
        <v>52</v>
      </c>
      <c r="E81" s="36" t="s">
        <v>154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25">
      <c r="A82" s="34">
        <v>2020</v>
      </c>
      <c r="B82" s="35">
        <v>5335</v>
      </c>
      <c r="C82" s="36" t="s">
        <v>246</v>
      </c>
      <c r="D82" s="36" t="s">
        <v>25</v>
      </c>
      <c r="E82" s="36" t="s">
        <v>167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155</v>
      </c>
      <c r="K82" s="38">
        <v>2</v>
      </c>
      <c r="L82" s="38">
        <v>2</v>
      </c>
      <c r="M82" s="38" t="s">
        <v>155</v>
      </c>
      <c r="N82" s="38">
        <v>4</v>
      </c>
      <c r="O82" s="45" t="s">
        <v>155</v>
      </c>
      <c r="P82" s="45" t="s">
        <v>155</v>
      </c>
      <c r="Q82" s="45" t="s">
        <v>155</v>
      </c>
      <c r="R82" s="45" t="s">
        <v>155</v>
      </c>
      <c r="S82" s="45" t="s">
        <v>155</v>
      </c>
      <c r="T82" s="46" t="s">
        <v>155</v>
      </c>
      <c r="U82" s="46">
        <v>1.3109999999999999</v>
      </c>
      <c r="V82" s="46">
        <v>2.4540000000000002</v>
      </c>
      <c r="W82" s="46" t="s">
        <v>155</v>
      </c>
      <c r="X82" s="46">
        <v>3.7650000000000001</v>
      </c>
      <c r="Y82" s="47" t="s">
        <v>155</v>
      </c>
      <c r="Z82" s="47">
        <v>1.3109999999999999</v>
      </c>
      <c r="AA82" s="47">
        <v>2.4540000000000002</v>
      </c>
      <c r="AB82" s="47" t="s">
        <v>155</v>
      </c>
      <c r="AC82" s="47">
        <v>3.7650000000000001</v>
      </c>
      <c r="AD82" s="48" t="s">
        <v>155</v>
      </c>
      <c r="AE82" s="48">
        <v>63.6</v>
      </c>
      <c r="AF82" s="48">
        <v>49.5</v>
      </c>
      <c r="AG82" s="48" t="s">
        <v>155</v>
      </c>
      <c r="AH82" s="48">
        <v>113.1</v>
      </c>
      <c r="AI82" s="49" t="s">
        <v>155</v>
      </c>
      <c r="AJ82" s="49" t="s">
        <v>155</v>
      </c>
      <c r="AK82" s="49" t="s">
        <v>155</v>
      </c>
      <c r="AL82" s="49" t="s">
        <v>155</v>
      </c>
      <c r="AM82" s="49" t="s">
        <v>155</v>
      </c>
      <c r="AN82" s="50" t="s">
        <v>155</v>
      </c>
    </row>
    <row r="83" spans="1:40" ht="15.75" customHeight="1" x14ac:dyDescent="0.25">
      <c r="A83" s="34">
        <v>2020</v>
      </c>
      <c r="B83" s="35">
        <v>5336</v>
      </c>
      <c r="C83" s="36" t="s">
        <v>247</v>
      </c>
      <c r="D83" s="36" t="s">
        <v>96</v>
      </c>
      <c r="E83" s="36" t="s">
        <v>167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155</v>
      </c>
      <c r="K83" s="38" t="s">
        <v>155</v>
      </c>
      <c r="L83" s="38">
        <v>5</v>
      </c>
      <c r="M83" s="38" t="s">
        <v>155</v>
      </c>
      <c r="N83" s="38">
        <v>5</v>
      </c>
      <c r="O83" s="45" t="s">
        <v>155</v>
      </c>
      <c r="P83" s="45" t="s">
        <v>155</v>
      </c>
      <c r="Q83" s="45">
        <v>1.5</v>
      </c>
      <c r="R83" s="45" t="s">
        <v>155</v>
      </c>
      <c r="S83" s="45">
        <v>1.5</v>
      </c>
      <c r="T83" s="46" t="s">
        <v>155</v>
      </c>
      <c r="U83" s="46" t="s">
        <v>155</v>
      </c>
      <c r="V83" s="46">
        <v>3.0190000000000001</v>
      </c>
      <c r="W83" s="46" t="s">
        <v>155</v>
      </c>
      <c r="X83" s="46">
        <v>3.0190000000000001</v>
      </c>
      <c r="Y83" s="47" t="s">
        <v>155</v>
      </c>
      <c r="Z83" s="47" t="s">
        <v>155</v>
      </c>
      <c r="AA83" s="47">
        <v>2.4550000000000001</v>
      </c>
      <c r="AB83" s="47" t="s">
        <v>155</v>
      </c>
      <c r="AC83" s="47">
        <v>2.4550000000000001</v>
      </c>
      <c r="AD83" s="48" t="s">
        <v>155</v>
      </c>
      <c r="AE83" s="48" t="s">
        <v>155</v>
      </c>
      <c r="AF83" s="48">
        <v>19.670999999999999</v>
      </c>
      <c r="AG83" s="48" t="s">
        <v>155</v>
      </c>
      <c r="AH83" s="48">
        <v>19.670999999999999</v>
      </c>
      <c r="AI83" s="49" t="s">
        <v>155</v>
      </c>
      <c r="AJ83" s="49" t="s">
        <v>155</v>
      </c>
      <c r="AK83" s="49" t="s">
        <v>155</v>
      </c>
      <c r="AL83" s="49" t="s">
        <v>155</v>
      </c>
      <c r="AM83" s="49" t="s">
        <v>155</v>
      </c>
      <c r="AN83" s="50" t="s">
        <v>155</v>
      </c>
    </row>
    <row r="84" spans="1:40" ht="15.75" customHeight="1" x14ac:dyDescent="0.25">
      <c r="A84" s="34">
        <v>2020</v>
      </c>
      <c r="B84" s="35">
        <v>5416</v>
      </c>
      <c r="C84" s="36" t="s">
        <v>248</v>
      </c>
      <c r="D84" s="36" t="s">
        <v>92</v>
      </c>
      <c r="E84" s="36" t="s">
        <v>195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155</v>
      </c>
      <c r="M84" s="38" t="s">
        <v>155</v>
      </c>
      <c r="N84" s="38">
        <v>198703</v>
      </c>
      <c r="O84" s="45" t="s">
        <v>155</v>
      </c>
      <c r="P84" s="45" t="s">
        <v>155</v>
      </c>
      <c r="Q84" s="45" t="s">
        <v>155</v>
      </c>
      <c r="R84" s="45" t="s">
        <v>155</v>
      </c>
      <c r="S84" s="45" t="s">
        <v>155</v>
      </c>
      <c r="T84" s="46">
        <v>425.9</v>
      </c>
      <c r="U84" s="46">
        <v>244</v>
      </c>
      <c r="V84" s="46" t="s">
        <v>155</v>
      </c>
      <c r="W84" s="46" t="s">
        <v>155</v>
      </c>
      <c r="X84" s="46">
        <v>669.9</v>
      </c>
      <c r="Y84" s="47">
        <v>0</v>
      </c>
      <c r="Z84" s="47">
        <v>0</v>
      </c>
      <c r="AA84" s="47" t="s">
        <v>155</v>
      </c>
      <c r="AB84" s="47" t="s">
        <v>155</v>
      </c>
      <c r="AC84" s="47">
        <v>0</v>
      </c>
      <c r="AD84" s="48">
        <v>6833</v>
      </c>
      <c r="AE84" s="48">
        <v>8223</v>
      </c>
      <c r="AF84" s="48" t="s">
        <v>155</v>
      </c>
      <c r="AG84" s="48" t="s">
        <v>155</v>
      </c>
      <c r="AH84" s="48">
        <v>15056</v>
      </c>
      <c r="AI84" s="49">
        <v>3780</v>
      </c>
      <c r="AJ84" s="49">
        <v>742</v>
      </c>
      <c r="AK84" s="49" t="s">
        <v>155</v>
      </c>
      <c r="AL84" s="49" t="s">
        <v>155</v>
      </c>
      <c r="AM84" s="49">
        <v>4522</v>
      </c>
      <c r="AN84" s="50" t="s">
        <v>155</v>
      </c>
    </row>
    <row r="85" spans="1:40" ht="15.75" customHeight="1" x14ac:dyDescent="0.25">
      <c r="A85" s="34">
        <v>2020</v>
      </c>
      <c r="B85" s="35">
        <v>5416</v>
      </c>
      <c r="C85" s="36" t="s">
        <v>248</v>
      </c>
      <c r="D85" s="36" t="s">
        <v>106</v>
      </c>
      <c r="E85" s="36" t="s">
        <v>195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155</v>
      </c>
      <c r="M85" s="38" t="s">
        <v>155</v>
      </c>
      <c r="N85" s="38">
        <v>63267</v>
      </c>
      <c r="O85" s="45" t="s">
        <v>155</v>
      </c>
      <c r="P85" s="45" t="s">
        <v>155</v>
      </c>
      <c r="Q85" s="45" t="s">
        <v>155</v>
      </c>
      <c r="R85" s="45" t="s">
        <v>155</v>
      </c>
      <c r="S85" s="45" t="s">
        <v>155</v>
      </c>
      <c r="T85" s="46">
        <v>132.6</v>
      </c>
      <c r="U85" s="46">
        <v>109.5</v>
      </c>
      <c r="V85" s="46" t="s">
        <v>155</v>
      </c>
      <c r="W85" s="46" t="s">
        <v>155</v>
      </c>
      <c r="X85" s="46">
        <v>242.1</v>
      </c>
      <c r="Y85" s="47">
        <v>0</v>
      </c>
      <c r="Z85" s="47">
        <v>0</v>
      </c>
      <c r="AA85" s="47" t="s">
        <v>155</v>
      </c>
      <c r="AB85" s="47" t="s">
        <v>155</v>
      </c>
      <c r="AC85" s="47">
        <v>0</v>
      </c>
      <c r="AD85" s="48">
        <v>2370</v>
      </c>
      <c r="AE85" s="48">
        <v>2852</v>
      </c>
      <c r="AF85" s="48" t="s">
        <v>155</v>
      </c>
      <c r="AG85" s="48" t="s">
        <v>155</v>
      </c>
      <c r="AH85" s="48">
        <v>5222</v>
      </c>
      <c r="AI85" s="49">
        <v>1311</v>
      </c>
      <c r="AJ85" s="49">
        <v>257</v>
      </c>
      <c r="AK85" s="49" t="s">
        <v>155</v>
      </c>
      <c r="AL85" s="49" t="s">
        <v>155</v>
      </c>
      <c r="AM85" s="49">
        <v>1568</v>
      </c>
      <c r="AN85" s="50" t="s">
        <v>155</v>
      </c>
    </row>
    <row r="86" spans="1:40" ht="15.75" customHeight="1" x14ac:dyDescent="0.25">
      <c r="A86" s="34">
        <v>2020</v>
      </c>
      <c r="B86" s="35">
        <v>5417</v>
      </c>
      <c r="C86" s="36" t="s">
        <v>249</v>
      </c>
      <c r="D86" s="36" t="s">
        <v>124</v>
      </c>
      <c r="E86" s="36" t="s">
        <v>154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155</v>
      </c>
      <c r="M86" s="38" t="s">
        <v>155</v>
      </c>
      <c r="N86" s="38">
        <v>3548</v>
      </c>
      <c r="O86" s="45" t="s">
        <v>155</v>
      </c>
      <c r="P86" s="45" t="s">
        <v>155</v>
      </c>
      <c r="Q86" s="45" t="s">
        <v>155</v>
      </c>
      <c r="R86" s="45" t="s">
        <v>155</v>
      </c>
      <c r="S86" s="45" t="s">
        <v>155</v>
      </c>
      <c r="T86" s="46">
        <v>1.6679999999999999</v>
      </c>
      <c r="U86" s="46">
        <v>20.361000000000001</v>
      </c>
      <c r="V86" s="46" t="s">
        <v>155</v>
      </c>
      <c r="W86" s="46" t="s">
        <v>155</v>
      </c>
      <c r="X86" s="46">
        <v>22.029</v>
      </c>
      <c r="Y86" s="47">
        <v>0.49</v>
      </c>
      <c r="Z86" s="47">
        <v>5.9749999999999996</v>
      </c>
      <c r="AA86" s="47" t="s">
        <v>155</v>
      </c>
      <c r="AB86" s="47" t="s">
        <v>155</v>
      </c>
      <c r="AC86" s="47">
        <v>6.4649999999999999</v>
      </c>
      <c r="AD86" s="48">
        <v>112</v>
      </c>
      <c r="AE86" s="48">
        <v>12</v>
      </c>
      <c r="AF86" s="48" t="s">
        <v>155</v>
      </c>
      <c r="AG86" s="48" t="s">
        <v>155</v>
      </c>
      <c r="AH86" s="48">
        <v>124</v>
      </c>
      <c r="AI86" s="49">
        <v>143</v>
      </c>
      <c r="AJ86" s="49">
        <v>15</v>
      </c>
      <c r="AK86" s="49" t="s">
        <v>155</v>
      </c>
      <c r="AL86" s="49" t="s">
        <v>155</v>
      </c>
      <c r="AM86" s="49">
        <v>158</v>
      </c>
      <c r="AN86" s="50">
        <v>16</v>
      </c>
    </row>
    <row r="87" spans="1:40" ht="15.75" customHeight="1" x14ac:dyDescent="0.25">
      <c r="A87" s="34">
        <v>2020</v>
      </c>
      <c r="B87" s="35">
        <v>5480</v>
      </c>
      <c r="C87" s="36" t="s">
        <v>250</v>
      </c>
      <c r="D87" s="36" t="s">
        <v>60</v>
      </c>
      <c r="E87" s="36" t="s">
        <v>226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155</v>
      </c>
      <c r="M87" s="38" t="s">
        <v>155</v>
      </c>
      <c r="N87" s="38">
        <v>62</v>
      </c>
      <c r="O87" s="45">
        <v>1.008</v>
      </c>
      <c r="P87" s="45">
        <v>2.48</v>
      </c>
      <c r="Q87" s="45" t="s">
        <v>155</v>
      </c>
      <c r="R87" s="45" t="s">
        <v>155</v>
      </c>
      <c r="S87" s="45">
        <v>3.488</v>
      </c>
      <c r="T87" s="46">
        <v>0.122</v>
      </c>
      <c r="U87" s="46">
        <v>6.9710000000000001</v>
      </c>
      <c r="V87" s="46" t="s">
        <v>155</v>
      </c>
      <c r="W87" s="46" t="s">
        <v>155</v>
      </c>
      <c r="X87" s="46">
        <v>7.093</v>
      </c>
      <c r="Y87" s="47">
        <v>4.2000000000000003E-2</v>
      </c>
      <c r="Z87" s="47">
        <v>0.155</v>
      </c>
      <c r="AA87" s="47" t="s">
        <v>155</v>
      </c>
      <c r="AB87" s="47" t="s">
        <v>155</v>
      </c>
      <c r="AC87" s="47">
        <v>0.19700000000000001</v>
      </c>
      <c r="AD87" s="48">
        <v>3.16</v>
      </c>
      <c r="AE87" s="48">
        <v>5.1100000000000003</v>
      </c>
      <c r="AF87" s="48" t="s">
        <v>155</v>
      </c>
      <c r="AG87" s="48" t="s">
        <v>155</v>
      </c>
      <c r="AH87" s="48">
        <v>8.27</v>
      </c>
      <c r="AI87" s="49">
        <v>8.68</v>
      </c>
      <c r="AJ87" s="49">
        <v>3.19</v>
      </c>
      <c r="AK87" s="49" t="s">
        <v>155</v>
      </c>
      <c r="AL87" s="49" t="s">
        <v>155</v>
      </c>
      <c r="AM87" s="49">
        <v>11.87</v>
      </c>
      <c r="AN87" s="50" t="s">
        <v>155</v>
      </c>
    </row>
    <row r="88" spans="1:40" ht="15.75" customHeight="1" x14ac:dyDescent="0.25">
      <c r="A88" s="34">
        <v>2020</v>
      </c>
      <c r="B88" s="35">
        <v>5487</v>
      </c>
      <c r="C88" s="36" t="s">
        <v>251</v>
      </c>
      <c r="D88" s="36" t="s">
        <v>102</v>
      </c>
      <c r="E88" s="36" t="s">
        <v>167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155</v>
      </c>
      <c r="K88" s="38">
        <v>174</v>
      </c>
      <c r="L88" s="38">
        <v>21</v>
      </c>
      <c r="M88" s="38" t="s">
        <v>155</v>
      </c>
      <c r="N88" s="38">
        <v>195</v>
      </c>
      <c r="O88" s="45" t="s">
        <v>155</v>
      </c>
      <c r="P88" s="45">
        <v>399.5</v>
      </c>
      <c r="Q88" s="45">
        <v>586.9</v>
      </c>
      <c r="R88" s="45" t="s">
        <v>155</v>
      </c>
      <c r="S88" s="45">
        <v>986.4</v>
      </c>
      <c r="T88" s="46" t="s">
        <v>155</v>
      </c>
      <c r="U88" s="46">
        <v>24.5</v>
      </c>
      <c r="V88" s="46">
        <v>31.2</v>
      </c>
      <c r="W88" s="46" t="s">
        <v>155</v>
      </c>
      <c r="X88" s="46">
        <v>55.7</v>
      </c>
      <c r="Y88" s="47" t="s">
        <v>155</v>
      </c>
      <c r="Z88" s="47">
        <v>20</v>
      </c>
      <c r="AA88" s="47">
        <v>29.3</v>
      </c>
      <c r="AB88" s="47" t="s">
        <v>155</v>
      </c>
      <c r="AC88" s="47">
        <v>49.3</v>
      </c>
      <c r="AD88" s="48" t="s">
        <v>155</v>
      </c>
      <c r="AE88" s="48">
        <v>435.2</v>
      </c>
      <c r="AF88" s="48">
        <v>399.3</v>
      </c>
      <c r="AG88" s="48" t="s">
        <v>155</v>
      </c>
      <c r="AH88" s="48">
        <v>834.5</v>
      </c>
      <c r="AI88" s="49" t="s">
        <v>155</v>
      </c>
      <c r="AJ88" s="49">
        <v>265.10000000000002</v>
      </c>
      <c r="AK88" s="49">
        <v>389.5</v>
      </c>
      <c r="AL88" s="49" t="s">
        <v>155</v>
      </c>
      <c r="AM88" s="49">
        <v>654.6</v>
      </c>
      <c r="AN88" s="50" t="s">
        <v>155</v>
      </c>
    </row>
    <row r="89" spans="1:40" ht="15.75" customHeight="1" x14ac:dyDescent="0.25">
      <c r="A89" s="34">
        <v>2020</v>
      </c>
      <c r="B89" s="35">
        <v>5552</v>
      </c>
      <c r="C89" s="36" t="s">
        <v>252</v>
      </c>
      <c r="D89" s="36" t="s">
        <v>108</v>
      </c>
      <c r="E89" s="36" t="s">
        <v>175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155</v>
      </c>
      <c r="K89" s="38" t="s">
        <v>155</v>
      </c>
      <c r="L89" s="38" t="s">
        <v>155</v>
      </c>
      <c r="M89" s="38" t="s">
        <v>155</v>
      </c>
      <c r="N89" s="38" t="s">
        <v>155</v>
      </c>
      <c r="O89" s="45" t="s">
        <v>155</v>
      </c>
      <c r="P89" s="45" t="s">
        <v>155</v>
      </c>
      <c r="Q89" s="45" t="s">
        <v>155</v>
      </c>
      <c r="R89" s="45" t="s">
        <v>155</v>
      </c>
      <c r="S89" s="45" t="s">
        <v>155</v>
      </c>
      <c r="T89" s="46">
        <v>34</v>
      </c>
      <c r="U89" s="46">
        <v>9</v>
      </c>
      <c r="V89" s="46">
        <v>29</v>
      </c>
      <c r="W89" s="46" t="s">
        <v>155</v>
      </c>
      <c r="X89" s="46">
        <v>72</v>
      </c>
      <c r="Y89" s="47">
        <v>34</v>
      </c>
      <c r="Z89" s="47">
        <v>9</v>
      </c>
      <c r="AA89" s="47">
        <v>29</v>
      </c>
      <c r="AB89" s="47" t="s">
        <v>155</v>
      </c>
      <c r="AC89" s="47">
        <v>72</v>
      </c>
      <c r="AD89" s="48" t="s">
        <v>155</v>
      </c>
      <c r="AE89" s="48" t="s">
        <v>155</v>
      </c>
      <c r="AF89" s="48" t="s">
        <v>155</v>
      </c>
      <c r="AG89" s="48" t="s">
        <v>155</v>
      </c>
      <c r="AH89" s="48" t="s">
        <v>155</v>
      </c>
      <c r="AI89" s="49">
        <v>1473.9259999999999</v>
      </c>
      <c r="AJ89" s="49">
        <v>294.78500000000003</v>
      </c>
      <c r="AK89" s="49">
        <v>73.697000000000003</v>
      </c>
      <c r="AL89" s="49" t="s">
        <v>155</v>
      </c>
      <c r="AM89" s="49">
        <v>1842.4079999999999</v>
      </c>
      <c r="AN89" s="50" t="s">
        <v>155</v>
      </c>
    </row>
    <row r="90" spans="1:40" ht="15.75" customHeight="1" x14ac:dyDescent="0.25">
      <c r="A90" s="34">
        <v>2020</v>
      </c>
      <c r="B90" s="35">
        <v>5580</v>
      </c>
      <c r="C90" s="36" t="s">
        <v>253</v>
      </c>
      <c r="D90" s="36" t="s">
        <v>50</v>
      </c>
      <c r="E90" s="36" t="s">
        <v>167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25">
      <c r="A91" s="34">
        <v>2020</v>
      </c>
      <c r="B91" s="35">
        <v>5701</v>
      </c>
      <c r="C91" s="36" t="s">
        <v>254</v>
      </c>
      <c r="D91" s="36" t="s">
        <v>88</v>
      </c>
      <c r="E91" s="36" t="s">
        <v>255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155</v>
      </c>
    </row>
    <row r="92" spans="1:40" ht="15.75" customHeight="1" x14ac:dyDescent="0.25">
      <c r="A92" s="34">
        <v>2020</v>
      </c>
      <c r="B92" s="35">
        <v>5701</v>
      </c>
      <c r="C92" s="36" t="s">
        <v>254</v>
      </c>
      <c r="D92" s="36" t="s">
        <v>112</v>
      </c>
      <c r="E92" s="36" t="s">
        <v>255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155</v>
      </c>
    </row>
    <row r="93" spans="1:40" ht="15.75" customHeight="1" x14ac:dyDescent="0.25">
      <c r="A93" s="34">
        <v>2020</v>
      </c>
      <c r="B93" s="35">
        <v>5773</v>
      </c>
      <c r="C93" s="36" t="s">
        <v>256</v>
      </c>
      <c r="D93" s="36" t="s">
        <v>66</v>
      </c>
      <c r="E93" s="36" t="s">
        <v>154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155</v>
      </c>
      <c r="K93" s="38">
        <v>8</v>
      </c>
      <c r="L93" s="38" t="s">
        <v>155</v>
      </c>
      <c r="M93" s="38" t="s">
        <v>155</v>
      </c>
      <c r="N93" s="38">
        <v>8</v>
      </c>
      <c r="O93" s="45" t="s">
        <v>155</v>
      </c>
      <c r="P93" s="45" t="s">
        <v>155</v>
      </c>
      <c r="Q93" s="45" t="s">
        <v>155</v>
      </c>
      <c r="R93" s="45" t="s">
        <v>155</v>
      </c>
      <c r="S93" s="45" t="s">
        <v>155</v>
      </c>
      <c r="T93" s="46" t="s">
        <v>155</v>
      </c>
      <c r="U93" s="46">
        <v>19.21</v>
      </c>
      <c r="V93" s="46" t="s">
        <v>155</v>
      </c>
      <c r="W93" s="46" t="s">
        <v>155</v>
      </c>
      <c r="X93" s="46">
        <v>19.21</v>
      </c>
      <c r="Y93" s="47" t="s">
        <v>155</v>
      </c>
      <c r="Z93" s="47">
        <v>14.21</v>
      </c>
      <c r="AA93" s="47" t="s">
        <v>155</v>
      </c>
      <c r="AB93" s="47" t="s">
        <v>155</v>
      </c>
      <c r="AC93" s="47">
        <v>14.21</v>
      </c>
      <c r="AD93" s="48" t="s">
        <v>155</v>
      </c>
      <c r="AE93" s="48" t="s">
        <v>155</v>
      </c>
      <c r="AF93" s="48" t="s">
        <v>155</v>
      </c>
      <c r="AG93" s="48" t="s">
        <v>155</v>
      </c>
      <c r="AH93" s="48" t="s">
        <v>155</v>
      </c>
      <c r="AI93" s="49" t="s">
        <v>155</v>
      </c>
      <c r="AJ93" s="49" t="s">
        <v>155</v>
      </c>
      <c r="AK93" s="49" t="s">
        <v>155</v>
      </c>
      <c r="AL93" s="49" t="s">
        <v>155</v>
      </c>
      <c r="AM93" s="49" t="s">
        <v>155</v>
      </c>
      <c r="AN93" s="50" t="s">
        <v>155</v>
      </c>
    </row>
    <row r="94" spans="1:40" ht="15.75" customHeight="1" x14ac:dyDescent="0.25">
      <c r="A94" s="34">
        <v>2020</v>
      </c>
      <c r="B94" s="35">
        <v>5780</v>
      </c>
      <c r="C94" s="36" t="s">
        <v>257</v>
      </c>
      <c r="D94" s="36" t="s">
        <v>77</v>
      </c>
      <c r="E94" s="36" t="s">
        <v>175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155</v>
      </c>
      <c r="K94" s="38" t="s">
        <v>155</v>
      </c>
      <c r="L94" s="38">
        <v>1459</v>
      </c>
      <c r="M94" s="38" t="s">
        <v>155</v>
      </c>
      <c r="N94" s="38">
        <v>1459</v>
      </c>
      <c r="O94" s="45" t="s">
        <v>155</v>
      </c>
      <c r="P94" s="45" t="s">
        <v>155</v>
      </c>
      <c r="Q94" s="45">
        <v>162.24799999999999</v>
      </c>
      <c r="R94" s="45" t="s">
        <v>155</v>
      </c>
      <c r="S94" s="45">
        <v>162.24799999999999</v>
      </c>
      <c r="T94" s="46" t="s">
        <v>155</v>
      </c>
      <c r="U94" s="46" t="s">
        <v>155</v>
      </c>
      <c r="V94" s="46">
        <v>60.1</v>
      </c>
      <c r="W94" s="46" t="s">
        <v>155</v>
      </c>
      <c r="X94" s="46">
        <v>60.1</v>
      </c>
      <c r="Y94" s="47" t="s">
        <v>155</v>
      </c>
      <c r="Z94" s="47" t="s">
        <v>155</v>
      </c>
      <c r="AA94" s="47">
        <v>48.07</v>
      </c>
      <c r="AB94" s="47" t="s">
        <v>155</v>
      </c>
      <c r="AC94" s="47">
        <v>48.07</v>
      </c>
      <c r="AD94" s="48" t="s">
        <v>155</v>
      </c>
      <c r="AE94" s="48" t="s">
        <v>155</v>
      </c>
      <c r="AF94" s="48">
        <v>0</v>
      </c>
      <c r="AG94" s="48" t="s">
        <v>155</v>
      </c>
      <c r="AH94" s="48">
        <v>0</v>
      </c>
      <c r="AI94" s="49" t="s">
        <v>155</v>
      </c>
      <c r="AJ94" s="49" t="s">
        <v>155</v>
      </c>
      <c r="AK94" s="49">
        <v>226</v>
      </c>
      <c r="AL94" s="49" t="s">
        <v>155</v>
      </c>
      <c r="AM94" s="49">
        <v>226</v>
      </c>
      <c r="AN94" s="50" t="s">
        <v>155</v>
      </c>
    </row>
    <row r="95" spans="1:40" ht="15.75" customHeight="1" x14ac:dyDescent="0.25">
      <c r="A95" s="34">
        <v>2020</v>
      </c>
      <c r="B95" s="35">
        <v>5860</v>
      </c>
      <c r="C95" s="36" t="s">
        <v>258</v>
      </c>
      <c r="D95" s="36" t="s">
        <v>71</v>
      </c>
      <c r="E95" s="36" t="s">
        <v>175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155</v>
      </c>
      <c r="K95" s="38" t="s">
        <v>155</v>
      </c>
      <c r="L95" s="38">
        <v>3</v>
      </c>
      <c r="M95" s="38" t="s">
        <v>155</v>
      </c>
      <c r="N95" s="38">
        <v>3</v>
      </c>
      <c r="O95" s="45" t="s">
        <v>155</v>
      </c>
      <c r="P95" s="45" t="s">
        <v>155</v>
      </c>
      <c r="Q95" s="45">
        <v>0</v>
      </c>
      <c r="R95" s="45" t="s">
        <v>155</v>
      </c>
      <c r="S95" s="45">
        <v>0</v>
      </c>
      <c r="T95" s="46" t="s">
        <v>155</v>
      </c>
      <c r="U95" s="46" t="s">
        <v>155</v>
      </c>
      <c r="V95" s="46">
        <v>8.4</v>
      </c>
      <c r="W95" s="46" t="s">
        <v>155</v>
      </c>
      <c r="X95" s="46">
        <v>8.4</v>
      </c>
      <c r="Y95" s="47" t="s">
        <v>155</v>
      </c>
      <c r="Z95" s="47" t="s">
        <v>155</v>
      </c>
      <c r="AA95" s="47">
        <v>0</v>
      </c>
      <c r="AB95" s="47" t="s">
        <v>155</v>
      </c>
      <c r="AC95" s="47">
        <v>0</v>
      </c>
      <c r="AD95" s="48" t="s">
        <v>155</v>
      </c>
      <c r="AE95" s="48" t="s">
        <v>155</v>
      </c>
      <c r="AF95" s="48">
        <v>365.71199999999999</v>
      </c>
      <c r="AG95" s="48" t="s">
        <v>155</v>
      </c>
      <c r="AH95" s="48">
        <v>365.71199999999999</v>
      </c>
      <c r="AI95" s="49" t="s">
        <v>155</v>
      </c>
      <c r="AJ95" s="49" t="s">
        <v>155</v>
      </c>
      <c r="AK95" s="49">
        <v>0</v>
      </c>
      <c r="AL95" s="49" t="s">
        <v>155</v>
      </c>
      <c r="AM95" s="49">
        <v>0</v>
      </c>
      <c r="AN95" s="50" t="s">
        <v>155</v>
      </c>
    </row>
    <row r="96" spans="1:40" ht="15.75" customHeight="1" x14ac:dyDescent="0.25">
      <c r="A96" s="34">
        <v>2020</v>
      </c>
      <c r="B96" s="35">
        <v>5880</v>
      </c>
      <c r="C96" s="36" t="s">
        <v>259</v>
      </c>
      <c r="D96" s="36" t="s">
        <v>90</v>
      </c>
      <c r="E96" s="36" t="s">
        <v>209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155</v>
      </c>
      <c r="P96" s="45" t="s">
        <v>155</v>
      </c>
      <c r="Q96" s="45" t="s">
        <v>155</v>
      </c>
      <c r="R96" s="45" t="s">
        <v>155</v>
      </c>
      <c r="S96" s="45" t="s">
        <v>155</v>
      </c>
      <c r="T96" s="46" t="s">
        <v>155</v>
      </c>
      <c r="U96" s="46">
        <v>1.7549999999999999</v>
      </c>
      <c r="V96" s="46" t="s">
        <v>155</v>
      </c>
      <c r="W96" s="46" t="s">
        <v>155</v>
      </c>
      <c r="X96" s="46">
        <v>1.7549999999999999</v>
      </c>
      <c r="Y96" s="47" t="s">
        <v>155</v>
      </c>
      <c r="Z96" s="47">
        <v>1.7549999999999999</v>
      </c>
      <c r="AA96" s="47" t="s">
        <v>155</v>
      </c>
      <c r="AB96" s="47" t="s">
        <v>155</v>
      </c>
      <c r="AC96" s="47">
        <v>1.7549999999999999</v>
      </c>
      <c r="AD96" s="48" t="s">
        <v>155</v>
      </c>
      <c r="AE96" s="48" t="s">
        <v>155</v>
      </c>
      <c r="AF96" s="48" t="s">
        <v>155</v>
      </c>
      <c r="AG96" s="48" t="s">
        <v>155</v>
      </c>
      <c r="AH96" s="48" t="s">
        <v>155</v>
      </c>
      <c r="AI96" s="49" t="s">
        <v>155</v>
      </c>
      <c r="AJ96" s="49" t="s">
        <v>155</v>
      </c>
      <c r="AK96" s="49" t="s">
        <v>155</v>
      </c>
      <c r="AL96" s="49" t="s">
        <v>155</v>
      </c>
      <c r="AM96" s="49" t="s">
        <v>155</v>
      </c>
      <c r="AN96" s="50" t="s">
        <v>155</v>
      </c>
    </row>
    <row r="97" spans="1:40" ht="15.75" customHeight="1" x14ac:dyDescent="0.25">
      <c r="A97" s="34">
        <v>2020</v>
      </c>
      <c r="B97" s="35">
        <v>5905</v>
      </c>
      <c r="C97" s="36" t="s">
        <v>260</v>
      </c>
      <c r="D97" s="36" t="s">
        <v>31</v>
      </c>
      <c r="E97" s="36" t="s">
        <v>160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155</v>
      </c>
      <c r="K97" s="38" t="s">
        <v>155</v>
      </c>
      <c r="L97" s="38">
        <v>228</v>
      </c>
      <c r="M97" s="38" t="s">
        <v>155</v>
      </c>
      <c r="N97" s="38">
        <v>228</v>
      </c>
      <c r="O97" s="45" t="s">
        <v>155</v>
      </c>
      <c r="P97" s="45" t="s">
        <v>155</v>
      </c>
      <c r="Q97" s="45">
        <v>168</v>
      </c>
      <c r="R97" s="45" t="s">
        <v>155</v>
      </c>
      <c r="S97" s="45">
        <v>168</v>
      </c>
      <c r="T97" s="46" t="s">
        <v>155</v>
      </c>
      <c r="U97" s="46" t="s">
        <v>155</v>
      </c>
      <c r="V97" s="46">
        <v>9.6</v>
      </c>
      <c r="W97" s="46" t="s">
        <v>155</v>
      </c>
      <c r="X97" s="46">
        <v>9.6</v>
      </c>
      <c r="Y97" s="47" t="s">
        <v>155</v>
      </c>
      <c r="Z97" s="47" t="s">
        <v>155</v>
      </c>
      <c r="AA97" s="47">
        <v>2.4</v>
      </c>
      <c r="AB97" s="47" t="s">
        <v>155</v>
      </c>
      <c r="AC97" s="47">
        <v>2.4</v>
      </c>
      <c r="AD97" s="48" t="s">
        <v>155</v>
      </c>
      <c r="AE97" s="48" t="s">
        <v>155</v>
      </c>
      <c r="AF97" s="48">
        <v>0</v>
      </c>
      <c r="AG97" s="48" t="s">
        <v>155</v>
      </c>
      <c r="AH97" s="48">
        <v>0</v>
      </c>
      <c r="AI97" s="49" t="s">
        <v>155</v>
      </c>
      <c r="AJ97" s="49" t="s">
        <v>155</v>
      </c>
      <c r="AK97" s="49">
        <v>47.6</v>
      </c>
      <c r="AL97" s="49" t="s">
        <v>155</v>
      </c>
      <c r="AM97" s="49">
        <v>47.6</v>
      </c>
      <c r="AN97" s="50" t="s">
        <v>155</v>
      </c>
    </row>
    <row r="98" spans="1:40" ht="15.75" customHeight="1" x14ac:dyDescent="0.25">
      <c r="A98" s="34">
        <v>2020</v>
      </c>
      <c r="B98" s="35">
        <v>6181</v>
      </c>
      <c r="C98" s="36" t="s">
        <v>261</v>
      </c>
      <c r="D98" s="36" t="s">
        <v>71</v>
      </c>
      <c r="E98" s="36" t="s">
        <v>192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155</v>
      </c>
      <c r="N98" s="38">
        <v>7829</v>
      </c>
      <c r="O98" s="45">
        <v>100.21</v>
      </c>
      <c r="P98" s="45" t="s">
        <v>155</v>
      </c>
      <c r="Q98" s="45" t="s">
        <v>155</v>
      </c>
      <c r="R98" s="45" t="s">
        <v>155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155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155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155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155</v>
      </c>
      <c r="AM98" s="49">
        <v>7.6550000000000002</v>
      </c>
      <c r="AN98" s="50">
        <v>0</v>
      </c>
    </row>
    <row r="99" spans="1:40" ht="15.75" customHeight="1" x14ac:dyDescent="0.25">
      <c r="A99" s="34">
        <v>2020</v>
      </c>
      <c r="B99" s="35">
        <v>6182</v>
      </c>
      <c r="C99" s="36" t="s">
        <v>262</v>
      </c>
      <c r="D99" s="36" t="s">
        <v>112</v>
      </c>
      <c r="E99" s="36" t="s">
        <v>180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155</v>
      </c>
      <c r="L99" s="38" t="s">
        <v>155</v>
      </c>
      <c r="M99" s="38" t="s">
        <v>155</v>
      </c>
      <c r="N99" s="38">
        <v>889</v>
      </c>
      <c r="O99" s="45">
        <v>15.56</v>
      </c>
      <c r="P99" s="45" t="s">
        <v>155</v>
      </c>
      <c r="Q99" s="45" t="s">
        <v>155</v>
      </c>
      <c r="R99" s="45" t="s">
        <v>155</v>
      </c>
      <c r="S99" s="45">
        <v>15.56</v>
      </c>
      <c r="T99" s="46">
        <v>3.0150000000000001</v>
      </c>
      <c r="U99" s="46" t="s">
        <v>155</v>
      </c>
      <c r="V99" s="46" t="s">
        <v>155</v>
      </c>
      <c r="W99" s="46" t="s">
        <v>155</v>
      </c>
      <c r="X99" s="46">
        <v>3.0150000000000001</v>
      </c>
      <c r="Y99" s="47">
        <v>3.0150000000000001</v>
      </c>
      <c r="Z99" s="47" t="s">
        <v>155</v>
      </c>
      <c r="AA99" s="47" t="s">
        <v>155</v>
      </c>
      <c r="AB99" s="47" t="s">
        <v>155</v>
      </c>
      <c r="AC99" s="47">
        <v>3.0150000000000001</v>
      </c>
      <c r="AD99" s="48">
        <v>76.849999999999994</v>
      </c>
      <c r="AE99" s="48" t="s">
        <v>155</v>
      </c>
      <c r="AF99" s="48" t="s">
        <v>155</v>
      </c>
      <c r="AG99" s="48" t="s">
        <v>155</v>
      </c>
      <c r="AH99" s="48">
        <v>76.849999999999994</v>
      </c>
      <c r="AI99" s="49">
        <v>62.53</v>
      </c>
      <c r="AJ99" s="49" t="s">
        <v>155</v>
      </c>
      <c r="AK99" s="49" t="s">
        <v>155</v>
      </c>
      <c r="AL99" s="49" t="s">
        <v>155</v>
      </c>
      <c r="AM99" s="49">
        <v>62.53</v>
      </c>
      <c r="AN99" s="50" t="s">
        <v>155</v>
      </c>
    </row>
    <row r="100" spans="1:40" ht="15.75" customHeight="1" x14ac:dyDescent="0.25">
      <c r="A100" s="34">
        <v>2020</v>
      </c>
      <c r="B100" s="35">
        <v>6342</v>
      </c>
      <c r="C100" s="36" t="s">
        <v>263</v>
      </c>
      <c r="D100" s="36" t="s">
        <v>14</v>
      </c>
      <c r="E100" s="36" t="s">
        <v>154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155</v>
      </c>
    </row>
    <row r="101" spans="1:40" ht="15.75" customHeight="1" x14ac:dyDescent="0.25">
      <c r="A101" s="34">
        <v>2020</v>
      </c>
      <c r="B101" s="35">
        <v>6395</v>
      </c>
      <c r="C101" s="36" t="s">
        <v>264</v>
      </c>
      <c r="D101" s="36" t="s">
        <v>74</v>
      </c>
      <c r="E101" s="36" t="s">
        <v>188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155</v>
      </c>
      <c r="L101" s="38" t="s">
        <v>155</v>
      </c>
      <c r="M101" s="38" t="s">
        <v>155</v>
      </c>
      <c r="N101" s="38">
        <v>2945</v>
      </c>
      <c r="O101" s="45" t="s">
        <v>155</v>
      </c>
      <c r="P101" s="45" t="s">
        <v>155</v>
      </c>
      <c r="Q101" s="45" t="s">
        <v>155</v>
      </c>
      <c r="R101" s="45" t="s">
        <v>155</v>
      </c>
      <c r="S101" s="45" t="s">
        <v>155</v>
      </c>
      <c r="T101" s="46">
        <v>29.38</v>
      </c>
      <c r="U101" s="46" t="s">
        <v>155</v>
      </c>
      <c r="V101" s="46" t="s">
        <v>155</v>
      </c>
      <c r="W101" s="46" t="s">
        <v>155</v>
      </c>
      <c r="X101" s="46">
        <v>29.38</v>
      </c>
      <c r="Y101" s="47">
        <v>17.14</v>
      </c>
      <c r="Z101" s="47" t="s">
        <v>155</v>
      </c>
      <c r="AA101" s="47" t="s">
        <v>155</v>
      </c>
      <c r="AB101" s="47" t="s">
        <v>155</v>
      </c>
      <c r="AC101" s="47">
        <v>17.14</v>
      </c>
      <c r="AD101" s="48">
        <v>141.69999999999999</v>
      </c>
      <c r="AE101" s="48" t="s">
        <v>155</v>
      </c>
      <c r="AF101" s="48" t="s">
        <v>155</v>
      </c>
      <c r="AG101" s="48" t="s">
        <v>155</v>
      </c>
      <c r="AH101" s="48">
        <v>141.69999999999999</v>
      </c>
      <c r="AI101" s="49">
        <v>16</v>
      </c>
      <c r="AJ101" s="49" t="s">
        <v>155</v>
      </c>
      <c r="AK101" s="49" t="s">
        <v>155</v>
      </c>
      <c r="AL101" s="49" t="s">
        <v>155</v>
      </c>
      <c r="AM101" s="49">
        <v>16</v>
      </c>
      <c r="AN101" s="50">
        <v>0</v>
      </c>
    </row>
    <row r="102" spans="1:40" ht="15.75" customHeight="1" x14ac:dyDescent="0.25">
      <c r="A102" s="34">
        <v>2020</v>
      </c>
      <c r="B102" s="35">
        <v>6411</v>
      </c>
      <c r="C102" s="36" t="s">
        <v>265</v>
      </c>
      <c r="D102" s="36" t="s">
        <v>31</v>
      </c>
      <c r="E102" s="36" t="s">
        <v>160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155</v>
      </c>
    </row>
    <row r="103" spans="1:40" ht="15.75" customHeight="1" x14ac:dyDescent="0.25">
      <c r="A103" s="34">
        <v>2020</v>
      </c>
      <c r="B103" s="35">
        <v>6452</v>
      </c>
      <c r="C103" s="36" t="s">
        <v>266</v>
      </c>
      <c r="D103" s="36" t="s">
        <v>28</v>
      </c>
      <c r="E103" s="36" t="s">
        <v>267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155</v>
      </c>
      <c r="M103" s="38" t="s">
        <v>155</v>
      </c>
      <c r="N103" s="38">
        <v>716769</v>
      </c>
      <c r="O103" s="45">
        <v>747.05100000000004</v>
      </c>
      <c r="P103" s="45">
        <v>6935.8370000000004</v>
      </c>
      <c r="Q103" s="45" t="s">
        <v>155</v>
      </c>
      <c r="R103" s="45" t="s">
        <v>155</v>
      </c>
      <c r="S103" s="45">
        <v>7682.8879999999999</v>
      </c>
      <c r="T103" s="46" t="s">
        <v>155</v>
      </c>
      <c r="U103" s="46" t="s">
        <v>155</v>
      </c>
      <c r="V103" s="46" t="s">
        <v>155</v>
      </c>
      <c r="W103" s="46" t="s">
        <v>155</v>
      </c>
      <c r="X103" s="46" t="s">
        <v>155</v>
      </c>
      <c r="Y103" s="47" t="s">
        <v>155</v>
      </c>
      <c r="Z103" s="47" t="s">
        <v>155</v>
      </c>
      <c r="AA103" s="47" t="s">
        <v>155</v>
      </c>
      <c r="AB103" s="47" t="s">
        <v>155</v>
      </c>
      <c r="AC103" s="47" t="s">
        <v>155</v>
      </c>
      <c r="AD103" s="48">
        <v>31605.427</v>
      </c>
      <c r="AE103" s="48">
        <v>74991.168999999994</v>
      </c>
      <c r="AF103" s="48" t="s">
        <v>155</v>
      </c>
      <c r="AG103" s="48" t="s">
        <v>155</v>
      </c>
      <c r="AH103" s="48">
        <v>106596.59600000001</v>
      </c>
      <c r="AI103" s="49">
        <v>13236.725</v>
      </c>
      <c r="AJ103" s="49">
        <v>4285.3469999999998</v>
      </c>
      <c r="AK103" s="49" t="s">
        <v>155</v>
      </c>
      <c r="AL103" s="49" t="s">
        <v>155</v>
      </c>
      <c r="AM103" s="49">
        <v>17522.072</v>
      </c>
      <c r="AN103" s="50" t="s">
        <v>155</v>
      </c>
    </row>
    <row r="104" spans="1:40" ht="15.75" customHeight="1" x14ac:dyDescent="0.25">
      <c r="A104" s="34">
        <v>2020</v>
      </c>
      <c r="B104" s="35">
        <v>6455</v>
      </c>
      <c r="C104" s="36" t="s">
        <v>268</v>
      </c>
      <c r="D104" s="36" t="s">
        <v>28</v>
      </c>
      <c r="E104" s="36" t="s">
        <v>269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25">
      <c r="A105" s="34">
        <v>2020</v>
      </c>
      <c r="B105" s="35">
        <v>6604</v>
      </c>
      <c r="C105" s="36" t="s">
        <v>270</v>
      </c>
      <c r="D105" s="36" t="s">
        <v>20</v>
      </c>
      <c r="E105" s="36" t="s">
        <v>221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155</v>
      </c>
      <c r="P105" s="45" t="s">
        <v>155</v>
      </c>
      <c r="Q105" s="45" t="s">
        <v>155</v>
      </c>
      <c r="R105" s="45" t="s">
        <v>155</v>
      </c>
      <c r="S105" s="45" t="s">
        <v>155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155</v>
      </c>
      <c r="AF105" s="48" t="s">
        <v>155</v>
      </c>
      <c r="AG105" s="48" t="s">
        <v>155</v>
      </c>
      <c r="AH105" s="48">
        <v>50.014000000000003</v>
      </c>
      <c r="AI105" s="49">
        <v>581.22</v>
      </c>
      <c r="AJ105" s="49">
        <v>36.972000000000001</v>
      </c>
      <c r="AK105" s="49" t="s">
        <v>155</v>
      </c>
      <c r="AL105" s="49" t="s">
        <v>155</v>
      </c>
      <c r="AM105" s="49">
        <v>618.19200000000001</v>
      </c>
      <c r="AN105" s="50" t="s">
        <v>155</v>
      </c>
    </row>
    <row r="106" spans="1:40" ht="15.75" customHeight="1" x14ac:dyDescent="0.25">
      <c r="A106" s="34">
        <v>2020</v>
      </c>
      <c r="B106" s="35">
        <v>6640</v>
      </c>
      <c r="C106" s="36" t="s">
        <v>271</v>
      </c>
      <c r="D106" s="36" t="s">
        <v>92</v>
      </c>
      <c r="E106" s="36" t="s">
        <v>202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155</v>
      </c>
      <c r="K106" s="38" t="s">
        <v>155</v>
      </c>
      <c r="L106" s="38">
        <v>4</v>
      </c>
      <c r="M106" s="38" t="s">
        <v>155</v>
      </c>
      <c r="N106" s="38">
        <v>4</v>
      </c>
      <c r="O106" s="45" t="s">
        <v>155</v>
      </c>
      <c r="P106" s="45" t="s">
        <v>155</v>
      </c>
      <c r="Q106" s="45">
        <v>620</v>
      </c>
      <c r="R106" s="45" t="s">
        <v>155</v>
      </c>
      <c r="S106" s="45">
        <v>620</v>
      </c>
      <c r="T106" s="46" t="s">
        <v>155</v>
      </c>
      <c r="U106" s="46" t="s">
        <v>155</v>
      </c>
      <c r="V106" s="46">
        <v>70</v>
      </c>
      <c r="W106" s="46" t="s">
        <v>155</v>
      </c>
      <c r="X106" s="46">
        <v>70</v>
      </c>
      <c r="Y106" s="47" t="s">
        <v>155</v>
      </c>
      <c r="Z106" s="47" t="s">
        <v>155</v>
      </c>
      <c r="AA106" s="47">
        <v>32</v>
      </c>
      <c r="AB106" s="47" t="s">
        <v>155</v>
      </c>
      <c r="AC106" s="47">
        <v>32</v>
      </c>
      <c r="AD106" s="48" t="s">
        <v>155</v>
      </c>
      <c r="AE106" s="48" t="s">
        <v>155</v>
      </c>
      <c r="AF106" s="48">
        <v>1657</v>
      </c>
      <c r="AG106" s="48" t="s">
        <v>155</v>
      </c>
      <c r="AH106" s="48">
        <v>1657</v>
      </c>
      <c r="AI106" s="49" t="s">
        <v>155</v>
      </c>
      <c r="AJ106" s="49" t="s">
        <v>155</v>
      </c>
      <c r="AK106" s="49" t="s">
        <v>155</v>
      </c>
      <c r="AL106" s="49" t="s">
        <v>155</v>
      </c>
      <c r="AM106" s="49" t="s">
        <v>155</v>
      </c>
      <c r="AN106" s="50" t="s">
        <v>155</v>
      </c>
    </row>
    <row r="107" spans="1:40" ht="15.75" customHeight="1" x14ac:dyDescent="0.25">
      <c r="A107" s="34">
        <v>2020</v>
      </c>
      <c r="B107" s="35">
        <v>6709</v>
      </c>
      <c r="C107" s="36" t="s">
        <v>272</v>
      </c>
      <c r="D107" s="36" t="s">
        <v>106</v>
      </c>
      <c r="E107" s="36" t="s">
        <v>195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155</v>
      </c>
      <c r="L107" s="38" t="s">
        <v>155</v>
      </c>
      <c r="M107" s="38" t="s">
        <v>155</v>
      </c>
      <c r="N107" s="38">
        <v>608</v>
      </c>
      <c r="O107" s="45">
        <v>0</v>
      </c>
      <c r="P107" s="45" t="s">
        <v>155</v>
      </c>
      <c r="Q107" s="45" t="s">
        <v>155</v>
      </c>
      <c r="R107" s="45" t="s">
        <v>155</v>
      </c>
      <c r="S107" s="45">
        <v>0</v>
      </c>
      <c r="T107" s="46">
        <v>0.47599999999999998</v>
      </c>
      <c r="U107" s="46" t="s">
        <v>155</v>
      </c>
      <c r="V107" s="46" t="s">
        <v>155</v>
      </c>
      <c r="W107" s="46" t="s">
        <v>155</v>
      </c>
      <c r="X107" s="46">
        <v>0.47599999999999998</v>
      </c>
      <c r="Y107" s="47">
        <v>0.47299999999999998</v>
      </c>
      <c r="Z107" s="47" t="s">
        <v>155</v>
      </c>
      <c r="AA107" s="47" t="s">
        <v>155</v>
      </c>
      <c r="AB107" s="47" t="s">
        <v>155</v>
      </c>
      <c r="AC107" s="47">
        <v>0.47299999999999998</v>
      </c>
      <c r="AD107" s="48">
        <v>31.18</v>
      </c>
      <c r="AE107" s="48" t="s">
        <v>155</v>
      </c>
      <c r="AF107" s="48" t="s">
        <v>155</v>
      </c>
      <c r="AG107" s="48" t="s">
        <v>155</v>
      </c>
      <c r="AH107" s="48">
        <v>31.18</v>
      </c>
      <c r="AI107" s="49">
        <v>15.862</v>
      </c>
      <c r="AJ107" s="49" t="s">
        <v>155</v>
      </c>
      <c r="AK107" s="49" t="s">
        <v>155</v>
      </c>
      <c r="AL107" s="49" t="s">
        <v>155</v>
      </c>
      <c r="AM107" s="49">
        <v>15.862</v>
      </c>
      <c r="AN107" s="50" t="s">
        <v>155</v>
      </c>
    </row>
    <row r="108" spans="1:40" ht="15.75" customHeight="1" x14ac:dyDescent="0.25">
      <c r="A108" s="34">
        <v>2020</v>
      </c>
      <c r="B108" s="35">
        <v>6779</v>
      </c>
      <c r="C108" s="36" t="s">
        <v>273</v>
      </c>
      <c r="D108" s="36" t="s">
        <v>77</v>
      </c>
      <c r="E108" s="36" t="s">
        <v>175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155</v>
      </c>
      <c r="K108" s="38" t="s">
        <v>155</v>
      </c>
      <c r="L108" s="38" t="s">
        <v>155</v>
      </c>
      <c r="M108" s="38" t="s">
        <v>155</v>
      </c>
      <c r="N108" s="38" t="s">
        <v>155</v>
      </c>
      <c r="O108" s="45" t="s">
        <v>155</v>
      </c>
      <c r="P108" s="45" t="s">
        <v>155</v>
      </c>
      <c r="Q108" s="45" t="s">
        <v>155</v>
      </c>
      <c r="R108" s="45" t="s">
        <v>155</v>
      </c>
      <c r="S108" s="45" t="s">
        <v>155</v>
      </c>
      <c r="T108" s="46" t="s">
        <v>155</v>
      </c>
      <c r="U108" s="46" t="s">
        <v>155</v>
      </c>
      <c r="V108" s="46" t="s">
        <v>155</v>
      </c>
      <c r="W108" s="46" t="s">
        <v>155</v>
      </c>
      <c r="X108" s="46" t="s">
        <v>155</v>
      </c>
      <c r="Y108" s="47" t="s">
        <v>155</v>
      </c>
      <c r="Z108" s="47" t="s">
        <v>155</v>
      </c>
      <c r="AA108" s="47" t="s">
        <v>155</v>
      </c>
      <c r="AB108" s="47" t="s">
        <v>155</v>
      </c>
      <c r="AC108" s="47" t="s">
        <v>155</v>
      </c>
      <c r="AD108" s="48" t="s">
        <v>155</v>
      </c>
      <c r="AE108" s="48" t="s">
        <v>155</v>
      </c>
      <c r="AF108" s="48" t="s">
        <v>155</v>
      </c>
      <c r="AG108" s="48" t="s">
        <v>155</v>
      </c>
      <c r="AH108" s="48" t="s">
        <v>155</v>
      </c>
      <c r="AI108" s="49" t="s">
        <v>155</v>
      </c>
      <c r="AJ108" s="49" t="s">
        <v>155</v>
      </c>
      <c r="AK108" s="49" t="s">
        <v>155</v>
      </c>
      <c r="AL108" s="49" t="s">
        <v>155</v>
      </c>
      <c r="AM108" s="49" t="s">
        <v>155</v>
      </c>
      <c r="AN108" s="50" t="s">
        <v>155</v>
      </c>
    </row>
    <row r="109" spans="1:40" ht="15.75" customHeight="1" x14ac:dyDescent="0.25">
      <c r="A109" s="34">
        <v>2020</v>
      </c>
      <c r="B109" s="35">
        <v>6782</v>
      </c>
      <c r="C109" s="36" t="s">
        <v>274</v>
      </c>
      <c r="D109" s="36" t="s">
        <v>66</v>
      </c>
      <c r="E109" s="36" t="s">
        <v>154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25">
      <c r="A110" s="34">
        <v>2020</v>
      </c>
      <c r="B110" s="35">
        <v>7004</v>
      </c>
      <c r="C110" s="36" t="s">
        <v>275</v>
      </c>
      <c r="D110" s="36" t="s">
        <v>96</v>
      </c>
      <c r="E110" s="36" t="s">
        <v>167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155</v>
      </c>
      <c r="M110" s="38" t="s">
        <v>155</v>
      </c>
      <c r="N110" s="38">
        <v>121386</v>
      </c>
      <c r="O110" s="45">
        <v>2214.6999999999998</v>
      </c>
      <c r="P110" s="45">
        <v>408.1</v>
      </c>
      <c r="Q110" s="45" t="s">
        <v>155</v>
      </c>
      <c r="R110" s="45" t="s">
        <v>155</v>
      </c>
      <c r="S110" s="45">
        <v>2622.8</v>
      </c>
      <c r="T110" s="46">
        <v>34.799999999999997</v>
      </c>
      <c r="U110" s="46">
        <v>6</v>
      </c>
      <c r="V110" s="46" t="s">
        <v>155</v>
      </c>
      <c r="W110" s="46" t="s">
        <v>155</v>
      </c>
      <c r="X110" s="46">
        <v>40.799999999999997</v>
      </c>
      <c r="Y110" s="47">
        <v>34.700000000000003</v>
      </c>
      <c r="Z110" s="47">
        <v>6</v>
      </c>
      <c r="AA110" s="47" t="s">
        <v>155</v>
      </c>
      <c r="AB110" s="47" t="s">
        <v>155</v>
      </c>
      <c r="AC110" s="47">
        <v>40.700000000000003</v>
      </c>
      <c r="AD110" s="48">
        <v>515</v>
      </c>
      <c r="AE110" s="48">
        <v>0</v>
      </c>
      <c r="AF110" s="48" t="s">
        <v>155</v>
      </c>
      <c r="AG110" s="48" t="s">
        <v>155</v>
      </c>
      <c r="AH110" s="48">
        <v>515</v>
      </c>
      <c r="AI110" s="49">
        <v>191.9</v>
      </c>
      <c r="AJ110" s="49">
        <v>0</v>
      </c>
      <c r="AK110" s="49" t="s">
        <v>155</v>
      </c>
      <c r="AL110" s="49" t="s">
        <v>155</v>
      </c>
      <c r="AM110" s="49">
        <v>191.9</v>
      </c>
      <c r="AN110" s="50" t="s">
        <v>155</v>
      </c>
    </row>
    <row r="111" spans="1:40" ht="15.75" customHeight="1" x14ac:dyDescent="0.25">
      <c r="A111" s="34">
        <v>2020</v>
      </c>
      <c r="B111" s="35">
        <v>7090</v>
      </c>
      <c r="C111" s="36" t="s">
        <v>276</v>
      </c>
      <c r="D111" s="36" t="s">
        <v>31</v>
      </c>
      <c r="E111" s="36" t="s">
        <v>160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155</v>
      </c>
    </row>
    <row r="112" spans="1:40" ht="15.75" customHeight="1" x14ac:dyDescent="0.25">
      <c r="A112" s="34">
        <v>2020</v>
      </c>
      <c r="B112" s="35">
        <v>7140</v>
      </c>
      <c r="C112" s="36" t="s">
        <v>277</v>
      </c>
      <c r="D112" s="36" t="s">
        <v>31</v>
      </c>
      <c r="E112" s="36" t="s">
        <v>160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155</v>
      </c>
    </row>
    <row r="113" spans="1:40" ht="15.75" customHeight="1" x14ac:dyDescent="0.25">
      <c r="A113" s="34">
        <v>2020</v>
      </c>
      <c r="B113" s="35">
        <v>7294</v>
      </c>
      <c r="C113" s="36" t="s">
        <v>278</v>
      </c>
      <c r="D113" s="36" t="s">
        <v>17</v>
      </c>
      <c r="E113" s="36" t="s">
        <v>279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155</v>
      </c>
      <c r="L113" s="38" t="s">
        <v>155</v>
      </c>
      <c r="M113" s="38" t="s">
        <v>155</v>
      </c>
      <c r="N113" s="38">
        <v>33000</v>
      </c>
      <c r="O113" s="45">
        <v>17.663</v>
      </c>
      <c r="P113" s="45" t="s">
        <v>155</v>
      </c>
      <c r="Q113" s="45" t="s">
        <v>155</v>
      </c>
      <c r="R113" s="45" t="s">
        <v>155</v>
      </c>
      <c r="S113" s="45">
        <v>17.663</v>
      </c>
      <c r="T113" s="46">
        <v>5.0549999999999997</v>
      </c>
      <c r="U113" s="46" t="s">
        <v>155</v>
      </c>
      <c r="V113" s="46" t="s">
        <v>155</v>
      </c>
      <c r="W113" s="46" t="s">
        <v>155</v>
      </c>
      <c r="X113" s="46">
        <v>5.0549999999999997</v>
      </c>
      <c r="Y113" s="47">
        <v>5.0549999999999997</v>
      </c>
      <c r="Z113" s="47" t="s">
        <v>155</v>
      </c>
      <c r="AA113" s="47" t="s">
        <v>155</v>
      </c>
      <c r="AB113" s="47" t="s">
        <v>155</v>
      </c>
      <c r="AC113" s="47">
        <v>5.0549999999999997</v>
      </c>
      <c r="AD113" s="48" t="s">
        <v>155</v>
      </c>
      <c r="AE113" s="48" t="s">
        <v>155</v>
      </c>
      <c r="AF113" s="48" t="s">
        <v>155</v>
      </c>
      <c r="AG113" s="48" t="s">
        <v>155</v>
      </c>
      <c r="AH113" s="48" t="s">
        <v>155</v>
      </c>
      <c r="AI113" s="49">
        <v>110</v>
      </c>
      <c r="AJ113" s="49" t="s">
        <v>155</v>
      </c>
      <c r="AK113" s="49" t="s">
        <v>155</v>
      </c>
      <c r="AL113" s="49" t="s">
        <v>155</v>
      </c>
      <c r="AM113" s="49">
        <v>110</v>
      </c>
      <c r="AN113" s="50" t="s">
        <v>155</v>
      </c>
    </row>
    <row r="114" spans="1:40" ht="15.75" customHeight="1" x14ac:dyDescent="0.25">
      <c r="A114" s="34">
        <v>2020</v>
      </c>
      <c r="B114" s="35">
        <v>7349</v>
      </c>
      <c r="C114" s="36" t="s">
        <v>280</v>
      </c>
      <c r="D114" s="36" t="s">
        <v>98</v>
      </c>
      <c r="E114" s="36" t="s">
        <v>175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155</v>
      </c>
      <c r="K114" s="38">
        <v>1</v>
      </c>
      <c r="L114" s="38" t="s">
        <v>155</v>
      </c>
      <c r="M114" s="38" t="s">
        <v>155</v>
      </c>
      <c r="N114" s="38">
        <v>1</v>
      </c>
      <c r="O114" s="45" t="s">
        <v>155</v>
      </c>
      <c r="P114" s="45">
        <v>0</v>
      </c>
      <c r="Q114" s="45" t="s">
        <v>155</v>
      </c>
      <c r="R114" s="45" t="s">
        <v>155</v>
      </c>
      <c r="S114" s="45">
        <v>0</v>
      </c>
      <c r="T114" s="46" t="s">
        <v>155</v>
      </c>
      <c r="U114" s="46">
        <v>1.9770000000000001</v>
      </c>
      <c r="V114" s="46" t="s">
        <v>155</v>
      </c>
      <c r="W114" s="46" t="s">
        <v>155</v>
      </c>
      <c r="X114" s="46">
        <v>1.9770000000000001</v>
      </c>
      <c r="Y114" s="47" t="s">
        <v>155</v>
      </c>
      <c r="Z114" s="47">
        <v>0</v>
      </c>
      <c r="AA114" s="47" t="s">
        <v>155</v>
      </c>
      <c r="AB114" s="47" t="s">
        <v>155</v>
      </c>
      <c r="AC114" s="47">
        <v>0</v>
      </c>
      <c r="AD114" s="48" t="s">
        <v>155</v>
      </c>
      <c r="AE114" s="48">
        <v>17.8</v>
      </c>
      <c r="AF114" s="48" t="s">
        <v>155</v>
      </c>
      <c r="AG114" s="48" t="s">
        <v>155</v>
      </c>
      <c r="AH114" s="48">
        <v>17.8</v>
      </c>
      <c r="AI114" s="49" t="s">
        <v>155</v>
      </c>
      <c r="AJ114" s="49" t="s">
        <v>155</v>
      </c>
      <c r="AK114" s="49" t="s">
        <v>155</v>
      </c>
      <c r="AL114" s="49" t="s">
        <v>155</v>
      </c>
      <c r="AM114" s="49" t="s">
        <v>155</v>
      </c>
      <c r="AN114" s="50" t="s">
        <v>155</v>
      </c>
    </row>
    <row r="115" spans="1:40" ht="15.75" customHeight="1" x14ac:dyDescent="0.25">
      <c r="A115" s="34">
        <v>2020</v>
      </c>
      <c r="B115" s="35">
        <v>7349</v>
      </c>
      <c r="C115" s="36" t="s">
        <v>280</v>
      </c>
      <c r="D115" s="36" t="s">
        <v>112</v>
      </c>
      <c r="E115" s="36" t="s">
        <v>175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155</v>
      </c>
      <c r="K115" s="38" t="s">
        <v>155</v>
      </c>
      <c r="L115" s="38" t="s">
        <v>155</v>
      </c>
      <c r="M115" s="38" t="s">
        <v>155</v>
      </c>
      <c r="N115" s="38" t="s">
        <v>155</v>
      </c>
      <c r="O115" s="45" t="s">
        <v>155</v>
      </c>
      <c r="P115" s="45" t="s">
        <v>155</v>
      </c>
      <c r="Q115" s="45" t="s">
        <v>155</v>
      </c>
      <c r="R115" s="45" t="s">
        <v>155</v>
      </c>
      <c r="S115" s="45" t="s">
        <v>155</v>
      </c>
      <c r="T115" s="46" t="s">
        <v>155</v>
      </c>
      <c r="U115" s="46" t="s">
        <v>155</v>
      </c>
      <c r="V115" s="46" t="s">
        <v>155</v>
      </c>
      <c r="W115" s="46" t="s">
        <v>155</v>
      </c>
      <c r="X115" s="46" t="s">
        <v>155</v>
      </c>
      <c r="Y115" s="47" t="s">
        <v>155</v>
      </c>
      <c r="Z115" s="47" t="s">
        <v>155</v>
      </c>
      <c r="AA115" s="47" t="s">
        <v>155</v>
      </c>
      <c r="AB115" s="47" t="s">
        <v>155</v>
      </c>
      <c r="AC115" s="47" t="s">
        <v>155</v>
      </c>
      <c r="AD115" s="48" t="s">
        <v>155</v>
      </c>
      <c r="AE115" s="48" t="s">
        <v>155</v>
      </c>
      <c r="AF115" s="48" t="s">
        <v>155</v>
      </c>
      <c r="AG115" s="48" t="s">
        <v>155</v>
      </c>
      <c r="AH115" s="48" t="s">
        <v>155</v>
      </c>
      <c r="AI115" s="49" t="s">
        <v>155</v>
      </c>
      <c r="AJ115" s="49" t="s">
        <v>155</v>
      </c>
      <c r="AK115" s="49" t="s">
        <v>155</v>
      </c>
      <c r="AL115" s="49" t="s">
        <v>155</v>
      </c>
      <c r="AM115" s="49" t="s">
        <v>155</v>
      </c>
      <c r="AN115" s="50" t="s">
        <v>155</v>
      </c>
    </row>
    <row r="116" spans="1:40" ht="15.75" customHeight="1" x14ac:dyDescent="0.25">
      <c r="A116" s="34">
        <v>2020</v>
      </c>
      <c r="B116" s="35">
        <v>7570</v>
      </c>
      <c r="C116" s="36" t="s">
        <v>281</v>
      </c>
      <c r="D116" s="36" t="s">
        <v>66</v>
      </c>
      <c r="E116" s="36" t="s">
        <v>154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155</v>
      </c>
      <c r="M116" s="38" t="s">
        <v>155</v>
      </c>
      <c r="N116" s="38">
        <v>287518</v>
      </c>
      <c r="O116" s="45">
        <v>15968</v>
      </c>
      <c r="P116" s="45">
        <v>6220</v>
      </c>
      <c r="Q116" s="45" t="s">
        <v>155</v>
      </c>
      <c r="R116" s="45" t="s">
        <v>155</v>
      </c>
      <c r="S116" s="45">
        <v>22188</v>
      </c>
      <c r="T116" s="46">
        <v>147</v>
      </c>
      <c r="U116" s="46">
        <v>149</v>
      </c>
      <c r="V116" s="46" t="s">
        <v>155</v>
      </c>
      <c r="W116" s="46" t="s">
        <v>155</v>
      </c>
      <c r="X116" s="46">
        <v>296</v>
      </c>
      <c r="Y116" s="47">
        <v>119</v>
      </c>
      <c r="Z116" s="47">
        <v>144</v>
      </c>
      <c r="AA116" s="47" t="s">
        <v>155</v>
      </c>
      <c r="AB116" s="47" t="s">
        <v>155</v>
      </c>
      <c r="AC116" s="47">
        <v>263</v>
      </c>
      <c r="AD116" s="48">
        <v>505.30500000000001</v>
      </c>
      <c r="AE116" s="48">
        <v>0</v>
      </c>
      <c r="AF116" s="48" t="s">
        <v>155</v>
      </c>
      <c r="AG116" s="48" t="s">
        <v>155</v>
      </c>
      <c r="AH116" s="48">
        <v>505.30500000000001</v>
      </c>
      <c r="AI116" s="49">
        <v>4254.7049999999999</v>
      </c>
      <c r="AJ116" s="49">
        <v>644.21199999999999</v>
      </c>
      <c r="AK116" s="49" t="s">
        <v>155</v>
      </c>
      <c r="AL116" s="49" t="s">
        <v>155</v>
      </c>
      <c r="AM116" s="49">
        <v>4898.9170000000004</v>
      </c>
      <c r="AN116" s="50">
        <v>1339</v>
      </c>
    </row>
    <row r="117" spans="1:40" ht="15.75" customHeight="1" x14ac:dyDescent="0.25">
      <c r="A117" s="34">
        <v>2020</v>
      </c>
      <c r="B117" s="35">
        <v>7601</v>
      </c>
      <c r="C117" s="36" t="s">
        <v>282</v>
      </c>
      <c r="D117" s="36" t="s">
        <v>116</v>
      </c>
      <c r="E117" s="36" t="s">
        <v>226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155</v>
      </c>
      <c r="N117" s="38">
        <v>17890</v>
      </c>
      <c r="O117" s="45" t="s">
        <v>155</v>
      </c>
      <c r="P117" s="45" t="s">
        <v>155</v>
      </c>
      <c r="Q117" s="45" t="s">
        <v>155</v>
      </c>
      <c r="R117" s="45" t="s">
        <v>155</v>
      </c>
      <c r="S117" s="45" t="s">
        <v>155</v>
      </c>
      <c r="T117" s="46">
        <v>18.25</v>
      </c>
      <c r="U117" s="46">
        <v>2.11</v>
      </c>
      <c r="V117" s="46">
        <v>11</v>
      </c>
      <c r="W117" s="46" t="s">
        <v>155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155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155</v>
      </c>
      <c r="AH117" s="48">
        <v>1372</v>
      </c>
      <c r="AI117" s="49" t="s">
        <v>155</v>
      </c>
      <c r="AJ117" s="49" t="s">
        <v>155</v>
      </c>
      <c r="AK117" s="49" t="s">
        <v>155</v>
      </c>
      <c r="AL117" s="49" t="s">
        <v>155</v>
      </c>
      <c r="AM117" s="49" t="s">
        <v>155</v>
      </c>
      <c r="AN117" s="50">
        <v>96</v>
      </c>
    </row>
    <row r="118" spans="1:40" ht="15.75" customHeight="1" x14ac:dyDescent="0.25">
      <c r="A118" s="34">
        <v>2020</v>
      </c>
      <c r="B118" s="35">
        <v>7634</v>
      </c>
      <c r="C118" s="36" t="s">
        <v>283</v>
      </c>
      <c r="D118" s="36" t="s">
        <v>112</v>
      </c>
      <c r="E118" s="36" t="s">
        <v>180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155</v>
      </c>
      <c r="K118" s="38">
        <v>1</v>
      </c>
      <c r="L118" s="38" t="s">
        <v>155</v>
      </c>
      <c r="M118" s="38" t="s">
        <v>155</v>
      </c>
      <c r="N118" s="38">
        <v>1</v>
      </c>
      <c r="O118" s="45" t="s">
        <v>155</v>
      </c>
      <c r="P118" s="45">
        <v>53.82</v>
      </c>
      <c r="Q118" s="45" t="s">
        <v>155</v>
      </c>
      <c r="R118" s="45" t="s">
        <v>155</v>
      </c>
      <c r="S118" s="45">
        <v>53.82</v>
      </c>
      <c r="T118" s="46" t="s">
        <v>155</v>
      </c>
      <c r="U118" s="46">
        <v>6</v>
      </c>
      <c r="V118" s="46" t="s">
        <v>155</v>
      </c>
      <c r="W118" s="46" t="s">
        <v>155</v>
      </c>
      <c r="X118" s="46">
        <v>6</v>
      </c>
      <c r="Y118" s="47" t="s">
        <v>155</v>
      </c>
      <c r="Z118" s="47">
        <v>0</v>
      </c>
      <c r="AA118" s="47" t="s">
        <v>155</v>
      </c>
      <c r="AB118" s="47" t="s">
        <v>155</v>
      </c>
      <c r="AC118" s="47">
        <v>0</v>
      </c>
      <c r="AD118" s="48" t="s">
        <v>155</v>
      </c>
      <c r="AE118" s="48" t="s">
        <v>155</v>
      </c>
      <c r="AF118" s="48" t="s">
        <v>155</v>
      </c>
      <c r="AG118" s="48" t="s">
        <v>155</v>
      </c>
      <c r="AH118" s="48" t="s">
        <v>155</v>
      </c>
      <c r="AI118" s="49" t="s">
        <v>155</v>
      </c>
      <c r="AJ118" s="49" t="s">
        <v>155</v>
      </c>
      <c r="AK118" s="49" t="s">
        <v>155</v>
      </c>
      <c r="AL118" s="49" t="s">
        <v>155</v>
      </c>
      <c r="AM118" s="49" t="s">
        <v>155</v>
      </c>
      <c r="AN118" s="50" t="s">
        <v>155</v>
      </c>
    </row>
    <row r="119" spans="1:40" ht="15.75" customHeight="1" x14ac:dyDescent="0.25">
      <c r="A119" s="34">
        <v>2020</v>
      </c>
      <c r="B119" s="35">
        <v>7752</v>
      </c>
      <c r="C119" s="36" t="s">
        <v>284</v>
      </c>
      <c r="D119" s="36" t="s">
        <v>112</v>
      </c>
      <c r="E119" s="36" t="s">
        <v>180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155</v>
      </c>
      <c r="L119" s="38" t="s">
        <v>155</v>
      </c>
      <c r="M119" s="38" t="s">
        <v>155</v>
      </c>
      <c r="N119" s="38">
        <v>1512</v>
      </c>
      <c r="O119" s="45">
        <v>55</v>
      </c>
      <c r="P119" s="45" t="s">
        <v>155</v>
      </c>
      <c r="Q119" s="45" t="s">
        <v>155</v>
      </c>
      <c r="R119" s="45" t="s">
        <v>155</v>
      </c>
      <c r="S119" s="45">
        <v>55</v>
      </c>
      <c r="T119" s="46">
        <v>2.65</v>
      </c>
      <c r="U119" s="46" t="s">
        <v>155</v>
      </c>
      <c r="V119" s="46" t="s">
        <v>155</v>
      </c>
      <c r="W119" s="46" t="s">
        <v>155</v>
      </c>
      <c r="X119" s="46">
        <v>2.65</v>
      </c>
      <c r="Y119" s="47">
        <v>2.5</v>
      </c>
      <c r="Z119" s="47" t="s">
        <v>155</v>
      </c>
      <c r="AA119" s="47" t="s">
        <v>155</v>
      </c>
      <c r="AB119" s="47" t="s">
        <v>155</v>
      </c>
      <c r="AC119" s="47">
        <v>2.5</v>
      </c>
      <c r="AD119" s="48">
        <v>97.18</v>
      </c>
      <c r="AE119" s="48" t="s">
        <v>155</v>
      </c>
      <c r="AF119" s="48" t="s">
        <v>155</v>
      </c>
      <c r="AG119" s="48" t="s">
        <v>155</v>
      </c>
      <c r="AH119" s="48">
        <v>97.18</v>
      </c>
      <c r="AI119" s="49" t="s">
        <v>155</v>
      </c>
      <c r="AJ119" s="49" t="s">
        <v>155</v>
      </c>
      <c r="AK119" s="49" t="s">
        <v>155</v>
      </c>
      <c r="AL119" s="49" t="s">
        <v>155</v>
      </c>
      <c r="AM119" s="49" t="s">
        <v>155</v>
      </c>
      <c r="AN119" s="50" t="s">
        <v>155</v>
      </c>
    </row>
    <row r="120" spans="1:40" ht="15.75" customHeight="1" x14ac:dyDescent="0.25">
      <c r="A120" s="34">
        <v>2020</v>
      </c>
      <c r="B120" s="35">
        <v>7785</v>
      </c>
      <c r="C120" s="36" t="s">
        <v>285</v>
      </c>
      <c r="D120" s="36" t="s">
        <v>28</v>
      </c>
      <c r="E120" s="36" t="s">
        <v>158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155</v>
      </c>
      <c r="L120" s="38" t="s">
        <v>155</v>
      </c>
      <c r="M120" s="38" t="s">
        <v>155</v>
      </c>
      <c r="N120" s="38">
        <v>749</v>
      </c>
      <c r="O120" s="45">
        <v>0.65200000000000002</v>
      </c>
      <c r="P120" s="45" t="s">
        <v>155</v>
      </c>
      <c r="Q120" s="45" t="s">
        <v>155</v>
      </c>
      <c r="R120" s="45" t="s">
        <v>155</v>
      </c>
      <c r="S120" s="45">
        <v>0.65200000000000002</v>
      </c>
      <c r="T120" s="46">
        <v>0.89900000000000002</v>
      </c>
      <c r="U120" s="46" t="s">
        <v>155</v>
      </c>
      <c r="V120" s="46" t="s">
        <v>155</v>
      </c>
      <c r="W120" s="46" t="s">
        <v>155</v>
      </c>
      <c r="X120" s="46">
        <v>0.89900000000000002</v>
      </c>
      <c r="Y120" s="47">
        <v>0.89900000000000002</v>
      </c>
      <c r="Z120" s="47" t="s">
        <v>155</v>
      </c>
      <c r="AA120" s="47" t="s">
        <v>155</v>
      </c>
      <c r="AB120" s="47" t="s">
        <v>155</v>
      </c>
      <c r="AC120" s="47">
        <v>0.89900000000000002</v>
      </c>
      <c r="AD120" s="48">
        <v>0.495</v>
      </c>
      <c r="AE120" s="48" t="s">
        <v>155</v>
      </c>
      <c r="AF120" s="48" t="s">
        <v>155</v>
      </c>
      <c r="AG120" s="48" t="s">
        <v>155</v>
      </c>
      <c r="AH120" s="48">
        <v>0.495</v>
      </c>
      <c r="AI120" s="49">
        <v>1.07</v>
      </c>
      <c r="AJ120" s="49" t="s">
        <v>155</v>
      </c>
      <c r="AK120" s="49" t="s">
        <v>155</v>
      </c>
      <c r="AL120" s="49" t="s">
        <v>155</v>
      </c>
      <c r="AM120" s="49">
        <v>1.07</v>
      </c>
      <c r="AN120" s="50" t="s">
        <v>155</v>
      </c>
    </row>
    <row r="121" spans="1:40" ht="15.75" customHeight="1" x14ac:dyDescent="0.25">
      <c r="A121" s="34">
        <v>2020</v>
      </c>
      <c r="B121" s="35">
        <v>7977</v>
      </c>
      <c r="C121" s="36" t="s">
        <v>286</v>
      </c>
      <c r="D121" s="36" t="s">
        <v>96</v>
      </c>
      <c r="E121" s="36" t="s">
        <v>167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155</v>
      </c>
      <c r="K121" s="38">
        <v>4</v>
      </c>
      <c r="L121" s="38" t="s">
        <v>155</v>
      </c>
      <c r="M121" s="38" t="s">
        <v>155</v>
      </c>
      <c r="N121" s="38">
        <v>4</v>
      </c>
      <c r="O121" s="45" t="s">
        <v>155</v>
      </c>
      <c r="P121" s="45">
        <v>4.9240000000000004</v>
      </c>
      <c r="Q121" s="45" t="s">
        <v>155</v>
      </c>
      <c r="R121" s="45" t="s">
        <v>155</v>
      </c>
      <c r="S121" s="45">
        <v>4.9240000000000004</v>
      </c>
      <c r="T121" s="46" t="s">
        <v>155</v>
      </c>
      <c r="U121" s="46">
        <v>4.9240000000000004</v>
      </c>
      <c r="V121" s="46" t="s">
        <v>155</v>
      </c>
      <c r="W121" s="46" t="s">
        <v>155</v>
      </c>
      <c r="X121" s="46">
        <v>4.9240000000000004</v>
      </c>
      <c r="Y121" s="47" t="s">
        <v>155</v>
      </c>
      <c r="Z121" s="47">
        <v>4.9240000000000004</v>
      </c>
      <c r="AA121" s="47" t="s">
        <v>155</v>
      </c>
      <c r="AB121" s="47" t="s">
        <v>155</v>
      </c>
      <c r="AC121" s="47">
        <v>4.9240000000000004</v>
      </c>
      <c r="AD121" s="48" t="s">
        <v>155</v>
      </c>
      <c r="AE121" s="48" t="s">
        <v>155</v>
      </c>
      <c r="AF121" s="48" t="s">
        <v>155</v>
      </c>
      <c r="AG121" s="48" t="s">
        <v>155</v>
      </c>
      <c r="AH121" s="48" t="s">
        <v>155</v>
      </c>
      <c r="AI121" s="49" t="s">
        <v>155</v>
      </c>
      <c r="AJ121" s="49" t="s">
        <v>155</v>
      </c>
      <c r="AK121" s="49" t="s">
        <v>155</v>
      </c>
      <c r="AL121" s="49" t="s">
        <v>155</v>
      </c>
      <c r="AM121" s="49" t="s">
        <v>155</v>
      </c>
      <c r="AN121" s="50" t="s">
        <v>155</v>
      </c>
    </row>
    <row r="122" spans="1:40" ht="15.75" customHeight="1" x14ac:dyDescent="0.25">
      <c r="A122" s="34">
        <v>2020</v>
      </c>
      <c r="B122" s="35">
        <v>8179</v>
      </c>
      <c r="C122" s="36" t="s">
        <v>287</v>
      </c>
      <c r="D122" s="36" t="s">
        <v>41</v>
      </c>
      <c r="E122" s="36" t="s">
        <v>154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155</v>
      </c>
      <c r="L122" s="38" t="s">
        <v>155</v>
      </c>
      <c r="M122" s="38" t="s">
        <v>155</v>
      </c>
      <c r="N122" s="38">
        <v>2627</v>
      </c>
      <c r="O122" s="45" t="s">
        <v>155</v>
      </c>
      <c r="P122" s="45" t="s">
        <v>155</v>
      </c>
      <c r="Q122" s="45" t="s">
        <v>155</v>
      </c>
      <c r="R122" s="45" t="s">
        <v>155</v>
      </c>
      <c r="S122" s="45" t="s">
        <v>155</v>
      </c>
      <c r="T122" s="46">
        <v>1</v>
      </c>
      <c r="U122" s="46" t="s">
        <v>155</v>
      </c>
      <c r="V122" s="46" t="s">
        <v>155</v>
      </c>
      <c r="W122" s="46" t="s">
        <v>155</v>
      </c>
      <c r="X122" s="46">
        <v>1</v>
      </c>
      <c r="Y122" s="47" t="s">
        <v>155</v>
      </c>
      <c r="Z122" s="47" t="s">
        <v>155</v>
      </c>
      <c r="AA122" s="47" t="s">
        <v>155</v>
      </c>
      <c r="AB122" s="47" t="s">
        <v>155</v>
      </c>
      <c r="AC122" s="47" t="s">
        <v>155</v>
      </c>
      <c r="AD122" s="48" t="s">
        <v>155</v>
      </c>
      <c r="AE122" s="48" t="s">
        <v>155</v>
      </c>
      <c r="AF122" s="48" t="s">
        <v>155</v>
      </c>
      <c r="AG122" s="48" t="s">
        <v>155</v>
      </c>
      <c r="AH122" s="48" t="s">
        <v>155</v>
      </c>
      <c r="AI122" s="49" t="s">
        <v>155</v>
      </c>
      <c r="AJ122" s="49" t="s">
        <v>155</v>
      </c>
      <c r="AK122" s="49" t="s">
        <v>155</v>
      </c>
      <c r="AL122" s="49" t="s">
        <v>155</v>
      </c>
      <c r="AM122" s="49" t="s">
        <v>155</v>
      </c>
      <c r="AN122" s="50" t="s">
        <v>155</v>
      </c>
    </row>
    <row r="123" spans="1:40" ht="15.75" customHeight="1" x14ac:dyDescent="0.25">
      <c r="A123" s="34">
        <v>2020</v>
      </c>
      <c r="B123" s="35">
        <v>8210</v>
      </c>
      <c r="C123" s="36" t="s">
        <v>288</v>
      </c>
      <c r="D123" s="36" t="s">
        <v>31</v>
      </c>
      <c r="E123" s="36" t="s">
        <v>160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155</v>
      </c>
      <c r="M123" s="38" t="s">
        <v>155</v>
      </c>
      <c r="N123" s="38">
        <v>37243</v>
      </c>
      <c r="O123" s="45">
        <v>162</v>
      </c>
      <c r="P123" s="45">
        <v>41</v>
      </c>
      <c r="Q123" s="45" t="s">
        <v>155</v>
      </c>
      <c r="R123" s="45" t="s">
        <v>155</v>
      </c>
      <c r="S123" s="45">
        <v>203</v>
      </c>
      <c r="T123" s="46">
        <v>2.4</v>
      </c>
      <c r="U123" s="46">
        <v>0.6</v>
      </c>
      <c r="V123" s="46" t="s">
        <v>155</v>
      </c>
      <c r="W123" s="46" t="s">
        <v>155</v>
      </c>
      <c r="X123" s="46">
        <v>3</v>
      </c>
      <c r="Y123" s="47">
        <v>2.4</v>
      </c>
      <c r="Z123" s="47">
        <v>0.6</v>
      </c>
      <c r="AA123" s="47" t="s">
        <v>155</v>
      </c>
      <c r="AB123" s="47" t="s">
        <v>155</v>
      </c>
      <c r="AC123" s="47">
        <v>3</v>
      </c>
      <c r="AD123" s="48" t="s">
        <v>155</v>
      </c>
      <c r="AE123" s="48" t="s">
        <v>155</v>
      </c>
      <c r="AF123" s="48" t="s">
        <v>155</v>
      </c>
      <c r="AG123" s="48" t="s">
        <v>155</v>
      </c>
      <c r="AH123" s="48" t="s">
        <v>155</v>
      </c>
      <c r="AI123" s="49" t="s">
        <v>155</v>
      </c>
      <c r="AJ123" s="49" t="s">
        <v>155</v>
      </c>
      <c r="AK123" s="49" t="s">
        <v>155</v>
      </c>
      <c r="AL123" s="49" t="s">
        <v>155</v>
      </c>
      <c r="AM123" s="49" t="s">
        <v>155</v>
      </c>
      <c r="AN123" s="50" t="s">
        <v>155</v>
      </c>
    </row>
    <row r="124" spans="1:40" ht="15.75" customHeight="1" x14ac:dyDescent="0.25">
      <c r="A124" s="34">
        <v>2020</v>
      </c>
      <c r="B124" s="35">
        <v>8319</v>
      </c>
      <c r="C124" s="36" t="s">
        <v>289</v>
      </c>
      <c r="D124" s="36" t="s">
        <v>44</v>
      </c>
      <c r="E124" s="36" t="s">
        <v>154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155</v>
      </c>
      <c r="P124" s="45" t="s">
        <v>155</v>
      </c>
      <c r="Q124" s="45" t="s">
        <v>155</v>
      </c>
      <c r="R124" s="45" t="s">
        <v>155</v>
      </c>
      <c r="S124" s="45" t="s">
        <v>155</v>
      </c>
      <c r="T124" s="46">
        <v>1.173</v>
      </c>
      <c r="U124" s="46">
        <v>8.8569999999999993</v>
      </c>
      <c r="V124" s="46">
        <v>7.9000000000000001E-2</v>
      </c>
      <c r="W124" s="46" t="s">
        <v>155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155</v>
      </c>
      <c r="AE124" s="48" t="s">
        <v>155</v>
      </c>
      <c r="AF124" s="48" t="s">
        <v>155</v>
      </c>
      <c r="AG124" s="48" t="s">
        <v>155</v>
      </c>
      <c r="AH124" s="48" t="s">
        <v>155</v>
      </c>
      <c r="AI124" s="49">
        <v>80</v>
      </c>
      <c r="AJ124" s="49">
        <v>3</v>
      </c>
      <c r="AK124" s="49">
        <v>1</v>
      </c>
      <c r="AL124" s="49" t="s">
        <v>155</v>
      </c>
      <c r="AM124" s="49">
        <v>84</v>
      </c>
      <c r="AN124" s="50">
        <v>0</v>
      </c>
    </row>
    <row r="125" spans="1:40" ht="15.75" customHeight="1" x14ac:dyDescent="0.25">
      <c r="A125" s="34">
        <v>2020</v>
      </c>
      <c r="B125" s="35">
        <v>8333</v>
      </c>
      <c r="C125" s="36" t="s">
        <v>290</v>
      </c>
      <c r="D125" s="36" t="s">
        <v>92</v>
      </c>
      <c r="E125" s="36" t="s">
        <v>195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155</v>
      </c>
      <c r="L125" s="38" t="s">
        <v>155</v>
      </c>
      <c r="M125" s="38" t="s">
        <v>155</v>
      </c>
      <c r="N125" s="38">
        <v>414</v>
      </c>
      <c r="O125" s="45">
        <v>1</v>
      </c>
      <c r="P125" s="45" t="s">
        <v>155</v>
      </c>
      <c r="Q125" s="45" t="s">
        <v>155</v>
      </c>
      <c r="R125" s="45" t="s">
        <v>155</v>
      </c>
      <c r="S125" s="45">
        <v>1</v>
      </c>
      <c r="T125" s="46">
        <v>1</v>
      </c>
      <c r="U125" s="46" t="s">
        <v>155</v>
      </c>
      <c r="V125" s="46" t="s">
        <v>155</v>
      </c>
      <c r="W125" s="46" t="s">
        <v>155</v>
      </c>
      <c r="X125" s="46">
        <v>1</v>
      </c>
      <c r="Y125" s="47">
        <v>1</v>
      </c>
      <c r="Z125" s="47" t="s">
        <v>155</v>
      </c>
      <c r="AA125" s="47" t="s">
        <v>155</v>
      </c>
      <c r="AB125" s="47" t="s">
        <v>155</v>
      </c>
      <c r="AC125" s="47">
        <v>1</v>
      </c>
      <c r="AD125" s="48">
        <v>36</v>
      </c>
      <c r="AE125" s="48" t="s">
        <v>155</v>
      </c>
      <c r="AF125" s="48" t="s">
        <v>155</v>
      </c>
      <c r="AG125" s="48" t="s">
        <v>155</v>
      </c>
      <c r="AH125" s="48">
        <v>36</v>
      </c>
      <c r="AI125" s="49" t="s">
        <v>155</v>
      </c>
      <c r="AJ125" s="49" t="s">
        <v>155</v>
      </c>
      <c r="AK125" s="49" t="s">
        <v>155</v>
      </c>
      <c r="AL125" s="49" t="s">
        <v>155</v>
      </c>
      <c r="AM125" s="49" t="s">
        <v>155</v>
      </c>
      <c r="AN125" s="50" t="s">
        <v>155</v>
      </c>
    </row>
    <row r="126" spans="1:40" ht="15.75" customHeight="1" x14ac:dyDescent="0.25">
      <c r="A126" s="34">
        <v>2020</v>
      </c>
      <c r="B126" s="35">
        <v>8570</v>
      </c>
      <c r="C126" s="36" t="s">
        <v>291</v>
      </c>
      <c r="D126" s="36" t="s">
        <v>20</v>
      </c>
      <c r="E126" s="36" t="s">
        <v>292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155</v>
      </c>
      <c r="K126" s="38" t="s">
        <v>155</v>
      </c>
      <c r="L126" s="38">
        <v>368</v>
      </c>
      <c r="M126" s="38" t="s">
        <v>155</v>
      </c>
      <c r="N126" s="38">
        <v>368</v>
      </c>
      <c r="O126" s="45" t="s">
        <v>155</v>
      </c>
      <c r="P126" s="45" t="s">
        <v>155</v>
      </c>
      <c r="Q126" s="45" t="s">
        <v>155</v>
      </c>
      <c r="R126" s="45" t="s">
        <v>155</v>
      </c>
      <c r="S126" s="45" t="s">
        <v>155</v>
      </c>
      <c r="T126" s="46" t="s">
        <v>155</v>
      </c>
      <c r="U126" s="46" t="s">
        <v>155</v>
      </c>
      <c r="V126" s="46">
        <v>31.827000000000002</v>
      </c>
      <c r="W126" s="46" t="s">
        <v>155</v>
      </c>
      <c r="X126" s="46">
        <v>31.827000000000002</v>
      </c>
      <c r="Y126" s="47" t="s">
        <v>155</v>
      </c>
      <c r="Z126" s="47" t="s">
        <v>155</v>
      </c>
      <c r="AA126" s="47" t="s">
        <v>155</v>
      </c>
      <c r="AB126" s="47" t="s">
        <v>155</v>
      </c>
      <c r="AC126" s="47" t="s">
        <v>155</v>
      </c>
      <c r="AD126" s="48" t="s">
        <v>155</v>
      </c>
      <c r="AE126" s="48" t="s">
        <v>155</v>
      </c>
      <c r="AF126" s="48">
        <v>388.26</v>
      </c>
      <c r="AG126" s="48" t="s">
        <v>155</v>
      </c>
      <c r="AH126" s="48">
        <v>388.26</v>
      </c>
      <c r="AI126" s="49" t="s">
        <v>155</v>
      </c>
      <c r="AJ126" s="49" t="s">
        <v>155</v>
      </c>
      <c r="AK126" s="49">
        <v>28.324000000000002</v>
      </c>
      <c r="AL126" s="49" t="s">
        <v>155</v>
      </c>
      <c r="AM126" s="49">
        <v>28.324000000000002</v>
      </c>
      <c r="AN126" s="50" t="s">
        <v>155</v>
      </c>
    </row>
    <row r="127" spans="1:40" ht="15.75" customHeight="1" x14ac:dyDescent="0.25">
      <c r="A127" s="34">
        <v>2020</v>
      </c>
      <c r="B127" s="35">
        <v>8570</v>
      </c>
      <c r="C127" s="36" t="s">
        <v>291</v>
      </c>
      <c r="D127" s="36" t="s">
        <v>77</v>
      </c>
      <c r="E127" s="36" t="s">
        <v>292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155</v>
      </c>
      <c r="K127" s="38" t="s">
        <v>155</v>
      </c>
      <c r="L127" s="38">
        <v>190</v>
      </c>
      <c r="M127" s="38" t="s">
        <v>155</v>
      </c>
      <c r="N127" s="38">
        <v>190</v>
      </c>
      <c r="O127" s="45" t="s">
        <v>155</v>
      </c>
      <c r="P127" s="45" t="s">
        <v>155</v>
      </c>
      <c r="Q127" s="45" t="s">
        <v>155</v>
      </c>
      <c r="R127" s="45" t="s">
        <v>155</v>
      </c>
      <c r="S127" s="45" t="s">
        <v>155</v>
      </c>
      <c r="T127" s="46" t="s">
        <v>155</v>
      </c>
      <c r="U127" s="46" t="s">
        <v>155</v>
      </c>
      <c r="V127" s="46">
        <v>45.869</v>
      </c>
      <c r="W127" s="46" t="s">
        <v>155</v>
      </c>
      <c r="X127" s="46">
        <v>45.869</v>
      </c>
      <c r="Y127" s="47" t="s">
        <v>155</v>
      </c>
      <c r="Z127" s="47" t="s">
        <v>155</v>
      </c>
      <c r="AA127" s="47" t="s">
        <v>155</v>
      </c>
      <c r="AB127" s="47" t="s">
        <v>155</v>
      </c>
      <c r="AC127" s="47" t="s">
        <v>155</v>
      </c>
      <c r="AD127" s="48" t="s">
        <v>155</v>
      </c>
      <c r="AE127" s="48" t="s">
        <v>155</v>
      </c>
      <c r="AF127" s="48">
        <v>171.68100000000001</v>
      </c>
      <c r="AG127" s="48" t="s">
        <v>155</v>
      </c>
      <c r="AH127" s="48">
        <v>171.68100000000001</v>
      </c>
      <c r="AI127" s="49" t="s">
        <v>155</v>
      </c>
      <c r="AJ127" s="49" t="s">
        <v>155</v>
      </c>
      <c r="AK127" s="49">
        <v>12.749000000000001</v>
      </c>
      <c r="AL127" s="49" t="s">
        <v>155</v>
      </c>
      <c r="AM127" s="49">
        <v>12.749000000000001</v>
      </c>
      <c r="AN127" s="50" t="s">
        <v>155</v>
      </c>
    </row>
    <row r="128" spans="1:40" ht="15.75" customHeight="1" x14ac:dyDescent="0.25">
      <c r="A128" s="34">
        <v>2020</v>
      </c>
      <c r="B128" s="35">
        <v>8773</v>
      </c>
      <c r="C128" s="36" t="s">
        <v>293</v>
      </c>
      <c r="D128" s="36" t="s">
        <v>20</v>
      </c>
      <c r="E128" s="36" t="s">
        <v>221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155</v>
      </c>
      <c r="M128" s="38" t="s">
        <v>155</v>
      </c>
      <c r="N128" s="38">
        <v>1247</v>
      </c>
      <c r="O128" s="45">
        <v>7.3710000000000004</v>
      </c>
      <c r="P128" s="45">
        <v>67.88</v>
      </c>
      <c r="Q128" s="45" t="s">
        <v>155</v>
      </c>
      <c r="R128" s="45" t="s">
        <v>155</v>
      </c>
      <c r="S128" s="45">
        <v>75.251000000000005</v>
      </c>
      <c r="T128" s="46">
        <v>1.988</v>
      </c>
      <c r="U128" s="46">
        <v>17.896000000000001</v>
      </c>
      <c r="V128" s="46" t="s">
        <v>155</v>
      </c>
      <c r="W128" s="46" t="s">
        <v>155</v>
      </c>
      <c r="X128" s="46">
        <v>19.884</v>
      </c>
      <c r="Y128" s="47">
        <v>0.63700000000000001</v>
      </c>
      <c r="Z128" s="47">
        <v>5.7320000000000002</v>
      </c>
      <c r="AA128" s="47" t="s">
        <v>155</v>
      </c>
      <c r="AB128" s="47" t="s">
        <v>155</v>
      </c>
      <c r="AC128" s="47">
        <v>6.3689999999999998</v>
      </c>
      <c r="AD128" s="48">
        <v>4.8460000000000001</v>
      </c>
      <c r="AE128" s="48">
        <v>47.209000000000003</v>
      </c>
      <c r="AF128" s="48" t="s">
        <v>155</v>
      </c>
      <c r="AG128" s="48" t="s">
        <v>155</v>
      </c>
      <c r="AH128" s="48">
        <v>52.055</v>
      </c>
      <c r="AI128" s="49">
        <v>0</v>
      </c>
      <c r="AJ128" s="49">
        <v>0</v>
      </c>
      <c r="AK128" s="49" t="s">
        <v>155</v>
      </c>
      <c r="AL128" s="49" t="s">
        <v>155</v>
      </c>
      <c r="AM128" s="49">
        <v>0</v>
      </c>
      <c r="AN128" s="50" t="s">
        <v>155</v>
      </c>
    </row>
    <row r="129" spans="1:40" ht="15.75" customHeight="1" x14ac:dyDescent="0.25">
      <c r="A129" s="34">
        <v>2020</v>
      </c>
      <c r="B129" s="35">
        <v>8786</v>
      </c>
      <c r="C129" s="36" t="s">
        <v>294</v>
      </c>
      <c r="D129" s="36" t="s">
        <v>106</v>
      </c>
      <c r="E129" s="36" t="s">
        <v>106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155</v>
      </c>
      <c r="L129" s="38" t="s">
        <v>155</v>
      </c>
      <c r="M129" s="38" t="s">
        <v>155</v>
      </c>
      <c r="N129" s="38">
        <v>5830</v>
      </c>
      <c r="O129" s="45">
        <v>0</v>
      </c>
      <c r="P129" s="45" t="s">
        <v>155</v>
      </c>
      <c r="Q129" s="45" t="s">
        <v>155</v>
      </c>
      <c r="R129" s="45" t="s">
        <v>155</v>
      </c>
      <c r="S129" s="45">
        <v>0</v>
      </c>
      <c r="T129" s="46">
        <v>2.33</v>
      </c>
      <c r="U129" s="46" t="s">
        <v>155</v>
      </c>
      <c r="V129" s="46" t="s">
        <v>155</v>
      </c>
      <c r="W129" s="46" t="s">
        <v>155</v>
      </c>
      <c r="X129" s="46">
        <v>2.33</v>
      </c>
      <c r="Y129" s="47">
        <v>2.33</v>
      </c>
      <c r="Z129" s="47" t="s">
        <v>155</v>
      </c>
      <c r="AA129" s="47" t="s">
        <v>155</v>
      </c>
      <c r="AB129" s="47" t="s">
        <v>155</v>
      </c>
      <c r="AC129" s="47">
        <v>2.33</v>
      </c>
      <c r="AD129" s="48">
        <v>22.17</v>
      </c>
      <c r="AE129" s="48" t="s">
        <v>155</v>
      </c>
      <c r="AF129" s="48" t="s">
        <v>155</v>
      </c>
      <c r="AG129" s="48" t="s">
        <v>155</v>
      </c>
      <c r="AH129" s="48">
        <v>22.17</v>
      </c>
      <c r="AI129" s="49">
        <v>37.1</v>
      </c>
      <c r="AJ129" s="49" t="s">
        <v>155</v>
      </c>
      <c r="AK129" s="49" t="s">
        <v>155</v>
      </c>
      <c r="AL129" s="49" t="s">
        <v>155</v>
      </c>
      <c r="AM129" s="49">
        <v>37.1</v>
      </c>
      <c r="AN129" s="50">
        <v>202</v>
      </c>
    </row>
    <row r="130" spans="1:40" ht="15.75" customHeight="1" x14ac:dyDescent="0.25">
      <c r="A130" s="34">
        <v>2020</v>
      </c>
      <c r="B130" s="35">
        <v>8901</v>
      </c>
      <c r="C130" s="36" t="s">
        <v>295</v>
      </c>
      <c r="D130" s="36" t="s">
        <v>112</v>
      </c>
      <c r="E130" s="36" t="s">
        <v>180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155</v>
      </c>
      <c r="M130" s="38" t="s">
        <v>155</v>
      </c>
      <c r="N130" s="38">
        <v>19092</v>
      </c>
      <c r="O130" s="45">
        <v>123.312</v>
      </c>
      <c r="P130" s="45">
        <v>596.95899999999995</v>
      </c>
      <c r="Q130" s="45" t="s">
        <v>155</v>
      </c>
      <c r="R130" s="45" t="s">
        <v>155</v>
      </c>
      <c r="S130" s="45">
        <v>720.27099999999996</v>
      </c>
      <c r="T130" s="46">
        <v>20.552</v>
      </c>
      <c r="U130" s="46">
        <v>99.492999999999995</v>
      </c>
      <c r="V130" s="46" t="s">
        <v>155</v>
      </c>
      <c r="W130" s="46" t="s">
        <v>155</v>
      </c>
      <c r="X130" s="46">
        <v>120.045</v>
      </c>
      <c r="Y130" s="47">
        <v>20.552</v>
      </c>
      <c r="Z130" s="47">
        <v>99.492999999999995</v>
      </c>
      <c r="AA130" s="47" t="s">
        <v>155</v>
      </c>
      <c r="AB130" s="47" t="s">
        <v>155</v>
      </c>
      <c r="AC130" s="47">
        <v>120.045</v>
      </c>
      <c r="AD130" s="48">
        <v>835.75099999999998</v>
      </c>
      <c r="AE130" s="48">
        <v>3291.9079999999999</v>
      </c>
      <c r="AF130" s="48" t="s">
        <v>155</v>
      </c>
      <c r="AG130" s="48" t="s">
        <v>155</v>
      </c>
      <c r="AH130" s="48">
        <v>4127.6589999999997</v>
      </c>
      <c r="AI130" s="49">
        <v>123.226</v>
      </c>
      <c r="AJ130" s="49">
        <v>273.33100000000002</v>
      </c>
      <c r="AK130" s="49" t="s">
        <v>155</v>
      </c>
      <c r="AL130" s="49" t="s">
        <v>155</v>
      </c>
      <c r="AM130" s="49">
        <v>396.55700000000002</v>
      </c>
      <c r="AN130" s="50" t="s">
        <v>155</v>
      </c>
    </row>
    <row r="131" spans="1:40" ht="15.75" customHeight="1" x14ac:dyDescent="0.25">
      <c r="A131" s="34">
        <v>2020</v>
      </c>
      <c r="B131" s="35">
        <v>9187</v>
      </c>
      <c r="C131" s="36" t="s">
        <v>296</v>
      </c>
      <c r="D131" s="36" t="s">
        <v>37</v>
      </c>
      <c r="E131" s="36" t="s">
        <v>297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155</v>
      </c>
      <c r="K131" s="38" t="s">
        <v>155</v>
      </c>
      <c r="L131" s="38" t="s">
        <v>155</v>
      </c>
      <c r="M131" s="38" t="s">
        <v>155</v>
      </c>
      <c r="N131" s="38" t="s">
        <v>155</v>
      </c>
      <c r="O131" s="45" t="s">
        <v>155</v>
      </c>
      <c r="P131" s="45" t="s">
        <v>155</v>
      </c>
      <c r="Q131" s="45" t="s">
        <v>155</v>
      </c>
      <c r="R131" s="45" t="s">
        <v>155</v>
      </c>
      <c r="S131" s="45" t="s">
        <v>155</v>
      </c>
      <c r="T131" s="46" t="s">
        <v>155</v>
      </c>
      <c r="U131" s="46" t="s">
        <v>155</v>
      </c>
      <c r="V131" s="46" t="s">
        <v>155</v>
      </c>
      <c r="W131" s="46" t="s">
        <v>155</v>
      </c>
      <c r="X131" s="46" t="s">
        <v>155</v>
      </c>
      <c r="Y131" s="47" t="s">
        <v>155</v>
      </c>
      <c r="Z131" s="47" t="s">
        <v>155</v>
      </c>
      <c r="AA131" s="47" t="s">
        <v>155</v>
      </c>
      <c r="AB131" s="47" t="s">
        <v>155</v>
      </c>
      <c r="AC131" s="47" t="s">
        <v>155</v>
      </c>
      <c r="AD131" s="48" t="s">
        <v>155</v>
      </c>
      <c r="AE131" s="48" t="s">
        <v>155</v>
      </c>
      <c r="AF131" s="48" t="s">
        <v>155</v>
      </c>
      <c r="AG131" s="48" t="s">
        <v>155</v>
      </c>
      <c r="AH131" s="48" t="s">
        <v>155</v>
      </c>
      <c r="AI131" s="49" t="s">
        <v>155</v>
      </c>
      <c r="AJ131" s="49" t="s">
        <v>155</v>
      </c>
      <c r="AK131" s="49" t="s">
        <v>155</v>
      </c>
      <c r="AL131" s="49" t="s">
        <v>155</v>
      </c>
      <c r="AM131" s="49" t="s">
        <v>155</v>
      </c>
      <c r="AN131" s="50" t="s">
        <v>155</v>
      </c>
    </row>
    <row r="132" spans="1:40" ht="15.75" customHeight="1" x14ac:dyDescent="0.25">
      <c r="A132" s="34">
        <v>2020</v>
      </c>
      <c r="B132" s="35">
        <v>9191</v>
      </c>
      <c r="C132" s="36" t="s">
        <v>298</v>
      </c>
      <c r="D132" s="36" t="s">
        <v>37</v>
      </c>
      <c r="E132" s="36" t="s">
        <v>299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25">
      <c r="A133" s="34">
        <v>2020</v>
      </c>
      <c r="B133" s="35">
        <v>9191</v>
      </c>
      <c r="C133" s="36" t="s">
        <v>298</v>
      </c>
      <c r="D133" s="36" t="s">
        <v>100</v>
      </c>
      <c r="E133" s="36" t="s">
        <v>299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25">
      <c r="A134" s="34">
        <v>2020</v>
      </c>
      <c r="B134" s="35">
        <v>9231</v>
      </c>
      <c r="C134" s="36" t="s">
        <v>300</v>
      </c>
      <c r="D134" s="36" t="s">
        <v>71</v>
      </c>
      <c r="E134" s="36" t="s">
        <v>175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155</v>
      </c>
      <c r="K134" s="38">
        <v>2</v>
      </c>
      <c r="L134" s="38" t="s">
        <v>155</v>
      </c>
      <c r="M134" s="38" t="s">
        <v>155</v>
      </c>
      <c r="N134" s="38">
        <v>2</v>
      </c>
      <c r="O134" s="45" t="s">
        <v>155</v>
      </c>
      <c r="P134" s="45">
        <v>0</v>
      </c>
      <c r="Q134" s="45" t="s">
        <v>155</v>
      </c>
      <c r="R134" s="45" t="s">
        <v>155</v>
      </c>
      <c r="S134" s="45">
        <v>0</v>
      </c>
      <c r="T134" s="46" t="s">
        <v>155</v>
      </c>
      <c r="U134" s="46">
        <v>2</v>
      </c>
      <c r="V134" s="46" t="s">
        <v>155</v>
      </c>
      <c r="W134" s="46" t="s">
        <v>155</v>
      </c>
      <c r="X134" s="46">
        <v>2</v>
      </c>
      <c r="Y134" s="47" t="s">
        <v>155</v>
      </c>
      <c r="Z134" s="47" t="s">
        <v>155</v>
      </c>
      <c r="AA134" s="47" t="s">
        <v>155</v>
      </c>
      <c r="AB134" s="47" t="s">
        <v>155</v>
      </c>
      <c r="AC134" s="47" t="s">
        <v>155</v>
      </c>
      <c r="AD134" s="48" t="s">
        <v>155</v>
      </c>
      <c r="AE134" s="48" t="s">
        <v>155</v>
      </c>
      <c r="AF134" s="48" t="s">
        <v>155</v>
      </c>
      <c r="AG134" s="48" t="s">
        <v>155</v>
      </c>
      <c r="AH134" s="48" t="s">
        <v>155</v>
      </c>
      <c r="AI134" s="49" t="s">
        <v>155</v>
      </c>
      <c r="AJ134" s="49" t="s">
        <v>155</v>
      </c>
      <c r="AK134" s="49" t="s">
        <v>155</v>
      </c>
      <c r="AL134" s="49" t="s">
        <v>155</v>
      </c>
      <c r="AM134" s="49" t="s">
        <v>155</v>
      </c>
      <c r="AN134" s="50" t="s">
        <v>155</v>
      </c>
    </row>
    <row r="135" spans="1:40" ht="15.75" customHeight="1" x14ac:dyDescent="0.25">
      <c r="A135" s="34">
        <v>2020</v>
      </c>
      <c r="B135" s="35">
        <v>9267</v>
      </c>
      <c r="C135" s="36" t="s">
        <v>301</v>
      </c>
      <c r="D135" s="36" t="s">
        <v>41</v>
      </c>
      <c r="E135" s="36" t="s">
        <v>154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155</v>
      </c>
      <c r="L135" s="38" t="s">
        <v>155</v>
      </c>
      <c r="M135" s="38" t="s">
        <v>155</v>
      </c>
      <c r="N135" s="38">
        <v>17264</v>
      </c>
      <c r="O135" s="45" t="s">
        <v>155</v>
      </c>
      <c r="P135" s="45" t="s">
        <v>155</v>
      </c>
      <c r="Q135" s="45" t="s">
        <v>155</v>
      </c>
      <c r="R135" s="45" t="s">
        <v>155</v>
      </c>
      <c r="S135" s="45" t="s">
        <v>155</v>
      </c>
      <c r="T135" s="46">
        <v>5.2649999999999997</v>
      </c>
      <c r="U135" s="46" t="s">
        <v>155</v>
      </c>
      <c r="V135" s="46" t="s">
        <v>155</v>
      </c>
      <c r="W135" s="46" t="s">
        <v>155</v>
      </c>
      <c r="X135" s="46">
        <v>5.2649999999999997</v>
      </c>
      <c r="Y135" s="47">
        <v>5.2649999999999997</v>
      </c>
      <c r="Z135" s="47" t="s">
        <v>155</v>
      </c>
      <c r="AA135" s="47" t="s">
        <v>155</v>
      </c>
      <c r="AB135" s="47" t="s">
        <v>155</v>
      </c>
      <c r="AC135" s="47">
        <v>5.2649999999999997</v>
      </c>
      <c r="AD135" s="48">
        <v>5.0999999999999996</v>
      </c>
      <c r="AE135" s="48" t="s">
        <v>155</v>
      </c>
      <c r="AF135" s="48" t="s">
        <v>155</v>
      </c>
      <c r="AG135" s="48" t="s">
        <v>155</v>
      </c>
      <c r="AH135" s="48">
        <v>5.0999999999999996</v>
      </c>
      <c r="AI135" s="49">
        <v>0</v>
      </c>
      <c r="AJ135" s="49" t="s">
        <v>155</v>
      </c>
      <c r="AK135" s="49" t="s">
        <v>155</v>
      </c>
      <c r="AL135" s="49" t="s">
        <v>155</v>
      </c>
      <c r="AM135" s="49">
        <v>0</v>
      </c>
      <c r="AN135" s="50" t="s">
        <v>155</v>
      </c>
    </row>
    <row r="136" spans="1:40" ht="15.75" customHeight="1" x14ac:dyDescent="0.25">
      <c r="A136" s="34">
        <v>2020</v>
      </c>
      <c r="B136" s="35">
        <v>9273</v>
      </c>
      <c r="C136" s="36" t="s">
        <v>302</v>
      </c>
      <c r="D136" s="36" t="s">
        <v>41</v>
      </c>
      <c r="E136" s="36" t="s">
        <v>154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155</v>
      </c>
      <c r="M136" s="38" t="s">
        <v>155</v>
      </c>
      <c r="N136" s="38">
        <v>57972</v>
      </c>
      <c r="O136" s="45">
        <v>1322</v>
      </c>
      <c r="P136" s="45">
        <v>0</v>
      </c>
      <c r="Q136" s="45" t="s">
        <v>155</v>
      </c>
      <c r="R136" s="45" t="s">
        <v>155</v>
      </c>
      <c r="S136" s="45">
        <v>1322</v>
      </c>
      <c r="T136" s="46">
        <v>50.29</v>
      </c>
      <c r="U136" s="46">
        <v>1.4</v>
      </c>
      <c r="V136" s="46" t="s">
        <v>155</v>
      </c>
      <c r="W136" s="46" t="s">
        <v>155</v>
      </c>
      <c r="X136" s="46">
        <v>51.69</v>
      </c>
      <c r="Y136" s="47">
        <v>39.67</v>
      </c>
      <c r="Z136" s="47">
        <v>0.77</v>
      </c>
      <c r="AA136" s="47" t="s">
        <v>155</v>
      </c>
      <c r="AB136" s="47" t="s">
        <v>155</v>
      </c>
      <c r="AC136" s="47">
        <v>40.44</v>
      </c>
      <c r="AD136" s="48">
        <v>974</v>
      </c>
      <c r="AE136" s="48">
        <v>18.2</v>
      </c>
      <c r="AF136" s="48" t="s">
        <v>155</v>
      </c>
      <c r="AG136" s="48" t="s">
        <v>155</v>
      </c>
      <c r="AH136" s="48">
        <v>992.2</v>
      </c>
      <c r="AI136" s="49">
        <v>2079.5</v>
      </c>
      <c r="AJ136" s="49">
        <v>81.599999999999994</v>
      </c>
      <c r="AK136" s="49" t="s">
        <v>155</v>
      </c>
      <c r="AL136" s="49" t="s">
        <v>155</v>
      </c>
      <c r="AM136" s="49">
        <v>2161.1</v>
      </c>
      <c r="AN136" s="50" t="s">
        <v>155</v>
      </c>
    </row>
    <row r="137" spans="1:40" ht="15.75" customHeight="1" x14ac:dyDescent="0.25">
      <c r="A137" s="34">
        <v>2020</v>
      </c>
      <c r="B137" s="35">
        <v>9286</v>
      </c>
      <c r="C137" s="36" t="s">
        <v>303</v>
      </c>
      <c r="D137" s="36" t="s">
        <v>38</v>
      </c>
      <c r="E137" s="36" t="s">
        <v>154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155</v>
      </c>
      <c r="K137" s="38">
        <v>1</v>
      </c>
      <c r="L137" s="38" t="s">
        <v>155</v>
      </c>
      <c r="M137" s="38" t="s">
        <v>155</v>
      </c>
      <c r="N137" s="38">
        <v>1</v>
      </c>
      <c r="O137" s="45" t="s">
        <v>155</v>
      </c>
      <c r="P137" s="45">
        <v>0</v>
      </c>
      <c r="Q137" s="45" t="s">
        <v>155</v>
      </c>
      <c r="R137" s="45" t="s">
        <v>155</v>
      </c>
      <c r="S137" s="45">
        <v>0</v>
      </c>
      <c r="T137" s="46" t="s">
        <v>155</v>
      </c>
      <c r="U137" s="46">
        <v>0.5</v>
      </c>
      <c r="V137" s="46" t="s">
        <v>155</v>
      </c>
      <c r="W137" s="46" t="s">
        <v>155</v>
      </c>
      <c r="X137" s="46">
        <v>0.5</v>
      </c>
      <c r="Y137" s="47" t="s">
        <v>155</v>
      </c>
      <c r="Z137" s="47">
        <v>0</v>
      </c>
      <c r="AA137" s="47" t="s">
        <v>155</v>
      </c>
      <c r="AB137" s="47" t="s">
        <v>155</v>
      </c>
      <c r="AC137" s="47">
        <v>0</v>
      </c>
      <c r="AD137" s="48" t="s">
        <v>155</v>
      </c>
      <c r="AE137" s="48">
        <v>11.8</v>
      </c>
      <c r="AF137" s="48" t="s">
        <v>155</v>
      </c>
      <c r="AG137" s="48" t="s">
        <v>155</v>
      </c>
      <c r="AH137" s="48">
        <v>11.8</v>
      </c>
      <c r="AI137" s="49" t="s">
        <v>155</v>
      </c>
      <c r="AJ137" s="49">
        <v>0</v>
      </c>
      <c r="AK137" s="49" t="s">
        <v>155</v>
      </c>
      <c r="AL137" s="49" t="s">
        <v>155</v>
      </c>
      <c r="AM137" s="49">
        <v>0</v>
      </c>
      <c r="AN137" s="50" t="s">
        <v>155</v>
      </c>
    </row>
    <row r="138" spans="1:40" ht="15.75" customHeight="1" x14ac:dyDescent="0.25">
      <c r="A138" s="34">
        <v>2020</v>
      </c>
      <c r="B138" s="35">
        <v>9324</v>
      </c>
      <c r="C138" s="36" t="s">
        <v>304</v>
      </c>
      <c r="D138" s="36" t="s">
        <v>41</v>
      </c>
      <c r="E138" s="36" t="s">
        <v>167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155</v>
      </c>
    </row>
    <row r="139" spans="1:40" ht="15.75" customHeight="1" x14ac:dyDescent="0.25">
      <c r="A139" s="34">
        <v>2020</v>
      </c>
      <c r="B139" s="35">
        <v>9324</v>
      </c>
      <c r="C139" s="36" t="s">
        <v>304</v>
      </c>
      <c r="D139" s="36" t="s">
        <v>63</v>
      </c>
      <c r="E139" s="36" t="s">
        <v>167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155</v>
      </c>
    </row>
    <row r="140" spans="1:40" ht="15.75" customHeight="1" x14ac:dyDescent="0.25">
      <c r="A140" s="34">
        <v>2020</v>
      </c>
      <c r="B140" s="35">
        <v>9417</v>
      </c>
      <c r="C140" s="36" t="s">
        <v>305</v>
      </c>
      <c r="D140" s="36" t="s">
        <v>44</v>
      </c>
      <c r="E140" s="36" t="s">
        <v>154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25">
      <c r="A141" s="34">
        <v>2020</v>
      </c>
      <c r="B141" s="35">
        <v>9431</v>
      </c>
      <c r="C141" s="36" t="s">
        <v>306</v>
      </c>
      <c r="D141" s="36" t="s">
        <v>31</v>
      </c>
      <c r="E141" s="36" t="s">
        <v>160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155</v>
      </c>
      <c r="K141" s="38" t="s">
        <v>155</v>
      </c>
      <c r="L141" s="38">
        <v>603</v>
      </c>
      <c r="M141" s="38" t="s">
        <v>155</v>
      </c>
      <c r="N141" s="38">
        <v>603</v>
      </c>
      <c r="O141" s="45" t="s">
        <v>155</v>
      </c>
      <c r="P141" s="45" t="s">
        <v>155</v>
      </c>
      <c r="Q141" s="45">
        <v>200</v>
      </c>
      <c r="R141" s="45" t="s">
        <v>155</v>
      </c>
      <c r="S141" s="45">
        <v>200</v>
      </c>
      <c r="T141" s="46" t="s">
        <v>155</v>
      </c>
      <c r="U141" s="46" t="s">
        <v>155</v>
      </c>
      <c r="V141" s="46">
        <v>45.2</v>
      </c>
      <c r="W141" s="46" t="s">
        <v>155</v>
      </c>
      <c r="X141" s="46">
        <v>45.2</v>
      </c>
      <c r="Y141" s="47" t="s">
        <v>155</v>
      </c>
      <c r="Z141" s="47" t="s">
        <v>155</v>
      </c>
      <c r="AA141" s="47">
        <v>10</v>
      </c>
      <c r="AB141" s="47" t="s">
        <v>155</v>
      </c>
      <c r="AC141" s="47">
        <v>10</v>
      </c>
      <c r="AD141" s="48" t="s">
        <v>155</v>
      </c>
      <c r="AE141" s="48" t="s">
        <v>155</v>
      </c>
      <c r="AF141" s="48" t="s">
        <v>155</v>
      </c>
      <c r="AG141" s="48" t="s">
        <v>155</v>
      </c>
      <c r="AH141" s="48" t="s">
        <v>155</v>
      </c>
      <c r="AI141" s="49" t="s">
        <v>155</v>
      </c>
      <c r="AJ141" s="49" t="s">
        <v>155</v>
      </c>
      <c r="AK141" s="49">
        <v>25</v>
      </c>
      <c r="AL141" s="49" t="s">
        <v>155</v>
      </c>
      <c r="AM141" s="49">
        <v>25</v>
      </c>
      <c r="AN141" s="50" t="s">
        <v>155</v>
      </c>
    </row>
    <row r="142" spans="1:40" ht="15.75" customHeight="1" x14ac:dyDescent="0.25">
      <c r="A142" s="34">
        <v>2020</v>
      </c>
      <c r="B142" s="35">
        <v>9576</v>
      </c>
      <c r="C142" s="36" t="s">
        <v>307</v>
      </c>
      <c r="D142" s="36" t="s">
        <v>41</v>
      </c>
      <c r="E142" s="36" t="s">
        <v>154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155</v>
      </c>
      <c r="L142" s="38" t="s">
        <v>155</v>
      </c>
      <c r="M142" s="38" t="s">
        <v>155</v>
      </c>
      <c r="N142" s="38">
        <v>592</v>
      </c>
      <c r="O142" s="45" t="s">
        <v>155</v>
      </c>
      <c r="P142" s="45" t="s">
        <v>155</v>
      </c>
      <c r="Q142" s="45" t="s">
        <v>155</v>
      </c>
      <c r="R142" s="45" t="s">
        <v>155</v>
      </c>
      <c r="S142" s="45" t="s">
        <v>155</v>
      </c>
      <c r="T142" s="46" t="s">
        <v>155</v>
      </c>
      <c r="U142" s="46" t="s">
        <v>155</v>
      </c>
      <c r="V142" s="46" t="s">
        <v>155</v>
      </c>
      <c r="W142" s="46" t="s">
        <v>155</v>
      </c>
      <c r="X142" s="46" t="s">
        <v>155</v>
      </c>
      <c r="Y142" s="47" t="s">
        <v>155</v>
      </c>
      <c r="Z142" s="47" t="s">
        <v>155</v>
      </c>
      <c r="AA142" s="47" t="s">
        <v>155</v>
      </c>
      <c r="AB142" s="47" t="s">
        <v>155</v>
      </c>
      <c r="AC142" s="47" t="s">
        <v>155</v>
      </c>
      <c r="AD142" s="48" t="s">
        <v>155</v>
      </c>
      <c r="AE142" s="48" t="s">
        <v>155</v>
      </c>
      <c r="AF142" s="48" t="s">
        <v>155</v>
      </c>
      <c r="AG142" s="48" t="s">
        <v>155</v>
      </c>
      <c r="AH142" s="48" t="s">
        <v>155</v>
      </c>
      <c r="AI142" s="49">
        <v>21.65</v>
      </c>
      <c r="AJ142" s="49" t="s">
        <v>155</v>
      </c>
      <c r="AK142" s="49" t="s">
        <v>155</v>
      </c>
      <c r="AL142" s="49" t="s">
        <v>155</v>
      </c>
      <c r="AM142" s="49">
        <v>21.65</v>
      </c>
      <c r="AN142" s="50" t="s">
        <v>155</v>
      </c>
    </row>
    <row r="143" spans="1:40" ht="15.75" customHeight="1" x14ac:dyDescent="0.25">
      <c r="A143" s="34">
        <v>2020</v>
      </c>
      <c r="B143" s="35">
        <v>9590</v>
      </c>
      <c r="C143" s="36" t="s">
        <v>308</v>
      </c>
      <c r="D143" s="36" t="s">
        <v>112</v>
      </c>
      <c r="E143" s="36" t="s">
        <v>180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155</v>
      </c>
      <c r="K143" s="38" t="s">
        <v>155</v>
      </c>
      <c r="L143" s="38">
        <v>10</v>
      </c>
      <c r="M143" s="38" t="s">
        <v>155</v>
      </c>
      <c r="N143" s="38">
        <v>10</v>
      </c>
      <c r="O143" s="45" t="s">
        <v>155</v>
      </c>
      <c r="P143" s="45" t="s">
        <v>155</v>
      </c>
      <c r="Q143" s="45" t="s">
        <v>155</v>
      </c>
      <c r="R143" s="45" t="s">
        <v>155</v>
      </c>
      <c r="S143" s="45" t="s">
        <v>155</v>
      </c>
      <c r="T143" s="46" t="s">
        <v>155</v>
      </c>
      <c r="U143" s="46" t="s">
        <v>155</v>
      </c>
      <c r="V143" s="46">
        <v>45</v>
      </c>
      <c r="W143" s="46" t="s">
        <v>155</v>
      </c>
      <c r="X143" s="46">
        <v>45</v>
      </c>
      <c r="Y143" s="47" t="s">
        <v>155</v>
      </c>
      <c r="Z143" s="47" t="s">
        <v>155</v>
      </c>
      <c r="AA143" s="47">
        <v>35</v>
      </c>
      <c r="AB143" s="47" t="s">
        <v>155</v>
      </c>
      <c r="AC143" s="47">
        <v>35</v>
      </c>
      <c r="AD143" s="48" t="s">
        <v>155</v>
      </c>
      <c r="AE143" s="48" t="s">
        <v>155</v>
      </c>
      <c r="AF143" s="48">
        <v>1706</v>
      </c>
      <c r="AG143" s="48" t="s">
        <v>155</v>
      </c>
      <c r="AH143" s="48">
        <v>1706</v>
      </c>
      <c r="AI143" s="49" t="s">
        <v>155</v>
      </c>
      <c r="AJ143" s="49" t="s">
        <v>155</v>
      </c>
      <c r="AK143" s="49" t="s">
        <v>155</v>
      </c>
      <c r="AL143" s="49" t="s">
        <v>155</v>
      </c>
      <c r="AM143" s="49" t="s">
        <v>155</v>
      </c>
      <c r="AN143" s="50" t="s">
        <v>155</v>
      </c>
    </row>
    <row r="144" spans="1:40" ht="15.75" customHeight="1" x14ac:dyDescent="0.25">
      <c r="A144" s="34">
        <v>2020</v>
      </c>
      <c r="B144" s="35">
        <v>9601</v>
      </c>
      <c r="C144" s="36" t="s">
        <v>309</v>
      </c>
      <c r="D144" s="36" t="s">
        <v>31</v>
      </c>
      <c r="E144" s="36" t="s">
        <v>160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155</v>
      </c>
      <c r="M144" s="38" t="s">
        <v>155</v>
      </c>
      <c r="N144" s="38">
        <v>24005</v>
      </c>
      <c r="O144" s="45" t="s">
        <v>155</v>
      </c>
      <c r="P144" s="45" t="s">
        <v>155</v>
      </c>
      <c r="Q144" s="45" t="s">
        <v>155</v>
      </c>
      <c r="R144" s="45" t="s">
        <v>155</v>
      </c>
      <c r="S144" s="45" t="s">
        <v>155</v>
      </c>
      <c r="T144" s="46">
        <v>11</v>
      </c>
      <c r="U144" s="46">
        <v>1</v>
      </c>
      <c r="V144" s="46" t="s">
        <v>155</v>
      </c>
      <c r="W144" s="46" t="s">
        <v>155</v>
      </c>
      <c r="X144" s="46">
        <v>12</v>
      </c>
      <c r="Y144" s="47">
        <v>11</v>
      </c>
      <c r="Z144" s="47">
        <v>1</v>
      </c>
      <c r="AA144" s="47" t="s">
        <v>155</v>
      </c>
      <c r="AB144" s="47" t="s">
        <v>155</v>
      </c>
      <c r="AC144" s="47">
        <v>12</v>
      </c>
      <c r="AD144" s="48">
        <v>398</v>
      </c>
      <c r="AE144" s="48">
        <v>44</v>
      </c>
      <c r="AF144" s="48" t="s">
        <v>155</v>
      </c>
      <c r="AG144" s="48" t="s">
        <v>155</v>
      </c>
      <c r="AH144" s="48">
        <v>442</v>
      </c>
      <c r="AI144" s="49">
        <v>3</v>
      </c>
      <c r="AJ144" s="49">
        <v>0</v>
      </c>
      <c r="AK144" s="49" t="s">
        <v>155</v>
      </c>
      <c r="AL144" s="49" t="s">
        <v>155</v>
      </c>
      <c r="AM144" s="49">
        <v>3</v>
      </c>
      <c r="AN144" s="50">
        <v>199</v>
      </c>
    </row>
    <row r="145" spans="1:40" ht="15.75" customHeight="1" x14ac:dyDescent="0.25">
      <c r="A145" s="34">
        <v>2020</v>
      </c>
      <c r="B145" s="35">
        <v>9617</v>
      </c>
      <c r="C145" s="36" t="s">
        <v>310</v>
      </c>
      <c r="D145" s="36" t="s">
        <v>28</v>
      </c>
      <c r="E145" s="36" t="s">
        <v>310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155</v>
      </c>
      <c r="K145" s="38" t="s">
        <v>155</v>
      </c>
      <c r="L145" s="38">
        <v>33</v>
      </c>
      <c r="M145" s="38" t="s">
        <v>155</v>
      </c>
      <c r="N145" s="38">
        <v>33</v>
      </c>
      <c r="O145" s="45" t="s">
        <v>155</v>
      </c>
      <c r="P145" s="45" t="s">
        <v>155</v>
      </c>
      <c r="Q145" s="45" t="s">
        <v>155</v>
      </c>
      <c r="R145" s="45" t="s">
        <v>155</v>
      </c>
      <c r="S145" s="45" t="s">
        <v>155</v>
      </c>
      <c r="T145" s="46" t="s">
        <v>155</v>
      </c>
      <c r="U145" s="46" t="s">
        <v>155</v>
      </c>
      <c r="V145" s="46">
        <v>133.91999999999999</v>
      </c>
      <c r="W145" s="46" t="s">
        <v>155</v>
      </c>
      <c r="X145" s="46">
        <v>133.91999999999999</v>
      </c>
      <c r="Y145" s="47" t="s">
        <v>155</v>
      </c>
      <c r="Z145" s="47" t="s">
        <v>155</v>
      </c>
      <c r="AA145" s="47">
        <v>121.779</v>
      </c>
      <c r="AB145" s="47" t="s">
        <v>155</v>
      </c>
      <c r="AC145" s="47">
        <v>121.779</v>
      </c>
      <c r="AD145" s="48" t="s">
        <v>155</v>
      </c>
      <c r="AE145" s="48" t="s">
        <v>155</v>
      </c>
      <c r="AF145" s="48">
        <v>10539.385</v>
      </c>
      <c r="AG145" s="48" t="s">
        <v>155</v>
      </c>
      <c r="AH145" s="48">
        <v>10539.385</v>
      </c>
      <c r="AI145" s="49" t="s">
        <v>155</v>
      </c>
      <c r="AJ145" s="49" t="s">
        <v>155</v>
      </c>
      <c r="AK145" s="49" t="s">
        <v>155</v>
      </c>
      <c r="AL145" s="49" t="s">
        <v>155</v>
      </c>
      <c r="AM145" s="49" t="s">
        <v>155</v>
      </c>
      <c r="AN145" s="50" t="s">
        <v>155</v>
      </c>
    </row>
    <row r="146" spans="1:40" ht="15.75" customHeight="1" x14ac:dyDescent="0.25">
      <c r="A146" s="34">
        <v>2020</v>
      </c>
      <c r="B146" s="35">
        <v>9750</v>
      </c>
      <c r="C146" s="36" t="s">
        <v>311</v>
      </c>
      <c r="D146" s="36" t="s">
        <v>38</v>
      </c>
      <c r="E146" s="36" t="s">
        <v>154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155</v>
      </c>
      <c r="L146" s="38" t="s">
        <v>155</v>
      </c>
      <c r="M146" s="38" t="s">
        <v>155</v>
      </c>
      <c r="N146" s="38">
        <v>1853</v>
      </c>
      <c r="O146" s="45" t="s">
        <v>155</v>
      </c>
      <c r="P146" s="45" t="s">
        <v>155</v>
      </c>
      <c r="Q146" s="45" t="s">
        <v>155</v>
      </c>
      <c r="R146" s="45" t="s">
        <v>155</v>
      </c>
      <c r="S146" s="45" t="s">
        <v>155</v>
      </c>
      <c r="T146" s="46">
        <v>1.5649999999999999</v>
      </c>
      <c r="U146" s="46" t="s">
        <v>155</v>
      </c>
      <c r="V146" s="46" t="s">
        <v>155</v>
      </c>
      <c r="W146" s="46" t="s">
        <v>155</v>
      </c>
      <c r="X146" s="46">
        <v>1.5649999999999999</v>
      </c>
      <c r="Y146" s="47">
        <v>1.405</v>
      </c>
      <c r="Z146" s="47" t="s">
        <v>155</v>
      </c>
      <c r="AA146" s="47" t="s">
        <v>155</v>
      </c>
      <c r="AB146" s="47" t="s">
        <v>155</v>
      </c>
      <c r="AC146" s="47">
        <v>1.405</v>
      </c>
      <c r="AD146" s="48" t="s">
        <v>155</v>
      </c>
      <c r="AE146" s="48" t="s">
        <v>155</v>
      </c>
      <c r="AF146" s="48" t="s">
        <v>155</v>
      </c>
      <c r="AG146" s="48" t="s">
        <v>155</v>
      </c>
      <c r="AH146" s="48" t="s">
        <v>155</v>
      </c>
      <c r="AI146" s="49">
        <v>46</v>
      </c>
      <c r="AJ146" s="49" t="s">
        <v>155</v>
      </c>
      <c r="AK146" s="49" t="s">
        <v>155</v>
      </c>
      <c r="AL146" s="49" t="s">
        <v>155</v>
      </c>
      <c r="AM146" s="49">
        <v>46</v>
      </c>
      <c r="AN146" s="50">
        <v>0</v>
      </c>
    </row>
    <row r="147" spans="1:40" ht="15.75" customHeight="1" x14ac:dyDescent="0.25">
      <c r="A147" s="34">
        <v>2020</v>
      </c>
      <c r="B147" s="35">
        <v>9778</v>
      </c>
      <c r="C147" s="36" t="s">
        <v>312</v>
      </c>
      <c r="D147" s="36" t="s">
        <v>41</v>
      </c>
      <c r="E147" s="36" t="s">
        <v>154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155</v>
      </c>
      <c r="K147" s="38" t="s">
        <v>155</v>
      </c>
      <c r="L147" s="38">
        <v>2</v>
      </c>
      <c r="M147" s="38" t="s">
        <v>155</v>
      </c>
      <c r="N147" s="38">
        <v>2</v>
      </c>
      <c r="O147" s="45" t="s">
        <v>155</v>
      </c>
      <c r="P147" s="45" t="s">
        <v>155</v>
      </c>
      <c r="Q147" s="45">
        <v>12.3</v>
      </c>
      <c r="R147" s="45" t="s">
        <v>155</v>
      </c>
      <c r="S147" s="45">
        <v>12.3</v>
      </c>
      <c r="T147" s="46" t="s">
        <v>155</v>
      </c>
      <c r="U147" s="46" t="s">
        <v>155</v>
      </c>
      <c r="V147" s="46">
        <v>4.0999999999999996</v>
      </c>
      <c r="W147" s="46" t="s">
        <v>155</v>
      </c>
      <c r="X147" s="46">
        <v>4.0999999999999996</v>
      </c>
      <c r="Y147" s="47" t="s">
        <v>155</v>
      </c>
      <c r="Z147" s="47" t="s">
        <v>155</v>
      </c>
      <c r="AA147" s="47">
        <v>4.0999999999999996</v>
      </c>
      <c r="AB147" s="47" t="s">
        <v>155</v>
      </c>
      <c r="AC147" s="47">
        <v>4.0999999999999996</v>
      </c>
      <c r="AD147" s="48" t="s">
        <v>155</v>
      </c>
      <c r="AE147" s="48" t="s">
        <v>155</v>
      </c>
      <c r="AF147" s="48">
        <v>51.75</v>
      </c>
      <c r="AG147" s="48" t="s">
        <v>155</v>
      </c>
      <c r="AH147" s="48">
        <v>51.75</v>
      </c>
      <c r="AI147" s="49" t="s">
        <v>155</v>
      </c>
      <c r="AJ147" s="49" t="s">
        <v>155</v>
      </c>
      <c r="AK147" s="49">
        <v>2</v>
      </c>
      <c r="AL147" s="49" t="s">
        <v>155</v>
      </c>
      <c r="AM147" s="49">
        <v>2</v>
      </c>
      <c r="AN147" s="50" t="s">
        <v>155</v>
      </c>
    </row>
    <row r="148" spans="1:40" ht="15.75" customHeight="1" x14ac:dyDescent="0.25">
      <c r="A148" s="34">
        <v>2020</v>
      </c>
      <c r="B148" s="35">
        <v>10000</v>
      </c>
      <c r="C148" s="36" t="s">
        <v>313</v>
      </c>
      <c r="D148" s="36" t="s">
        <v>47</v>
      </c>
      <c r="E148" s="36" t="s">
        <v>175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155</v>
      </c>
      <c r="M148" s="38" t="s">
        <v>155</v>
      </c>
      <c r="N148" s="38">
        <v>15109</v>
      </c>
      <c r="O148" s="45">
        <v>0</v>
      </c>
      <c r="P148" s="45">
        <v>0</v>
      </c>
      <c r="Q148" s="45" t="s">
        <v>155</v>
      </c>
      <c r="R148" s="45" t="s">
        <v>155</v>
      </c>
      <c r="S148" s="45">
        <v>0</v>
      </c>
      <c r="T148" s="46">
        <v>14.807</v>
      </c>
      <c r="U148" s="46">
        <v>0.30199999999999999</v>
      </c>
      <c r="V148" s="46" t="s">
        <v>155</v>
      </c>
      <c r="W148" s="46" t="s">
        <v>155</v>
      </c>
      <c r="X148" s="46">
        <v>15.109</v>
      </c>
      <c r="Y148" s="47">
        <v>0</v>
      </c>
      <c r="Z148" s="47">
        <v>0</v>
      </c>
      <c r="AA148" s="47" t="s">
        <v>155</v>
      </c>
      <c r="AB148" s="47" t="s">
        <v>155</v>
      </c>
      <c r="AC148" s="47">
        <v>0</v>
      </c>
      <c r="AD148" s="48">
        <v>0</v>
      </c>
      <c r="AE148" s="48">
        <v>0</v>
      </c>
      <c r="AF148" s="48" t="s">
        <v>155</v>
      </c>
      <c r="AG148" s="48" t="s">
        <v>155</v>
      </c>
      <c r="AH148" s="48">
        <v>0</v>
      </c>
      <c r="AI148" s="49">
        <v>150.94</v>
      </c>
      <c r="AJ148" s="49">
        <v>0</v>
      </c>
      <c r="AK148" s="49" t="s">
        <v>155</v>
      </c>
      <c r="AL148" s="49" t="s">
        <v>155</v>
      </c>
      <c r="AM148" s="49">
        <v>150.94</v>
      </c>
      <c r="AN148" s="50">
        <v>0</v>
      </c>
    </row>
    <row r="149" spans="1:40" ht="15.75" customHeight="1" x14ac:dyDescent="0.25">
      <c r="A149" s="34">
        <v>2020</v>
      </c>
      <c r="B149" s="35">
        <v>10000</v>
      </c>
      <c r="C149" s="36" t="s">
        <v>313</v>
      </c>
      <c r="D149" s="36" t="s">
        <v>71</v>
      </c>
      <c r="E149" s="36" t="s">
        <v>175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155</v>
      </c>
      <c r="M149" s="38" t="s">
        <v>155</v>
      </c>
      <c r="N149" s="38">
        <v>30719</v>
      </c>
      <c r="O149" s="45">
        <v>498.21300000000002</v>
      </c>
      <c r="P149" s="45">
        <v>9.0619999999999994</v>
      </c>
      <c r="Q149" s="45" t="s">
        <v>155</v>
      </c>
      <c r="R149" s="45" t="s">
        <v>155</v>
      </c>
      <c r="S149" s="45">
        <v>507.27499999999998</v>
      </c>
      <c r="T149" s="46">
        <v>30.091999999999999</v>
      </c>
      <c r="U149" s="46">
        <v>21.07</v>
      </c>
      <c r="V149" s="46" t="s">
        <v>155</v>
      </c>
      <c r="W149" s="46" t="s">
        <v>155</v>
      </c>
      <c r="X149" s="46">
        <v>51.161999999999999</v>
      </c>
      <c r="Y149" s="47">
        <v>0</v>
      </c>
      <c r="Z149" s="47">
        <v>0</v>
      </c>
      <c r="AA149" s="47" t="s">
        <v>155</v>
      </c>
      <c r="AB149" s="47" t="s">
        <v>155</v>
      </c>
      <c r="AC149" s="47">
        <v>0</v>
      </c>
      <c r="AD149" s="48">
        <v>314.45</v>
      </c>
      <c r="AE149" s="48">
        <v>546.59</v>
      </c>
      <c r="AF149" s="48" t="s">
        <v>155</v>
      </c>
      <c r="AG149" s="48" t="s">
        <v>155</v>
      </c>
      <c r="AH149" s="48">
        <v>861.04</v>
      </c>
      <c r="AI149" s="49">
        <v>1240.04</v>
      </c>
      <c r="AJ149" s="49">
        <v>787.73</v>
      </c>
      <c r="AK149" s="49" t="s">
        <v>155</v>
      </c>
      <c r="AL149" s="49" t="s">
        <v>155</v>
      </c>
      <c r="AM149" s="49">
        <v>2027.77</v>
      </c>
      <c r="AN149" s="50">
        <v>0</v>
      </c>
    </row>
    <row r="150" spans="1:40" ht="15.75" customHeight="1" x14ac:dyDescent="0.25">
      <c r="A150" s="34">
        <v>2020</v>
      </c>
      <c r="B150" s="35">
        <v>10005</v>
      </c>
      <c r="C150" s="36" t="s">
        <v>314</v>
      </c>
      <c r="D150" s="36" t="s">
        <v>47</v>
      </c>
      <c r="E150" s="36" t="s">
        <v>175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155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155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155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155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155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155</v>
      </c>
      <c r="AM150" s="49">
        <v>185.53</v>
      </c>
      <c r="AN150" s="50">
        <v>0</v>
      </c>
    </row>
    <row r="151" spans="1:40" ht="15.75" customHeight="1" x14ac:dyDescent="0.25">
      <c r="A151" s="34">
        <v>2020</v>
      </c>
      <c r="B151" s="35">
        <v>10171</v>
      </c>
      <c r="C151" s="36" t="s">
        <v>315</v>
      </c>
      <c r="D151" s="36" t="s">
        <v>50</v>
      </c>
      <c r="E151" s="36" t="s">
        <v>316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155</v>
      </c>
      <c r="M151" s="38" t="s">
        <v>155</v>
      </c>
      <c r="N151" s="38">
        <v>69252</v>
      </c>
      <c r="O151" s="45" t="s">
        <v>155</v>
      </c>
      <c r="P151" s="45" t="s">
        <v>155</v>
      </c>
      <c r="Q151" s="45" t="s">
        <v>155</v>
      </c>
      <c r="R151" s="45" t="s">
        <v>155</v>
      </c>
      <c r="S151" s="45" t="s">
        <v>155</v>
      </c>
      <c r="T151" s="46">
        <v>73.417000000000002</v>
      </c>
      <c r="U151" s="46">
        <v>11.315</v>
      </c>
      <c r="V151" s="46" t="s">
        <v>155</v>
      </c>
      <c r="W151" s="46" t="s">
        <v>155</v>
      </c>
      <c r="X151" s="46">
        <v>84.731999999999999</v>
      </c>
      <c r="Y151" s="47" t="s">
        <v>155</v>
      </c>
      <c r="Z151" s="47" t="s">
        <v>155</v>
      </c>
      <c r="AA151" s="47" t="s">
        <v>155</v>
      </c>
      <c r="AB151" s="47" t="s">
        <v>155</v>
      </c>
      <c r="AC151" s="47" t="s">
        <v>155</v>
      </c>
      <c r="AD151" s="48" t="s">
        <v>155</v>
      </c>
      <c r="AE151" s="48" t="s">
        <v>155</v>
      </c>
      <c r="AF151" s="48" t="s">
        <v>155</v>
      </c>
      <c r="AG151" s="48" t="s">
        <v>155</v>
      </c>
      <c r="AH151" s="48" t="s">
        <v>155</v>
      </c>
      <c r="AI151" s="49">
        <v>1163.75</v>
      </c>
      <c r="AJ151" s="49">
        <v>272.416</v>
      </c>
      <c r="AK151" s="49" t="s">
        <v>155</v>
      </c>
      <c r="AL151" s="49" t="s">
        <v>155</v>
      </c>
      <c r="AM151" s="49">
        <v>1436.1659999999999</v>
      </c>
      <c r="AN151" s="50">
        <v>0</v>
      </c>
    </row>
    <row r="152" spans="1:40" ht="15.75" customHeight="1" x14ac:dyDescent="0.25">
      <c r="A152" s="34">
        <v>2020</v>
      </c>
      <c r="B152" s="35">
        <v>10448</v>
      </c>
      <c r="C152" s="36" t="s">
        <v>317</v>
      </c>
      <c r="D152" s="36" t="s">
        <v>41</v>
      </c>
      <c r="E152" s="36" t="s">
        <v>154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155</v>
      </c>
      <c r="K152" s="38" t="s">
        <v>155</v>
      </c>
      <c r="L152" s="38" t="s">
        <v>155</v>
      </c>
      <c r="M152" s="38" t="s">
        <v>155</v>
      </c>
      <c r="N152" s="38" t="s">
        <v>155</v>
      </c>
      <c r="O152" s="45" t="s">
        <v>155</v>
      </c>
      <c r="P152" s="45" t="s">
        <v>155</v>
      </c>
      <c r="Q152" s="45" t="s">
        <v>155</v>
      </c>
      <c r="R152" s="45" t="s">
        <v>155</v>
      </c>
      <c r="S152" s="45" t="s">
        <v>155</v>
      </c>
      <c r="T152" s="46" t="s">
        <v>155</v>
      </c>
      <c r="U152" s="46" t="s">
        <v>155</v>
      </c>
      <c r="V152" s="46" t="s">
        <v>155</v>
      </c>
      <c r="W152" s="46" t="s">
        <v>155</v>
      </c>
      <c r="X152" s="46" t="s">
        <v>155</v>
      </c>
      <c r="Y152" s="47" t="s">
        <v>155</v>
      </c>
      <c r="Z152" s="47" t="s">
        <v>155</v>
      </c>
      <c r="AA152" s="47" t="s">
        <v>155</v>
      </c>
      <c r="AB152" s="47" t="s">
        <v>155</v>
      </c>
      <c r="AC152" s="47" t="s">
        <v>155</v>
      </c>
      <c r="AD152" s="48" t="s">
        <v>155</v>
      </c>
      <c r="AE152" s="48" t="s">
        <v>155</v>
      </c>
      <c r="AF152" s="48" t="s">
        <v>155</v>
      </c>
      <c r="AG152" s="48" t="s">
        <v>155</v>
      </c>
      <c r="AH152" s="48" t="s">
        <v>155</v>
      </c>
      <c r="AI152" s="49" t="s">
        <v>155</v>
      </c>
      <c r="AJ152" s="49" t="s">
        <v>155</v>
      </c>
      <c r="AK152" s="49" t="s">
        <v>155</v>
      </c>
      <c r="AL152" s="49" t="s">
        <v>155</v>
      </c>
      <c r="AM152" s="49" t="s">
        <v>155</v>
      </c>
      <c r="AN152" s="50" t="s">
        <v>155</v>
      </c>
    </row>
    <row r="153" spans="1:40" ht="15.75" customHeight="1" x14ac:dyDescent="0.25">
      <c r="A153" s="34">
        <v>2020</v>
      </c>
      <c r="B153" s="35">
        <v>10596</v>
      </c>
      <c r="C153" s="36" t="s">
        <v>318</v>
      </c>
      <c r="D153" s="36" t="s">
        <v>66</v>
      </c>
      <c r="E153" s="36" t="s">
        <v>154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155</v>
      </c>
      <c r="L153" s="38" t="s">
        <v>155</v>
      </c>
      <c r="M153" s="38" t="s">
        <v>155</v>
      </c>
      <c r="N153" s="38">
        <v>270</v>
      </c>
      <c r="O153" s="45">
        <v>2.7</v>
      </c>
      <c r="P153" s="45" t="s">
        <v>155</v>
      </c>
      <c r="Q153" s="45" t="s">
        <v>155</v>
      </c>
      <c r="R153" s="45" t="s">
        <v>155</v>
      </c>
      <c r="S153" s="45">
        <v>2.7</v>
      </c>
      <c r="T153" s="46" t="s">
        <v>155</v>
      </c>
      <c r="U153" s="46" t="s">
        <v>155</v>
      </c>
      <c r="V153" s="46" t="s">
        <v>155</v>
      </c>
      <c r="W153" s="46" t="s">
        <v>155</v>
      </c>
      <c r="X153" s="46" t="s">
        <v>155</v>
      </c>
      <c r="Y153" s="47" t="s">
        <v>155</v>
      </c>
      <c r="Z153" s="47" t="s">
        <v>155</v>
      </c>
      <c r="AA153" s="47" t="s">
        <v>155</v>
      </c>
      <c r="AB153" s="47" t="s">
        <v>155</v>
      </c>
      <c r="AC153" s="47" t="s">
        <v>155</v>
      </c>
      <c r="AD153" s="48">
        <v>5</v>
      </c>
      <c r="AE153" s="48" t="s">
        <v>155</v>
      </c>
      <c r="AF153" s="48" t="s">
        <v>155</v>
      </c>
      <c r="AG153" s="48" t="s">
        <v>155</v>
      </c>
      <c r="AH153" s="48">
        <v>5</v>
      </c>
      <c r="AI153" s="49" t="s">
        <v>155</v>
      </c>
      <c r="AJ153" s="49" t="s">
        <v>155</v>
      </c>
      <c r="AK153" s="49" t="s">
        <v>155</v>
      </c>
      <c r="AL153" s="49" t="s">
        <v>155</v>
      </c>
      <c r="AM153" s="49" t="s">
        <v>155</v>
      </c>
      <c r="AN153" s="50" t="s">
        <v>155</v>
      </c>
    </row>
    <row r="154" spans="1:40" ht="15.75" customHeight="1" x14ac:dyDescent="0.25">
      <c r="A154" s="34">
        <v>2020</v>
      </c>
      <c r="B154" s="35">
        <v>10697</v>
      </c>
      <c r="C154" s="36" t="s">
        <v>319</v>
      </c>
      <c r="D154" s="36" t="s">
        <v>66</v>
      </c>
      <c r="E154" s="36" t="s">
        <v>154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155</v>
      </c>
      <c r="K154" s="38" t="s">
        <v>155</v>
      </c>
      <c r="L154" s="38" t="s">
        <v>155</v>
      </c>
      <c r="M154" s="38" t="s">
        <v>155</v>
      </c>
      <c r="N154" s="38" t="s">
        <v>155</v>
      </c>
      <c r="O154" s="45" t="s">
        <v>155</v>
      </c>
      <c r="P154" s="45" t="s">
        <v>155</v>
      </c>
      <c r="Q154" s="45" t="s">
        <v>155</v>
      </c>
      <c r="R154" s="45" t="s">
        <v>155</v>
      </c>
      <c r="S154" s="45" t="s">
        <v>155</v>
      </c>
      <c r="T154" s="46" t="s">
        <v>155</v>
      </c>
      <c r="U154" s="46" t="s">
        <v>155</v>
      </c>
      <c r="V154" s="46" t="s">
        <v>155</v>
      </c>
      <c r="W154" s="46" t="s">
        <v>155</v>
      </c>
      <c r="X154" s="46" t="s">
        <v>155</v>
      </c>
      <c r="Y154" s="47" t="s">
        <v>155</v>
      </c>
      <c r="Z154" s="47" t="s">
        <v>155</v>
      </c>
      <c r="AA154" s="47" t="s">
        <v>155</v>
      </c>
      <c r="AB154" s="47" t="s">
        <v>155</v>
      </c>
      <c r="AC154" s="47" t="s">
        <v>155</v>
      </c>
      <c r="AD154" s="48" t="s">
        <v>155</v>
      </c>
      <c r="AE154" s="48" t="s">
        <v>155</v>
      </c>
      <c r="AF154" s="48" t="s">
        <v>155</v>
      </c>
      <c r="AG154" s="48" t="s">
        <v>155</v>
      </c>
      <c r="AH154" s="48" t="s">
        <v>155</v>
      </c>
      <c r="AI154" s="49" t="s">
        <v>155</v>
      </c>
      <c r="AJ154" s="49" t="s">
        <v>155</v>
      </c>
      <c r="AK154" s="49" t="s">
        <v>155</v>
      </c>
      <c r="AL154" s="49" t="s">
        <v>155</v>
      </c>
      <c r="AM154" s="49" t="s">
        <v>155</v>
      </c>
      <c r="AN154" s="50" t="s">
        <v>155</v>
      </c>
    </row>
    <row r="155" spans="1:40" ht="15.75" customHeight="1" x14ac:dyDescent="0.25">
      <c r="A155" s="34">
        <v>2020</v>
      </c>
      <c r="B155" s="35">
        <v>10768</v>
      </c>
      <c r="C155" s="36" t="s">
        <v>320</v>
      </c>
      <c r="D155" s="36" t="s">
        <v>106</v>
      </c>
      <c r="E155" s="36" t="s">
        <v>195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155</v>
      </c>
      <c r="M155" s="38" t="s">
        <v>155</v>
      </c>
      <c r="N155" s="38">
        <v>5523</v>
      </c>
      <c r="O155" s="45">
        <v>12</v>
      </c>
      <c r="P155" s="45">
        <v>4</v>
      </c>
      <c r="Q155" s="45" t="s">
        <v>155</v>
      </c>
      <c r="R155" s="45" t="s">
        <v>155</v>
      </c>
      <c r="S155" s="45">
        <v>16</v>
      </c>
      <c r="T155" s="46">
        <v>6.9</v>
      </c>
      <c r="U155" s="46">
        <v>3</v>
      </c>
      <c r="V155" s="46" t="s">
        <v>155</v>
      </c>
      <c r="W155" s="46" t="s">
        <v>155</v>
      </c>
      <c r="X155" s="46">
        <v>9.9</v>
      </c>
      <c r="Y155" s="47">
        <v>6.8</v>
      </c>
      <c r="Z155" s="47">
        <v>1.8</v>
      </c>
      <c r="AA155" s="47" t="s">
        <v>155</v>
      </c>
      <c r="AB155" s="47" t="s">
        <v>155</v>
      </c>
      <c r="AC155" s="47">
        <v>8.6</v>
      </c>
      <c r="AD155" s="48" t="s">
        <v>155</v>
      </c>
      <c r="AE155" s="48" t="s">
        <v>155</v>
      </c>
      <c r="AF155" s="48" t="s">
        <v>155</v>
      </c>
      <c r="AG155" s="48" t="s">
        <v>155</v>
      </c>
      <c r="AH155" s="48" t="s">
        <v>155</v>
      </c>
      <c r="AI155" s="49" t="s">
        <v>155</v>
      </c>
      <c r="AJ155" s="49" t="s">
        <v>155</v>
      </c>
      <c r="AK155" s="49" t="s">
        <v>155</v>
      </c>
      <c r="AL155" s="49" t="s">
        <v>155</v>
      </c>
      <c r="AM155" s="49" t="s">
        <v>155</v>
      </c>
      <c r="AN155" s="50" t="s">
        <v>155</v>
      </c>
    </row>
    <row r="156" spans="1:40" ht="15.75" customHeight="1" x14ac:dyDescent="0.25">
      <c r="A156" s="34">
        <v>2020</v>
      </c>
      <c r="B156" s="35">
        <v>10857</v>
      </c>
      <c r="C156" s="36" t="s">
        <v>321</v>
      </c>
      <c r="D156" s="36" t="s">
        <v>28</v>
      </c>
      <c r="E156" s="36" t="s">
        <v>267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155</v>
      </c>
      <c r="M156" s="38" t="s">
        <v>155</v>
      </c>
      <c r="N156" s="38">
        <v>15947</v>
      </c>
      <c r="O156" s="45">
        <v>138.24</v>
      </c>
      <c r="P156" s="45">
        <v>559.178</v>
      </c>
      <c r="Q156" s="45" t="s">
        <v>155</v>
      </c>
      <c r="R156" s="45" t="s">
        <v>155</v>
      </c>
      <c r="S156" s="45">
        <v>697.41800000000001</v>
      </c>
      <c r="T156" s="46">
        <v>3.23</v>
      </c>
      <c r="U156" s="46">
        <v>26.78</v>
      </c>
      <c r="V156" s="46" t="s">
        <v>155</v>
      </c>
      <c r="W156" s="46" t="s">
        <v>155</v>
      </c>
      <c r="X156" s="46">
        <v>30.01</v>
      </c>
      <c r="Y156" s="47">
        <v>3.23</v>
      </c>
      <c r="Z156" s="47">
        <v>13.250999999999999</v>
      </c>
      <c r="AA156" s="47" t="s">
        <v>155</v>
      </c>
      <c r="AB156" s="47" t="s">
        <v>155</v>
      </c>
      <c r="AC156" s="47">
        <v>16.481000000000002</v>
      </c>
      <c r="AD156" s="48">
        <v>585.30999999999995</v>
      </c>
      <c r="AE156" s="48">
        <v>1070.74</v>
      </c>
      <c r="AF156" s="48" t="s">
        <v>155</v>
      </c>
      <c r="AG156" s="48" t="s">
        <v>155</v>
      </c>
      <c r="AH156" s="48">
        <v>1656.05</v>
      </c>
      <c r="AI156" s="49">
        <v>67.400000000000006</v>
      </c>
      <c r="AJ156" s="49">
        <v>149.88</v>
      </c>
      <c r="AK156" s="49" t="s">
        <v>155</v>
      </c>
      <c r="AL156" s="49" t="s">
        <v>155</v>
      </c>
      <c r="AM156" s="49">
        <v>217.28</v>
      </c>
      <c r="AN156" s="50" t="s">
        <v>155</v>
      </c>
    </row>
    <row r="157" spans="1:40" ht="15.75" customHeight="1" x14ac:dyDescent="0.25">
      <c r="A157" s="34">
        <v>2020</v>
      </c>
      <c r="B157" s="35">
        <v>10879</v>
      </c>
      <c r="C157" s="36" t="s">
        <v>322</v>
      </c>
      <c r="D157" s="36" t="s">
        <v>114</v>
      </c>
      <c r="E157" s="36" t="s">
        <v>297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155</v>
      </c>
    </row>
    <row r="158" spans="1:40" ht="15.75" customHeight="1" x14ac:dyDescent="0.25">
      <c r="A158" s="34">
        <v>2020</v>
      </c>
      <c r="B158" s="35">
        <v>11018</v>
      </c>
      <c r="C158" s="36" t="s">
        <v>323</v>
      </c>
      <c r="D158" s="36" t="s">
        <v>77</v>
      </c>
      <c r="E158" s="36" t="s">
        <v>175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155</v>
      </c>
      <c r="L158" s="38" t="s">
        <v>155</v>
      </c>
      <c r="M158" s="38" t="s">
        <v>155</v>
      </c>
      <c r="N158" s="38">
        <v>1894</v>
      </c>
      <c r="O158" s="45" t="s">
        <v>155</v>
      </c>
      <c r="P158" s="45" t="s">
        <v>155</v>
      </c>
      <c r="Q158" s="45" t="s">
        <v>155</v>
      </c>
      <c r="R158" s="45" t="s">
        <v>155</v>
      </c>
      <c r="S158" s="45" t="s">
        <v>155</v>
      </c>
      <c r="T158" s="46">
        <v>2.6</v>
      </c>
      <c r="U158" s="46" t="s">
        <v>155</v>
      </c>
      <c r="V158" s="46" t="s">
        <v>155</v>
      </c>
      <c r="W158" s="46" t="s">
        <v>155</v>
      </c>
      <c r="X158" s="46">
        <v>2.6</v>
      </c>
      <c r="Y158" s="47">
        <v>2.6</v>
      </c>
      <c r="Z158" s="47" t="s">
        <v>155</v>
      </c>
      <c r="AA158" s="47" t="s">
        <v>155</v>
      </c>
      <c r="AB158" s="47" t="s">
        <v>155</v>
      </c>
      <c r="AC158" s="47">
        <v>2.6</v>
      </c>
      <c r="AD158" s="48">
        <v>63</v>
      </c>
      <c r="AE158" s="48" t="s">
        <v>155</v>
      </c>
      <c r="AF158" s="48" t="s">
        <v>155</v>
      </c>
      <c r="AG158" s="48" t="s">
        <v>155</v>
      </c>
      <c r="AH158" s="48">
        <v>63</v>
      </c>
      <c r="AI158" s="49">
        <v>57</v>
      </c>
      <c r="AJ158" s="49" t="s">
        <v>155</v>
      </c>
      <c r="AK158" s="49" t="s">
        <v>155</v>
      </c>
      <c r="AL158" s="49" t="s">
        <v>155</v>
      </c>
      <c r="AM158" s="49">
        <v>57</v>
      </c>
      <c r="AN158" s="50" t="s">
        <v>155</v>
      </c>
    </row>
    <row r="159" spans="1:40" ht="15.75" customHeight="1" x14ac:dyDescent="0.25">
      <c r="A159" s="34">
        <v>2020</v>
      </c>
      <c r="B159" s="35">
        <v>11171</v>
      </c>
      <c r="C159" s="36" t="s">
        <v>324</v>
      </c>
      <c r="D159" s="36" t="s">
        <v>90</v>
      </c>
      <c r="E159" s="36" t="s">
        <v>209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155</v>
      </c>
      <c r="M159" s="38" t="s">
        <v>155</v>
      </c>
      <c r="N159" s="38">
        <v>20265</v>
      </c>
      <c r="O159" s="45" t="s">
        <v>155</v>
      </c>
      <c r="P159" s="45" t="s">
        <v>155</v>
      </c>
      <c r="Q159" s="45" t="s">
        <v>155</v>
      </c>
      <c r="R159" s="45" t="s">
        <v>155</v>
      </c>
      <c r="S159" s="45" t="s">
        <v>155</v>
      </c>
      <c r="T159" s="46">
        <v>27.532</v>
      </c>
      <c r="U159" s="46">
        <v>26.46</v>
      </c>
      <c r="V159" s="46" t="s">
        <v>155</v>
      </c>
      <c r="W159" s="46" t="s">
        <v>155</v>
      </c>
      <c r="X159" s="46">
        <v>53.991999999999997</v>
      </c>
      <c r="Y159" s="47">
        <v>15.85</v>
      </c>
      <c r="Z159" s="47">
        <v>14.5</v>
      </c>
      <c r="AA159" s="47" t="s">
        <v>155</v>
      </c>
      <c r="AB159" s="47" t="s">
        <v>155</v>
      </c>
      <c r="AC159" s="47">
        <v>30.35</v>
      </c>
      <c r="AD159" s="48">
        <v>640</v>
      </c>
      <c r="AE159" s="48">
        <v>727</v>
      </c>
      <c r="AF159" s="48" t="s">
        <v>155</v>
      </c>
      <c r="AG159" s="48" t="s">
        <v>155</v>
      </c>
      <c r="AH159" s="48">
        <v>1367</v>
      </c>
      <c r="AI159" s="49">
        <v>1154</v>
      </c>
      <c r="AJ159" s="49">
        <v>150</v>
      </c>
      <c r="AK159" s="49" t="s">
        <v>155</v>
      </c>
      <c r="AL159" s="49" t="s">
        <v>155</v>
      </c>
      <c r="AM159" s="49">
        <v>1304</v>
      </c>
      <c r="AN159" s="50" t="s">
        <v>155</v>
      </c>
    </row>
    <row r="160" spans="1:40" ht="15.75" customHeight="1" x14ac:dyDescent="0.25">
      <c r="A160" s="34">
        <v>2020</v>
      </c>
      <c r="B160" s="35">
        <v>11208</v>
      </c>
      <c r="C160" s="36" t="s">
        <v>325</v>
      </c>
      <c r="D160" s="36" t="s">
        <v>17</v>
      </c>
      <c r="E160" s="36" t="s">
        <v>279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155</v>
      </c>
      <c r="K160" s="38">
        <v>6</v>
      </c>
      <c r="L160" s="38">
        <v>3</v>
      </c>
      <c r="M160" s="38" t="s">
        <v>155</v>
      </c>
      <c r="N160" s="38">
        <v>9</v>
      </c>
      <c r="O160" s="45" t="s">
        <v>155</v>
      </c>
      <c r="P160" s="45">
        <v>90.22</v>
      </c>
      <c r="Q160" s="45">
        <v>146.64500000000001</v>
      </c>
      <c r="R160" s="45" t="s">
        <v>155</v>
      </c>
      <c r="S160" s="45">
        <v>236.86500000000001</v>
      </c>
      <c r="T160" s="46" t="s">
        <v>155</v>
      </c>
      <c r="U160" s="46">
        <v>18.044</v>
      </c>
      <c r="V160" s="46">
        <v>29.329000000000001</v>
      </c>
      <c r="W160" s="46" t="s">
        <v>155</v>
      </c>
      <c r="X160" s="46">
        <v>47.372999999999998</v>
      </c>
      <c r="Y160" s="47" t="s">
        <v>155</v>
      </c>
      <c r="Z160" s="47">
        <v>9.0220000000000002</v>
      </c>
      <c r="AA160" s="47">
        <v>14.664999999999999</v>
      </c>
      <c r="AB160" s="47" t="s">
        <v>155</v>
      </c>
      <c r="AC160" s="47">
        <v>23.687000000000001</v>
      </c>
      <c r="AD160" s="48" t="s">
        <v>155</v>
      </c>
      <c r="AE160" s="48">
        <v>157.34399999999999</v>
      </c>
      <c r="AF160" s="48">
        <v>255.749</v>
      </c>
      <c r="AG160" s="48" t="s">
        <v>155</v>
      </c>
      <c r="AH160" s="48">
        <v>413.09300000000002</v>
      </c>
      <c r="AI160" s="49" t="s">
        <v>155</v>
      </c>
      <c r="AJ160" s="49" t="s">
        <v>155</v>
      </c>
      <c r="AK160" s="49" t="s">
        <v>155</v>
      </c>
      <c r="AL160" s="49" t="s">
        <v>155</v>
      </c>
      <c r="AM160" s="49" t="s">
        <v>155</v>
      </c>
      <c r="AN160" s="50" t="s">
        <v>155</v>
      </c>
    </row>
    <row r="161" spans="1:40" ht="15.75" customHeight="1" x14ac:dyDescent="0.25">
      <c r="A161" s="34">
        <v>2020</v>
      </c>
      <c r="B161" s="35">
        <v>11241</v>
      </c>
      <c r="C161" s="36" t="s">
        <v>326</v>
      </c>
      <c r="D161" s="36" t="s">
        <v>52</v>
      </c>
      <c r="E161" s="36" t="s">
        <v>154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155</v>
      </c>
      <c r="K161" s="38" t="s">
        <v>155</v>
      </c>
      <c r="L161" s="38">
        <v>10</v>
      </c>
      <c r="M161" s="38" t="s">
        <v>155</v>
      </c>
      <c r="N161" s="38">
        <v>10</v>
      </c>
      <c r="O161" s="45" t="s">
        <v>155</v>
      </c>
      <c r="P161" s="45" t="s">
        <v>155</v>
      </c>
      <c r="Q161" s="45" t="s">
        <v>155</v>
      </c>
      <c r="R161" s="45" t="s">
        <v>155</v>
      </c>
      <c r="S161" s="45" t="s">
        <v>155</v>
      </c>
      <c r="T161" s="46" t="s">
        <v>155</v>
      </c>
      <c r="U161" s="46" t="s">
        <v>155</v>
      </c>
      <c r="V161" s="46">
        <v>252.2</v>
      </c>
      <c r="W161" s="46" t="s">
        <v>155</v>
      </c>
      <c r="X161" s="46">
        <v>252.2</v>
      </c>
      <c r="Y161" s="47" t="s">
        <v>155</v>
      </c>
      <c r="Z161" s="47" t="s">
        <v>155</v>
      </c>
      <c r="AA161" s="47" t="s">
        <v>155</v>
      </c>
      <c r="AB161" s="47" t="s">
        <v>155</v>
      </c>
      <c r="AC161" s="47" t="s">
        <v>155</v>
      </c>
      <c r="AD161" s="48" t="s">
        <v>155</v>
      </c>
      <c r="AE161" s="48" t="s">
        <v>155</v>
      </c>
      <c r="AF161" s="48" t="s">
        <v>155</v>
      </c>
      <c r="AG161" s="48" t="s">
        <v>155</v>
      </c>
      <c r="AH161" s="48" t="s">
        <v>155</v>
      </c>
      <c r="AI161" s="49" t="s">
        <v>155</v>
      </c>
      <c r="AJ161" s="49" t="s">
        <v>155</v>
      </c>
      <c r="AK161" s="49" t="s">
        <v>155</v>
      </c>
      <c r="AL161" s="49" t="s">
        <v>155</v>
      </c>
      <c r="AM161" s="49" t="s">
        <v>155</v>
      </c>
      <c r="AN161" s="50" t="s">
        <v>155</v>
      </c>
    </row>
    <row r="162" spans="1:40" ht="15.75" customHeight="1" x14ac:dyDescent="0.25">
      <c r="A162" s="34">
        <v>2020</v>
      </c>
      <c r="B162" s="35">
        <v>11249</v>
      </c>
      <c r="C162" s="36" t="s">
        <v>327</v>
      </c>
      <c r="D162" s="36" t="s">
        <v>50</v>
      </c>
      <c r="E162" s="36" t="s">
        <v>316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25">
      <c r="A163" s="34">
        <v>2020</v>
      </c>
      <c r="B163" s="35">
        <v>11251</v>
      </c>
      <c r="C163" s="36" t="s">
        <v>328</v>
      </c>
      <c r="D163" s="36" t="s">
        <v>77</v>
      </c>
      <c r="E163" s="36" t="s">
        <v>175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155</v>
      </c>
      <c r="K163" s="38" t="s">
        <v>155</v>
      </c>
      <c r="L163" s="38">
        <v>493</v>
      </c>
      <c r="M163" s="38" t="s">
        <v>155</v>
      </c>
      <c r="N163" s="38">
        <v>493</v>
      </c>
      <c r="O163" s="45" t="s">
        <v>155</v>
      </c>
      <c r="P163" s="45" t="s">
        <v>155</v>
      </c>
      <c r="Q163" s="45" t="s">
        <v>155</v>
      </c>
      <c r="R163" s="45" t="s">
        <v>155</v>
      </c>
      <c r="S163" s="45" t="s">
        <v>155</v>
      </c>
      <c r="T163" s="46" t="s">
        <v>155</v>
      </c>
      <c r="U163" s="46" t="s">
        <v>155</v>
      </c>
      <c r="V163" s="46">
        <v>31.3</v>
      </c>
      <c r="W163" s="46" t="s">
        <v>155</v>
      </c>
      <c r="X163" s="46">
        <v>31.3</v>
      </c>
      <c r="Y163" s="47" t="s">
        <v>155</v>
      </c>
      <c r="Z163" s="47" t="s">
        <v>155</v>
      </c>
      <c r="AA163" s="47">
        <v>8.3000000000000007</v>
      </c>
      <c r="AB163" s="47" t="s">
        <v>155</v>
      </c>
      <c r="AC163" s="47">
        <v>8.3000000000000007</v>
      </c>
      <c r="AD163" s="48" t="s">
        <v>155</v>
      </c>
      <c r="AE163" s="48" t="s">
        <v>155</v>
      </c>
      <c r="AF163" s="48" t="s">
        <v>155</v>
      </c>
      <c r="AG163" s="48" t="s">
        <v>155</v>
      </c>
      <c r="AH163" s="48" t="s">
        <v>155</v>
      </c>
      <c r="AI163" s="49" t="s">
        <v>155</v>
      </c>
      <c r="AJ163" s="49" t="s">
        <v>155</v>
      </c>
      <c r="AK163" s="49">
        <v>58.393999999999998</v>
      </c>
      <c r="AL163" s="49" t="s">
        <v>155</v>
      </c>
      <c r="AM163" s="49">
        <v>58.393999999999998</v>
      </c>
      <c r="AN163" s="50" t="s">
        <v>155</v>
      </c>
    </row>
    <row r="164" spans="1:40" ht="15.75" customHeight="1" x14ac:dyDescent="0.25">
      <c r="A164" s="34">
        <v>2020</v>
      </c>
      <c r="B164" s="35">
        <v>11273</v>
      </c>
      <c r="C164" s="36" t="s">
        <v>329</v>
      </c>
      <c r="D164" s="36" t="s">
        <v>37</v>
      </c>
      <c r="E164" s="36" t="s">
        <v>188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155</v>
      </c>
      <c r="K164" s="38" t="s">
        <v>155</v>
      </c>
      <c r="L164" s="38" t="s">
        <v>155</v>
      </c>
      <c r="M164" s="38" t="s">
        <v>155</v>
      </c>
      <c r="N164" s="38" t="s">
        <v>155</v>
      </c>
      <c r="O164" s="45" t="s">
        <v>155</v>
      </c>
      <c r="P164" s="45" t="s">
        <v>155</v>
      </c>
      <c r="Q164" s="45" t="s">
        <v>155</v>
      </c>
      <c r="R164" s="45" t="s">
        <v>155</v>
      </c>
      <c r="S164" s="45" t="s">
        <v>155</v>
      </c>
      <c r="T164" s="46" t="s">
        <v>155</v>
      </c>
      <c r="U164" s="46" t="s">
        <v>155</v>
      </c>
      <c r="V164" s="46" t="s">
        <v>155</v>
      </c>
      <c r="W164" s="46" t="s">
        <v>155</v>
      </c>
      <c r="X164" s="46" t="s">
        <v>155</v>
      </c>
      <c r="Y164" s="47" t="s">
        <v>155</v>
      </c>
      <c r="Z164" s="47" t="s">
        <v>155</v>
      </c>
      <c r="AA164" s="47" t="s">
        <v>155</v>
      </c>
      <c r="AB164" s="47" t="s">
        <v>155</v>
      </c>
      <c r="AC164" s="47" t="s">
        <v>155</v>
      </c>
      <c r="AD164" s="48" t="s">
        <v>155</v>
      </c>
      <c r="AE164" s="48" t="s">
        <v>155</v>
      </c>
      <c r="AF164" s="48" t="s">
        <v>155</v>
      </c>
      <c r="AG164" s="48" t="s">
        <v>155</v>
      </c>
      <c r="AH164" s="48" t="s">
        <v>155</v>
      </c>
      <c r="AI164" s="49" t="s">
        <v>155</v>
      </c>
      <c r="AJ164" s="49" t="s">
        <v>155</v>
      </c>
      <c r="AK164" s="49" t="s">
        <v>155</v>
      </c>
      <c r="AL164" s="49" t="s">
        <v>155</v>
      </c>
      <c r="AM164" s="49" t="s">
        <v>155</v>
      </c>
      <c r="AN164" s="50" t="s">
        <v>155</v>
      </c>
    </row>
    <row r="165" spans="1:40" ht="15.75" customHeight="1" x14ac:dyDescent="0.25">
      <c r="A165" s="34">
        <v>2020</v>
      </c>
      <c r="B165" s="35">
        <v>11273</v>
      </c>
      <c r="C165" s="36" t="s">
        <v>329</v>
      </c>
      <c r="D165" s="36" t="s">
        <v>126</v>
      </c>
      <c r="E165" s="36" t="s">
        <v>188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155</v>
      </c>
      <c r="K165" s="38" t="s">
        <v>155</v>
      </c>
      <c r="L165" s="38" t="s">
        <v>155</v>
      </c>
      <c r="M165" s="38" t="s">
        <v>155</v>
      </c>
      <c r="N165" s="38" t="s">
        <v>155</v>
      </c>
      <c r="O165" s="45" t="s">
        <v>155</v>
      </c>
      <c r="P165" s="45" t="s">
        <v>155</v>
      </c>
      <c r="Q165" s="45" t="s">
        <v>155</v>
      </c>
      <c r="R165" s="45" t="s">
        <v>155</v>
      </c>
      <c r="S165" s="45" t="s">
        <v>155</v>
      </c>
      <c r="T165" s="46" t="s">
        <v>155</v>
      </c>
      <c r="U165" s="46" t="s">
        <v>155</v>
      </c>
      <c r="V165" s="46" t="s">
        <v>155</v>
      </c>
      <c r="W165" s="46" t="s">
        <v>155</v>
      </c>
      <c r="X165" s="46" t="s">
        <v>155</v>
      </c>
      <c r="Y165" s="47" t="s">
        <v>155</v>
      </c>
      <c r="Z165" s="47" t="s">
        <v>155</v>
      </c>
      <c r="AA165" s="47" t="s">
        <v>155</v>
      </c>
      <c r="AB165" s="47" t="s">
        <v>155</v>
      </c>
      <c r="AC165" s="47" t="s">
        <v>155</v>
      </c>
      <c r="AD165" s="48" t="s">
        <v>155</v>
      </c>
      <c r="AE165" s="48" t="s">
        <v>155</v>
      </c>
      <c r="AF165" s="48" t="s">
        <v>155</v>
      </c>
      <c r="AG165" s="48" t="s">
        <v>155</v>
      </c>
      <c r="AH165" s="48" t="s">
        <v>155</v>
      </c>
      <c r="AI165" s="49" t="s">
        <v>155</v>
      </c>
      <c r="AJ165" s="49" t="s">
        <v>155</v>
      </c>
      <c r="AK165" s="49" t="s">
        <v>155</v>
      </c>
      <c r="AL165" s="49" t="s">
        <v>155</v>
      </c>
      <c r="AM165" s="49" t="s">
        <v>155</v>
      </c>
      <c r="AN165" s="50" t="s">
        <v>155</v>
      </c>
    </row>
    <row r="166" spans="1:40" ht="15.75" customHeight="1" x14ac:dyDescent="0.25">
      <c r="A166" s="34">
        <v>2020</v>
      </c>
      <c r="B166" s="35">
        <v>11291</v>
      </c>
      <c r="C166" s="36" t="s">
        <v>330</v>
      </c>
      <c r="D166" s="36" t="s">
        <v>92</v>
      </c>
      <c r="E166" s="36" t="s">
        <v>202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155</v>
      </c>
      <c r="M166" s="38" t="s">
        <v>155</v>
      </c>
      <c r="N166" s="38">
        <v>474</v>
      </c>
      <c r="O166" s="45">
        <v>104.38500000000001</v>
      </c>
      <c r="P166" s="45">
        <v>0</v>
      </c>
      <c r="Q166" s="45" t="s">
        <v>155</v>
      </c>
      <c r="R166" s="45" t="s">
        <v>155</v>
      </c>
      <c r="S166" s="45">
        <v>104.38500000000001</v>
      </c>
      <c r="T166" s="46">
        <v>5.4770000000000003</v>
      </c>
      <c r="U166" s="46">
        <v>0</v>
      </c>
      <c r="V166" s="46" t="s">
        <v>155</v>
      </c>
      <c r="W166" s="46" t="s">
        <v>155</v>
      </c>
      <c r="X166" s="46">
        <v>5.4770000000000003</v>
      </c>
      <c r="Y166" s="47">
        <v>5.4770000000000003</v>
      </c>
      <c r="Z166" s="47">
        <v>0</v>
      </c>
      <c r="AA166" s="47" t="s">
        <v>155</v>
      </c>
      <c r="AB166" s="47" t="s">
        <v>155</v>
      </c>
      <c r="AC166" s="47">
        <v>5.4770000000000003</v>
      </c>
      <c r="AD166" s="48">
        <v>28.346</v>
      </c>
      <c r="AE166" s="48">
        <v>0</v>
      </c>
      <c r="AF166" s="48" t="s">
        <v>155</v>
      </c>
      <c r="AG166" s="48" t="s">
        <v>155</v>
      </c>
      <c r="AH166" s="48">
        <v>28.346</v>
      </c>
      <c r="AI166" s="49">
        <v>0</v>
      </c>
      <c r="AJ166" s="49">
        <v>0</v>
      </c>
      <c r="AK166" s="49" t="s">
        <v>155</v>
      </c>
      <c r="AL166" s="49" t="s">
        <v>155</v>
      </c>
      <c r="AM166" s="49">
        <v>0</v>
      </c>
      <c r="AN166" s="50">
        <v>9</v>
      </c>
    </row>
    <row r="167" spans="1:40" ht="15.75" customHeight="1" x14ac:dyDescent="0.25">
      <c r="A167" s="34">
        <v>2020</v>
      </c>
      <c r="B167" s="35">
        <v>11475</v>
      </c>
      <c r="C167" s="36" t="s">
        <v>331</v>
      </c>
      <c r="D167" s="36" t="s">
        <v>108</v>
      </c>
      <c r="E167" s="36" t="s">
        <v>154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155</v>
      </c>
      <c r="L167" s="38" t="s">
        <v>155</v>
      </c>
      <c r="M167" s="38" t="s">
        <v>155</v>
      </c>
      <c r="N167" s="38">
        <v>2050</v>
      </c>
      <c r="O167" s="45">
        <v>109</v>
      </c>
      <c r="P167" s="45" t="s">
        <v>155</v>
      </c>
      <c r="Q167" s="45" t="s">
        <v>155</v>
      </c>
      <c r="R167" s="45" t="s">
        <v>155</v>
      </c>
      <c r="S167" s="45">
        <v>109</v>
      </c>
      <c r="T167" s="46">
        <v>18</v>
      </c>
      <c r="U167" s="46" t="s">
        <v>155</v>
      </c>
      <c r="V167" s="46" t="s">
        <v>155</v>
      </c>
      <c r="W167" s="46" t="s">
        <v>155</v>
      </c>
      <c r="X167" s="46">
        <v>18</v>
      </c>
      <c r="Y167" s="47">
        <v>0</v>
      </c>
      <c r="Z167" s="47" t="s">
        <v>155</v>
      </c>
      <c r="AA167" s="47" t="s">
        <v>155</v>
      </c>
      <c r="AB167" s="47" t="s">
        <v>155</v>
      </c>
      <c r="AC167" s="47">
        <v>0</v>
      </c>
      <c r="AD167" s="48">
        <v>183</v>
      </c>
      <c r="AE167" s="48" t="s">
        <v>155</v>
      </c>
      <c r="AF167" s="48" t="s">
        <v>155</v>
      </c>
      <c r="AG167" s="48" t="s">
        <v>155</v>
      </c>
      <c r="AH167" s="48">
        <v>183</v>
      </c>
      <c r="AI167" s="49">
        <v>8</v>
      </c>
      <c r="AJ167" s="49" t="s">
        <v>155</v>
      </c>
      <c r="AK167" s="49" t="s">
        <v>155</v>
      </c>
      <c r="AL167" s="49" t="s">
        <v>155</v>
      </c>
      <c r="AM167" s="49">
        <v>8</v>
      </c>
      <c r="AN167" s="50" t="s">
        <v>155</v>
      </c>
    </row>
    <row r="168" spans="1:40" ht="15.75" customHeight="1" x14ac:dyDescent="0.25">
      <c r="A168" s="34">
        <v>2020</v>
      </c>
      <c r="B168" s="35">
        <v>11479</v>
      </c>
      <c r="C168" s="36" t="s">
        <v>332</v>
      </c>
      <c r="D168" s="36" t="s">
        <v>124</v>
      </c>
      <c r="E168" s="36" t="s">
        <v>154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155</v>
      </c>
      <c r="K168" s="38" t="s">
        <v>155</v>
      </c>
      <c r="L168" s="38" t="s">
        <v>155</v>
      </c>
      <c r="M168" s="38" t="s">
        <v>155</v>
      </c>
      <c r="N168" s="38" t="s">
        <v>155</v>
      </c>
      <c r="O168" s="45" t="s">
        <v>155</v>
      </c>
      <c r="P168" s="45" t="s">
        <v>155</v>
      </c>
      <c r="Q168" s="45" t="s">
        <v>155</v>
      </c>
      <c r="R168" s="45" t="s">
        <v>155</v>
      </c>
      <c r="S168" s="45" t="s">
        <v>155</v>
      </c>
      <c r="T168" s="46" t="s">
        <v>155</v>
      </c>
      <c r="U168" s="46" t="s">
        <v>155</v>
      </c>
      <c r="V168" s="46" t="s">
        <v>155</v>
      </c>
      <c r="W168" s="46" t="s">
        <v>155</v>
      </c>
      <c r="X168" s="46" t="s">
        <v>155</v>
      </c>
      <c r="Y168" s="47" t="s">
        <v>155</v>
      </c>
      <c r="Z168" s="47" t="s">
        <v>155</v>
      </c>
      <c r="AA168" s="47" t="s">
        <v>155</v>
      </c>
      <c r="AB168" s="47" t="s">
        <v>155</v>
      </c>
      <c r="AC168" s="47" t="s">
        <v>155</v>
      </c>
      <c r="AD168" s="48" t="s">
        <v>155</v>
      </c>
      <c r="AE168" s="48" t="s">
        <v>155</v>
      </c>
      <c r="AF168" s="48" t="s">
        <v>155</v>
      </c>
      <c r="AG168" s="48" t="s">
        <v>155</v>
      </c>
      <c r="AH168" s="48" t="s">
        <v>155</v>
      </c>
      <c r="AI168" s="49" t="s">
        <v>155</v>
      </c>
      <c r="AJ168" s="49" t="s">
        <v>155</v>
      </c>
      <c r="AK168" s="49" t="s">
        <v>155</v>
      </c>
      <c r="AL168" s="49" t="s">
        <v>155</v>
      </c>
      <c r="AM168" s="49" t="s">
        <v>155</v>
      </c>
      <c r="AN168" s="50" t="s">
        <v>155</v>
      </c>
    </row>
    <row r="169" spans="1:40" ht="15.75" customHeight="1" x14ac:dyDescent="0.25">
      <c r="A169" s="34">
        <v>2020</v>
      </c>
      <c r="B169" s="35">
        <v>11501</v>
      </c>
      <c r="C169" s="36" t="s">
        <v>333</v>
      </c>
      <c r="D169" s="36" t="s">
        <v>112</v>
      </c>
      <c r="E169" s="36" t="s">
        <v>180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155</v>
      </c>
      <c r="L169" s="38" t="s">
        <v>155</v>
      </c>
      <c r="M169" s="38" t="s">
        <v>155</v>
      </c>
      <c r="N169" s="38">
        <v>825</v>
      </c>
      <c r="O169" s="45">
        <v>4.2</v>
      </c>
      <c r="P169" s="45" t="s">
        <v>155</v>
      </c>
      <c r="Q169" s="45" t="s">
        <v>155</v>
      </c>
      <c r="R169" s="45" t="s">
        <v>155</v>
      </c>
      <c r="S169" s="45">
        <v>4.2</v>
      </c>
      <c r="T169" s="46">
        <v>1.9</v>
      </c>
      <c r="U169" s="46" t="s">
        <v>155</v>
      </c>
      <c r="V169" s="46" t="s">
        <v>155</v>
      </c>
      <c r="W169" s="46" t="s">
        <v>155</v>
      </c>
      <c r="X169" s="46">
        <v>1.9</v>
      </c>
      <c r="Y169" s="47">
        <v>1.1000000000000001</v>
      </c>
      <c r="Z169" s="47" t="s">
        <v>155</v>
      </c>
      <c r="AA169" s="47" t="s">
        <v>155</v>
      </c>
      <c r="AB169" s="47" t="s">
        <v>155</v>
      </c>
      <c r="AC169" s="47">
        <v>1.1000000000000001</v>
      </c>
      <c r="AD169" s="48">
        <v>20.625</v>
      </c>
      <c r="AE169" s="48" t="s">
        <v>155</v>
      </c>
      <c r="AF169" s="48" t="s">
        <v>155</v>
      </c>
      <c r="AG169" s="48" t="s">
        <v>155</v>
      </c>
      <c r="AH169" s="48">
        <v>20.625</v>
      </c>
      <c r="AI169" s="49">
        <v>25</v>
      </c>
      <c r="AJ169" s="49" t="s">
        <v>155</v>
      </c>
      <c r="AK169" s="49" t="s">
        <v>155</v>
      </c>
      <c r="AL169" s="49" t="s">
        <v>155</v>
      </c>
      <c r="AM169" s="49">
        <v>25</v>
      </c>
      <c r="AN169" s="50" t="s">
        <v>155</v>
      </c>
    </row>
    <row r="170" spans="1:40" ht="15.75" customHeight="1" x14ac:dyDescent="0.25">
      <c r="A170" s="34">
        <v>2020</v>
      </c>
      <c r="B170" s="35">
        <v>11560</v>
      </c>
      <c r="C170" s="36" t="s">
        <v>334</v>
      </c>
      <c r="D170" s="36" t="s">
        <v>118</v>
      </c>
      <c r="E170" s="36" t="s">
        <v>167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155</v>
      </c>
      <c r="L170" s="38" t="s">
        <v>155</v>
      </c>
      <c r="M170" s="38" t="s">
        <v>155</v>
      </c>
      <c r="N170" s="38">
        <v>1968</v>
      </c>
      <c r="O170" s="45">
        <v>8.4120000000000008</v>
      </c>
      <c r="P170" s="45" t="s">
        <v>155</v>
      </c>
      <c r="Q170" s="45" t="s">
        <v>155</v>
      </c>
      <c r="R170" s="45" t="s">
        <v>155</v>
      </c>
      <c r="S170" s="45">
        <v>8.4120000000000008</v>
      </c>
      <c r="T170" s="46">
        <v>0.70099999999999996</v>
      </c>
      <c r="U170" s="46" t="s">
        <v>155</v>
      </c>
      <c r="V170" s="46" t="s">
        <v>155</v>
      </c>
      <c r="W170" s="46" t="s">
        <v>155</v>
      </c>
      <c r="X170" s="46">
        <v>0.70099999999999996</v>
      </c>
      <c r="Y170" s="47">
        <v>0.70099999999999996</v>
      </c>
      <c r="Z170" s="47" t="s">
        <v>155</v>
      </c>
      <c r="AA170" s="47" t="s">
        <v>155</v>
      </c>
      <c r="AB170" s="47" t="s">
        <v>155</v>
      </c>
      <c r="AC170" s="47">
        <v>0.70099999999999996</v>
      </c>
      <c r="AD170" s="48" t="s">
        <v>155</v>
      </c>
      <c r="AE170" s="48" t="s">
        <v>155</v>
      </c>
      <c r="AF170" s="48" t="s">
        <v>155</v>
      </c>
      <c r="AG170" s="48" t="s">
        <v>155</v>
      </c>
      <c r="AH170" s="48" t="s">
        <v>155</v>
      </c>
      <c r="AI170" s="49">
        <v>26.103999999999999</v>
      </c>
      <c r="AJ170" s="49" t="s">
        <v>155</v>
      </c>
      <c r="AK170" s="49" t="s">
        <v>155</v>
      </c>
      <c r="AL170" s="49" t="s">
        <v>155</v>
      </c>
      <c r="AM170" s="49">
        <v>26.103999999999999</v>
      </c>
      <c r="AN170" s="50" t="s">
        <v>155</v>
      </c>
    </row>
    <row r="171" spans="1:40" ht="15.75" customHeight="1" x14ac:dyDescent="0.25">
      <c r="A171" s="34">
        <v>2020</v>
      </c>
      <c r="B171" s="35">
        <v>11731</v>
      </c>
      <c r="C171" s="36" t="s">
        <v>335</v>
      </c>
      <c r="D171" s="36" t="s">
        <v>66</v>
      </c>
      <c r="E171" s="36" t="s">
        <v>154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25">
      <c r="A172" s="34">
        <v>2020</v>
      </c>
      <c r="B172" s="35">
        <v>11811</v>
      </c>
      <c r="C172" s="36" t="s">
        <v>336</v>
      </c>
      <c r="D172" s="36" t="s">
        <v>90</v>
      </c>
      <c r="E172" s="36" t="s">
        <v>209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155</v>
      </c>
      <c r="M172" s="38" t="s">
        <v>155</v>
      </c>
      <c r="N172" s="38">
        <v>743</v>
      </c>
      <c r="O172" s="45" t="s">
        <v>155</v>
      </c>
      <c r="P172" s="45" t="s">
        <v>155</v>
      </c>
      <c r="Q172" s="45" t="s">
        <v>155</v>
      </c>
      <c r="R172" s="45" t="s">
        <v>155</v>
      </c>
      <c r="S172" s="45" t="s">
        <v>155</v>
      </c>
      <c r="T172" s="46">
        <v>2.25</v>
      </c>
      <c r="U172" s="46">
        <v>0.27200000000000002</v>
      </c>
      <c r="V172" s="46" t="s">
        <v>155</v>
      </c>
      <c r="W172" s="46" t="s">
        <v>155</v>
      </c>
      <c r="X172" s="46">
        <v>2.5219999999999998</v>
      </c>
      <c r="Y172" s="47" t="s">
        <v>155</v>
      </c>
      <c r="Z172" s="47" t="s">
        <v>155</v>
      </c>
      <c r="AA172" s="47" t="s">
        <v>155</v>
      </c>
      <c r="AB172" s="47" t="s">
        <v>155</v>
      </c>
      <c r="AC172" s="47" t="s">
        <v>155</v>
      </c>
      <c r="AD172" s="48" t="s">
        <v>155</v>
      </c>
      <c r="AE172" s="48" t="s">
        <v>155</v>
      </c>
      <c r="AF172" s="48" t="s">
        <v>155</v>
      </c>
      <c r="AG172" s="48" t="s">
        <v>155</v>
      </c>
      <c r="AH172" s="48" t="s">
        <v>155</v>
      </c>
      <c r="AI172" s="49" t="s">
        <v>155</v>
      </c>
      <c r="AJ172" s="49" t="s">
        <v>155</v>
      </c>
      <c r="AK172" s="49" t="s">
        <v>155</v>
      </c>
      <c r="AL172" s="49" t="s">
        <v>155</v>
      </c>
      <c r="AM172" s="49" t="s">
        <v>155</v>
      </c>
      <c r="AN172" s="50" t="s">
        <v>155</v>
      </c>
    </row>
    <row r="173" spans="1:40" ht="15.75" customHeight="1" x14ac:dyDescent="0.25">
      <c r="A173" s="34">
        <v>2020</v>
      </c>
      <c r="B173" s="35">
        <v>11843</v>
      </c>
      <c r="C173" s="36" t="s">
        <v>337</v>
      </c>
      <c r="D173" s="36" t="s">
        <v>34</v>
      </c>
      <c r="E173" s="36" t="s">
        <v>164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155</v>
      </c>
      <c r="M173" s="38" t="s">
        <v>155</v>
      </c>
      <c r="N173" s="38">
        <v>31</v>
      </c>
      <c r="O173" s="45" t="s">
        <v>155</v>
      </c>
      <c r="P173" s="45">
        <v>4.9000000000000004</v>
      </c>
      <c r="Q173" s="45" t="s">
        <v>155</v>
      </c>
      <c r="R173" s="45" t="s">
        <v>155</v>
      </c>
      <c r="S173" s="45">
        <v>4.9000000000000004</v>
      </c>
      <c r="T173" s="46" t="s">
        <v>155</v>
      </c>
      <c r="U173" s="46">
        <v>4.9000000000000004</v>
      </c>
      <c r="V173" s="46" t="s">
        <v>155</v>
      </c>
      <c r="W173" s="46" t="s">
        <v>155</v>
      </c>
      <c r="X173" s="46">
        <v>4.9000000000000004</v>
      </c>
      <c r="Y173" s="47" t="s">
        <v>155</v>
      </c>
      <c r="Z173" s="47" t="s">
        <v>155</v>
      </c>
      <c r="AA173" s="47" t="s">
        <v>155</v>
      </c>
      <c r="AB173" s="47" t="s">
        <v>155</v>
      </c>
      <c r="AC173" s="47" t="s">
        <v>155</v>
      </c>
      <c r="AD173" s="48">
        <v>3.2000000000000001E-2</v>
      </c>
      <c r="AE173" s="48">
        <v>234.27500000000001</v>
      </c>
      <c r="AF173" s="48" t="s">
        <v>155</v>
      </c>
      <c r="AG173" s="48" t="s">
        <v>155</v>
      </c>
      <c r="AH173" s="48">
        <v>234.30699999999999</v>
      </c>
      <c r="AI173" s="49">
        <v>0.43</v>
      </c>
      <c r="AJ173" s="49">
        <v>44.527999999999999</v>
      </c>
      <c r="AK173" s="49" t="s">
        <v>155</v>
      </c>
      <c r="AL173" s="49" t="s">
        <v>155</v>
      </c>
      <c r="AM173" s="49">
        <v>44.957999999999998</v>
      </c>
      <c r="AN173" s="50" t="s">
        <v>155</v>
      </c>
    </row>
    <row r="174" spans="1:40" ht="15.75" customHeight="1" x14ac:dyDescent="0.25">
      <c r="A174" s="34">
        <v>2020</v>
      </c>
      <c r="B174" s="35">
        <v>12199</v>
      </c>
      <c r="C174" s="36" t="s">
        <v>338</v>
      </c>
      <c r="D174" s="36" t="s">
        <v>74</v>
      </c>
      <c r="E174" s="36" t="s">
        <v>175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155</v>
      </c>
      <c r="K174" s="38">
        <v>1</v>
      </c>
      <c r="L174" s="38">
        <v>12</v>
      </c>
      <c r="M174" s="38" t="s">
        <v>155</v>
      </c>
      <c r="N174" s="38">
        <v>13</v>
      </c>
      <c r="O174" s="45" t="s">
        <v>155</v>
      </c>
      <c r="P174" s="45" t="s">
        <v>155</v>
      </c>
      <c r="Q174" s="45" t="s">
        <v>155</v>
      </c>
      <c r="R174" s="45" t="s">
        <v>155</v>
      </c>
      <c r="S174" s="45" t="s">
        <v>155</v>
      </c>
      <c r="T174" s="46" t="s">
        <v>155</v>
      </c>
      <c r="U174" s="46">
        <v>7.5999999999999998E-2</v>
      </c>
      <c r="V174" s="46">
        <v>21.978999999999999</v>
      </c>
      <c r="W174" s="46" t="s">
        <v>155</v>
      </c>
      <c r="X174" s="46">
        <v>22.055</v>
      </c>
      <c r="Y174" s="47" t="s">
        <v>155</v>
      </c>
      <c r="Z174" s="47" t="s">
        <v>155</v>
      </c>
      <c r="AA174" s="47" t="s">
        <v>155</v>
      </c>
      <c r="AB174" s="47" t="s">
        <v>155</v>
      </c>
      <c r="AC174" s="47" t="s">
        <v>155</v>
      </c>
      <c r="AD174" s="48" t="s">
        <v>155</v>
      </c>
      <c r="AE174" s="48">
        <v>2.641</v>
      </c>
      <c r="AF174" s="48">
        <v>759.56899999999996</v>
      </c>
      <c r="AG174" s="48" t="s">
        <v>155</v>
      </c>
      <c r="AH174" s="48">
        <v>762.21</v>
      </c>
      <c r="AI174" s="49" t="s">
        <v>155</v>
      </c>
      <c r="AJ174" s="49">
        <v>1.1319999999999999</v>
      </c>
      <c r="AK174" s="49">
        <v>325.52999999999997</v>
      </c>
      <c r="AL174" s="49" t="s">
        <v>155</v>
      </c>
      <c r="AM174" s="49">
        <v>326.66199999999998</v>
      </c>
      <c r="AN174" s="50" t="s">
        <v>155</v>
      </c>
    </row>
    <row r="175" spans="1:40" ht="15.75" customHeight="1" x14ac:dyDescent="0.25">
      <c r="A175" s="34">
        <v>2020</v>
      </c>
      <c r="B175" s="35">
        <v>12199</v>
      </c>
      <c r="C175" s="36" t="s">
        <v>338</v>
      </c>
      <c r="D175" s="36" t="s">
        <v>94</v>
      </c>
      <c r="E175" s="36" t="s">
        <v>154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155</v>
      </c>
      <c r="K175" s="38">
        <v>21</v>
      </c>
      <c r="L175" s="38">
        <v>5</v>
      </c>
      <c r="M175" s="38" t="s">
        <v>155</v>
      </c>
      <c r="N175" s="38">
        <v>26</v>
      </c>
      <c r="O175" s="45" t="s">
        <v>155</v>
      </c>
      <c r="P175" s="45" t="s">
        <v>155</v>
      </c>
      <c r="Q175" s="45" t="s">
        <v>155</v>
      </c>
      <c r="R175" s="45" t="s">
        <v>155</v>
      </c>
      <c r="S175" s="45" t="s">
        <v>155</v>
      </c>
      <c r="T175" s="46" t="s">
        <v>155</v>
      </c>
      <c r="U175" s="46">
        <v>7.06</v>
      </c>
      <c r="V175" s="46">
        <v>11.273999999999999</v>
      </c>
      <c r="W175" s="46" t="s">
        <v>155</v>
      </c>
      <c r="X175" s="46">
        <v>18.334</v>
      </c>
      <c r="Y175" s="47" t="s">
        <v>155</v>
      </c>
      <c r="Z175" s="47" t="s">
        <v>155</v>
      </c>
      <c r="AA175" s="47" t="s">
        <v>155</v>
      </c>
      <c r="AB175" s="47" t="s">
        <v>155</v>
      </c>
      <c r="AC175" s="47" t="s">
        <v>155</v>
      </c>
      <c r="AD175" s="48" t="s">
        <v>155</v>
      </c>
      <c r="AE175" s="48">
        <v>498.79399999999998</v>
      </c>
      <c r="AF175" s="48">
        <v>697.36400000000003</v>
      </c>
      <c r="AG175" s="48" t="s">
        <v>155</v>
      </c>
      <c r="AH175" s="48">
        <v>1196.1579999999999</v>
      </c>
      <c r="AI175" s="49" t="s">
        <v>155</v>
      </c>
      <c r="AJ175" s="49">
        <v>27.398</v>
      </c>
      <c r="AK175" s="49">
        <v>21.029</v>
      </c>
      <c r="AL175" s="49" t="s">
        <v>155</v>
      </c>
      <c r="AM175" s="49">
        <v>48.427</v>
      </c>
      <c r="AN175" s="50" t="s">
        <v>155</v>
      </c>
    </row>
    <row r="176" spans="1:40" ht="15.75" customHeight="1" x14ac:dyDescent="0.25">
      <c r="A176" s="34">
        <v>2020</v>
      </c>
      <c r="B176" s="35">
        <v>12199</v>
      </c>
      <c r="C176" s="36" t="s">
        <v>338</v>
      </c>
      <c r="D176" s="36" t="s">
        <v>126</v>
      </c>
      <c r="E176" s="36" t="s">
        <v>292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155</v>
      </c>
      <c r="L176" s="38" t="s">
        <v>155</v>
      </c>
      <c r="M176" s="38" t="s">
        <v>155</v>
      </c>
      <c r="N176" s="38">
        <v>736</v>
      </c>
      <c r="O176" s="45">
        <v>342.20299999999997</v>
      </c>
      <c r="P176" s="45" t="s">
        <v>155</v>
      </c>
      <c r="Q176" s="45" t="s">
        <v>155</v>
      </c>
      <c r="R176" s="45" t="s">
        <v>155</v>
      </c>
      <c r="S176" s="45">
        <v>342.20299999999997</v>
      </c>
      <c r="T176" s="46">
        <v>16.103999999999999</v>
      </c>
      <c r="U176" s="46" t="s">
        <v>155</v>
      </c>
      <c r="V176" s="46" t="s">
        <v>155</v>
      </c>
      <c r="W176" s="46" t="s">
        <v>155</v>
      </c>
      <c r="X176" s="46">
        <v>16.103999999999999</v>
      </c>
      <c r="Y176" s="47">
        <v>2.8340000000000001</v>
      </c>
      <c r="Z176" s="47" t="s">
        <v>155</v>
      </c>
      <c r="AA176" s="47" t="s">
        <v>155</v>
      </c>
      <c r="AB176" s="47" t="s">
        <v>155</v>
      </c>
      <c r="AC176" s="47">
        <v>2.8340000000000001</v>
      </c>
      <c r="AD176" s="48">
        <v>183.441</v>
      </c>
      <c r="AE176" s="48" t="s">
        <v>155</v>
      </c>
      <c r="AF176" s="48" t="s">
        <v>155</v>
      </c>
      <c r="AG176" s="48" t="s">
        <v>155</v>
      </c>
      <c r="AH176" s="48">
        <v>183.441</v>
      </c>
      <c r="AI176" s="49">
        <v>183.441</v>
      </c>
      <c r="AJ176" s="49" t="s">
        <v>155</v>
      </c>
      <c r="AK176" s="49" t="s">
        <v>155</v>
      </c>
      <c r="AL176" s="49" t="s">
        <v>155</v>
      </c>
      <c r="AM176" s="49">
        <v>183.441</v>
      </c>
      <c r="AN176" s="50" t="s">
        <v>155</v>
      </c>
    </row>
    <row r="177" spans="1:40" ht="15.75" customHeight="1" x14ac:dyDescent="0.25">
      <c r="A177" s="34">
        <v>2020</v>
      </c>
      <c r="B177" s="35">
        <v>12208</v>
      </c>
      <c r="C177" s="36" t="s">
        <v>339</v>
      </c>
      <c r="D177" s="36" t="s">
        <v>47</v>
      </c>
      <c r="E177" s="36" t="s">
        <v>175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155</v>
      </c>
      <c r="K177" s="38">
        <v>22</v>
      </c>
      <c r="L177" s="38" t="s">
        <v>155</v>
      </c>
      <c r="M177" s="38" t="s">
        <v>155</v>
      </c>
      <c r="N177" s="38">
        <v>22</v>
      </c>
      <c r="O177" s="45" t="s">
        <v>155</v>
      </c>
      <c r="P177" s="45" t="s">
        <v>155</v>
      </c>
      <c r="Q177" s="45" t="s">
        <v>155</v>
      </c>
      <c r="R177" s="45" t="s">
        <v>155</v>
      </c>
      <c r="S177" s="45" t="s">
        <v>155</v>
      </c>
      <c r="T177" s="46" t="s">
        <v>155</v>
      </c>
      <c r="U177" s="46">
        <v>1</v>
      </c>
      <c r="V177" s="46" t="s">
        <v>155</v>
      </c>
      <c r="W177" s="46" t="s">
        <v>155</v>
      </c>
      <c r="X177" s="46">
        <v>1</v>
      </c>
      <c r="Y177" s="47" t="s">
        <v>155</v>
      </c>
      <c r="Z177" s="47">
        <v>1</v>
      </c>
      <c r="AA177" s="47" t="s">
        <v>155</v>
      </c>
      <c r="AB177" s="47" t="s">
        <v>155</v>
      </c>
      <c r="AC177" s="47">
        <v>1</v>
      </c>
      <c r="AD177" s="48" t="s">
        <v>155</v>
      </c>
      <c r="AE177" s="48">
        <v>12</v>
      </c>
      <c r="AF177" s="48" t="s">
        <v>155</v>
      </c>
      <c r="AG177" s="48" t="s">
        <v>155</v>
      </c>
      <c r="AH177" s="48">
        <v>12</v>
      </c>
      <c r="AI177" s="49" t="s">
        <v>155</v>
      </c>
      <c r="AJ177" s="49">
        <v>1</v>
      </c>
      <c r="AK177" s="49" t="s">
        <v>155</v>
      </c>
      <c r="AL177" s="49" t="s">
        <v>155</v>
      </c>
      <c r="AM177" s="49">
        <v>1</v>
      </c>
      <c r="AN177" s="50" t="s">
        <v>155</v>
      </c>
    </row>
    <row r="178" spans="1:40" ht="15.75" customHeight="1" x14ac:dyDescent="0.25">
      <c r="A178" s="34">
        <v>2020</v>
      </c>
      <c r="B178" s="35">
        <v>12260</v>
      </c>
      <c r="C178" s="36" t="s">
        <v>340</v>
      </c>
      <c r="D178" s="36" t="s">
        <v>118</v>
      </c>
      <c r="E178" s="36" t="s">
        <v>167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155</v>
      </c>
      <c r="K178" s="38" t="s">
        <v>155</v>
      </c>
      <c r="L178" s="38">
        <v>5</v>
      </c>
      <c r="M178" s="38" t="s">
        <v>155</v>
      </c>
      <c r="N178" s="38">
        <v>5</v>
      </c>
      <c r="O178" s="45" t="s">
        <v>155</v>
      </c>
      <c r="P178" s="45" t="s">
        <v>155</v>
      </c>
      <c r="Q178" s="45">
        <v>140</v>
      </c>
      <c r="R178" s="45" t="s">
        <v>155</v>
      </c>
      <c r="S178" s="45">
        <v>140</v>
      </c>
      <c r="T178" s="46" t="s">
        <v>155</v>
      </c>
      <c r="U178" s="46" t="s">
        <v>155</v>
      </c>
      <c r="V178" s="46">
        <v>5</v>
      </c>
      <c r="W178" s="46" t="s">
        <v>155</v>
      </c>
      <c r="X178" s="46">
        <v>5</v>
      </c>
      <c r="Y178" s="47" t="s">
        <v>155</v>
      </c>
      <c r="Z178" s="47" t="s">
        <v>155</v>
      </c>
      <c r="AA178" s="47">
        <v>2</v>
      </c>
      <c r="AB178" s="47" t="s">
        <v>155</v>
      </c>
      <c r="AC178" s="47">
        <v>2</v>
      </c>
      <c r="AD178" s="48" t="s">
        <v>155</v>
      </c>
      <c r="AE178" s="48" t="s">
        <v>155</v>
      </c>
      <c r="AF178" s="48">
        <v>4.0949999999999998</v>
      </c>
      <c r="AG178" s="48" t="s">
        <v>155</v>
      </c>
      <c r="AH178" s="48">
        <v>4.0949999999999998</v>
      </c>
      <c r="AI178" s="49" t="s">
        <v>155</v>
      </c>
      <c r="AJ178" s="49" t="s">
        <v>155</v>
      </c>
      <c r="AK178" s="49" t="s">
        <v>155</v>
      </c>
      <c r="AL178" s="49" t="s">
        <v>155</v>
      </c>
      <c r="AM178" s="49" t="s">
        <v>155</v>
      </c>
      <c r="AN178" s="50" t="s">
        <v>155</v>
      </c>
    </row>
    <row r="179" spans="1:40" ht="15.75" customHeight="1" x14ac:dyDescent="0.25">
      <c r="A179" s="34">
        <v>2020</v>
      </c>
      <c r="B179" s="35">
        <v>12268</v>
      </c>
      <c r="C179" s="36" t="s">
        <v>341</v>
      </c>
      <c r="D179" s="36" t="s">
        <v>112</v>
      </c>
      <c r="E179" s="36" t="s">
        <v>180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155</v>
      </c>
      <c r="K179" s="38" t="s">
        <v>155</v>
      </c>
      <c r="L179" s="38">
        <v>757</v>
      </c>
      <c r="M179" s="38" t="s">
        <v>155</v>
      </c>
      <c r="N179" s="38">
        <v>757</v>
      </c>
      <c r="O179" s="45" t="s">
        <v>155</v>
      </c>
      <c r="P179" s="45" t="s">
        <v>155</v>
      </c>
      <c r="Q179" s="45" t="s">
        <v>155</v>
      </c>
      <c r="R179" s="45" t="s">
        <v>155</v>
      </c>
      <c r="S179" s="45" t="s">
        <v>155</v>
      </c>
      <c r="T179" s="46" t="s">
        <v>155</v>
      </c>
      <c r="U179" s="46" t="s">
        <v>155</v>
      </c>
      <c r="V179" s="46">
        <v>73.5</v>
      </c>
      <c r="W179" s="46" t="s">
        <v>155</v>
      </c>
      <c r="X179" s="46">
        <v>73.5</v>
      </c>
      <c r="Y179" s="47" t="s">
        <v>155</v>
      </c>
      <c r="Z179" s="47" t="s">
        <v>155</v>
      </c>
      <c r="AA179" s="47">
        <v>30</v>
      </c>
      <c r="AB179" s="47" t="s">
        <v>155</v>
      </c>
      <c r="AC179" s="47">
        <v>30</v>
      </c>
      <c r="AD179" s="48" t="s">
        <v>155</v>
      </c>
      <c r="AE179" s="48" t="s">
        <v>155</v>
      </c>
      <c r="AF179" s="48" t="s">
        <v>155</v>
      </c>
      <c r="AG179" s="48" t="s">
        <v>155</v>
      </c>
      <c r="AH179" s="48" t="s">
        <v>155</v>
      </c>
      <c r="AI179" s="49" t="s">
        <v>155</v>
      </c>
      <c r="AJ179" s="49" t="s">
        <v>155</v>
      </c>
      <c r="AK179" s="49">
        <v>307.85000000000002</v>
      </c>
      <c r="AL179" s="49" t="s">
        <v>155</v>
      </c>
      <c r="AM179" s="49">
        <v>307.85000000000002</v>
      </c>
      <c r="AN179" s="50" t="s">
        <v>155</v>
      </c>
    </row>
    <row r="180" spans="1:40" ht="15.75" customHeight="1" x14ac:dyDescent="0.25">
      <c r="A180" s="34">
        <v>2020</v>
      </c>
      <c r="B180" s="35">
        <v>12301</v>
      </c>
      <c r="C180" s="36" t="s">
        <v>342</v>
      </c>
      <c r="D180" s="36" t="s">
        <v>94</v>
      </c>
      <c r="E180" s="36" t="s">
        <v>154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155</v>
      </c>
      <c r="L180" s="38">
        <v>308</v>
      </c>
      <c r="M180" s="38" t="s">
        <v>155</v>
      </c>
      <c r="N180" s="38">
        <v>5783</v>
      </c>
      <c r="O180" s="45">
        <v>20457</v>
      </c>
      <c r="P180" s="45" t="s">
        <v>155</v>
      </c>
      <c r="Q180" s="45">
        <v>665</v>
      </c>
      <c r="R180" s="45" t="s">
        <v>155</v>
      </c>
      <c r="S180" s="45">
        <v>21122</v>
      </c>
      <c r="T180" s="46">
        <v>140.05000000000001</v>
      </c>
      <c r="U180" s="46" t="s">
        <v>155</v>
      </c>
      <c r="V180" s="46">
        <v>65.36</v>
      </c>
      <c r="W180" s="46" t="s">
        <v>155</v>
      </c>
      <c r="X180" s="46">
        <v>205.41</v>
      </c>
      <c r="Y180" s="47">
        <v>52.32</v>
      </c>
      <c r="Z180" s="47" t="s">
        <v>155</v>
      </c>
      <c r="AA180" s="47">
        <v>45.3</v>
      </c>
      <c r="AB180" s="47" t="s">
        <v>155</v>
      </c>
      <c r="AC180" s="47">
        <v>97.62</v>
      </c>
      <c r="AD180" s="48">
        <v>36.414999999999999</v>
      </c>
      <c r="AE180" s="48" t="s">
        <v>155</v>
      </c>
      <c r="AF180" s="48" t="s">
        <v>155</v>
      </c>
      <c r="AG180" s="48" t="s">
        <v>155</v>
      </c>
      <c r="AH180" s="48">
        <v>36.414999999999999</v>
      </c>
      <c r="AI180" s="49">
        <v>273.363</v>
      </c>
      <c r="AJ180" s="49" t="s">
        <v>155</v>
      </c>
      <c r="AK180" s="49" t="s">
        <v>155</v>
      </c>
      <c r="AL180" s="49" t="s">
        <v>155</v>
      </c>
      <c r="AM180" s="49">
        <v>273.363</v>
      </c>
      <c r="AN180" s="50" t="s">
        <v>155</v>
      </c>
    </row>
    <row r="181" spans="1:40" ht="15.75" customHeight="1" x14ac:dyDescent="0.25">
      <c r="A181" s="34">
        <v>2020</v>
      </c>
      <c r="B181" s="35">
        <v>12341</v>
      </c>
      <c r="C181" s="36" t="s">
        <v>343</v>
      </c>
      <c r="D181" s="36" t="s">
        <v>44</v>
      </c>
      <c r="E181" s="36" t="s">
        <v>154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155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155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155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155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155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155</v>
      </c>
      <c r="AM181" s="49">
        <v>1701</v>
      </c>
      <c r="AN181" s="50" t="s">
        <v>155</v>
      </c>
    </row>
    <row r="182" spans="1:40" ht="15.75" customHeight="1" x14ac:dyDescent="0.25">
      <c r="A182" s="34">
        <v>2020</v>
      </c>
      <c r="B182" s="35">
        <v>12341</v>
      </c>
      <c r="C182" s="36" t="s">
        <v>343</v>
      </c>
      <c r="D182" s="36" t="s">
        <v>38</v>
      </c>
      <c r="E182" s="36" t="s">
        <v>154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155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155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155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155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155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155</v>
      </c>
      <c r="AM182" s="49">
        <v>135</v>
      </c>
      <c r="AN182" s="50" t="s">
        <v>155</v>
      </c>
    </row>
    <row r="183" spans="1:40" ht="15.75" customHeight="1" x14ac:dyDescent="0.25">
      <c r="A183" s="34">
        <v>2020</v>
      </c>
      <c r="B183" s="35">
        <v>12341</v>
      </c>
      <c r="C183" s="36" t="s">
        <v>343</v>
      </c>
      <c r="D183" s="36" t="s">
        <v>108</v>
      </c>
      <c r="E183" s="36" t="s">
        <v>154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155</v>
      </c>
      <c r="K183" s="38" t="s">
        <v>155</v>
      </c>
      <c r="L183" s="38" t="s">
        <v>155</v>
      </c>
      <c r="M183" s="38" t="s">
        <v>155</v>
      </c>
      <c r="N183" s="38" t="s">
        <v>155</v>
      </c>
      <c r="O183" s="45" t="s">
        <v>155</v>
      </c>
      <c r="P183" s="45" t="s">
        <v>155</v>
      </c>
      <c r="Q183" s="45" t="s">
        <v>155</v>
      </c>
      <c r="R183" s="45" t="s">
        <v>155</v>
      </c>
      <c r="S183" s="45" t="s">
        <v>155</v>
      </c>
      <c r="T183" s="46" t="s">
        <v>155</v>
      </c>
      <c r="U183" s="46" t="s">
        <v>155</v>
      </c>
      <c r="V183" s="46" t="s">
        <v>155</v>
      </c>
      <c r="W183" s="46" t="s">
        <v>155</v>
      </c>
      <c r="X183" s="46" t="s">
        <v>155</v>
      </c>
      <c r="Y183" s="47" t="s">
        <v>155</v>
      </c>
      <c r="Z183" s="47" t="s">
        <v>155</v>
      </c>
      <c r="AA183" s="47" t="s">
        <v>155</v>
      </c>
      <c r="AB183" s="47" t="s">
        <v>155</v>
      </c>
      <c r="AC183" s="47" t="s">
        <v>155</v>
      </c>
      <c r="AD183" s="48" t="s">
        <v>155</v>
      </c>
      <c r="AE183" s="48" t="s">
        <v>155</v>
      </c>
      <c r="AF183" s="48" t="s">
        <v>155</v>
      </c>
      <c r="AG183" s="48" t="s">
        <v>155</v>
      </c>
      <c r="AH183" s="48" t="s">
        <v>155</v>
      </c>
      <c r="AI183" s="49" t="s">
        <v>155</v>
      </c>
      <c r="AJ183" s="49" t="s">
        <v>155</v>
      </c>
      <c r="AK183" s="49" t="s">
        <v>155</v>
      </c>
      <c r="AL183" s="49" t="s">
        <v>155</v>
      </c>
      <c r="AM183" s="49" t="s">
        <v>155</v>
      </c>
      <c r="AN183" s="50" t="s">
        <v>155</v>
      </c>
    </row>
    <row r="184" spans="1:40" ht="15.75" customHeight="1" x14ac:dyDescent="0.25">
      <c r="A184" s="34">
        <v>2020</v>
      </c>
      <c r="B184" s="35">
        <v>12377</v>
      </c>
      <c r="C184" s="36" t="s">
        <v>344</v>
      </c>
      <c r="D184" s="36" t="s">
        <v>63</v>
      </c>
      <c r="E184" s="36" t="s">
        <v>167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155</v>
      </c>
      <c r="M184" s="38" t="s">
        <v>155</v>
      </c>
      <c r="N184" s="38">
        <v>4769</v>
      </c>
      <c r="O184" s="45" t="s">
        <v>155</v>
      </c>
      <c r="P184" s="45" t="s">
        <v>155</v>
      </c>
      <c r="Q184" s="45" t="s">
        <v>155</v>
      </c>
      <c r="R184" s="45" t="s">
        <v>155</v>
      </c>
      <c r="S184" s="45" t="s">
        <v>155</v>
      </c>
      <c r="T184" s="46">
        <v>8</v>
      </c>
      <c r="U184" s="46">
        <v>20</v>
      </c>
      <c r="V184" s="46" t="s">
        <v>155</v>
      </c>
      <c r="W184" s="46" t="s">
        <v>155</v>
      </c>
      <c r="X184" s="46">
        <v>28</v>
      </c>
      <c r="Y184" s="47">
        <v>6</v>
      </c>
      <c r="Z184" s="47">
        <v>10</v>
      </c>
      <c r="AA184" s="47" t="s">
        <v>155</v>
      </c>
      <c r="AB184" s="47" t="s">
        <v>155</v>
      </c>
      <c r="AC184" s="47">
        <v>16</v>
      </c>
      <c r="AD184" s="48">
        <v>900.67</v>
      </c>
      <c r="AE184" s="48">
        <v>5.5659999999999998</v>
      </c>
      <c r="AF184" s="48" t="s">
        <v>155</v>
      </c>
      <c r="AG184" s="48" t="s">
        <v>155</v>
      </c>
      <c r="AH184" s="48">
        <v>906.23599999999999</v>
      </c>
      <c r="AI184" s="49">
        <v>76</v>
      </c>
      <c r="AJ184" s="49">
        <v>1</v>
      </c>
      <c r="AK184" s="49" t="s">
        <v>155</v>
      </c>
      <c r="AL184" s="49" t="s">
        <v>155</v>
      </c>
      <c r="AM184" s="49">
        <v>77</v>
      </c>
      <c r="AN184" s="50" t="s">
        <v>155</v>
      </c>
    </row>
    <row r="185" spans="1:40" ht="15.75" customHeight="1" x14ac:dyDescent="0.25">
      <c r="A185" s="34">
        <v>2020</v>
      </c>
      <c r="B185" s="35">
        <v>12390</v>
      </c>
      <c r="C185" s="36" t="s">
        <v>345</v>
      </c>
      <c r="D185" s="36" t="s">
        <v>102</v>
      </c>
      <c r="E185" s="36" t="s">
        <v>167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155</v>
      </c>
    </row>
    <row r="186" spans="1:40" ht="15.75" customHeight="1" x14ac:dyDescent="0.25">
      <c r="A186" s="34">
        <v>2020</v>
      </c>
      <c r="B186" s="35">
        <v>12395</v>
      </c>
      <c r="C186" s="36" t="s">
        <v>346</v>
      </c>
      <c r="D186" s="36" t="s">
        <v>38</v>
      </c>
      <c r="E186" s="36" t="s">
        <v>154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155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155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155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155</v>
      </c>
      <c r="AC186" s="47">
        <v>15.75</v>
      </c>
      <c r="AD186" s="48">
        <v>48.7</v>
      </c>
      <c r="AE186" s="48">
        <v>0.59</v>
      </c>
      <c r="AF186" s="48" t="s">
        <v>155</v>
      </c>
      <c r="AG186" s="48" t="s">
        <v>155</v>
      </c>
      <c r="AH186" s="48">
        <v>49.29</v>
      </c>
      <c r="AI186" s="49" t="s">
        <v>155</v>
      </c>
      <c r="AJ186" s="49" t="s">
        <v>155</v>
      </c>
      <c r="AK186" s="49">
        <v>258.84699999999998</v>
      </c>
      <c r="AL186" s="49" t="s">
        <v>155</v>
      </c>
      <c r="AM186" s="49">
        <v>258.84699999999998</v>
      </c>
      <c r="AN186" s="50" t="s">
        <v>155</v>
      </c>
    </row>
    <row r="187" spans="1:40" ht="15.75" customHeight="1" x14ac:dyDescent="0.25">
      <c r="A187" s="34">
        <v>2020</v>
      </c>
      <c r="B187" s="35">
        <v>12439</v>
      </c>
      <c r="C187" s="36" t="s">
        <v>347</v>
      </c>
      <c r="D187" s="36" t="s">
        <v>100</v>
      </c>
      <c r="E187" s="36" t="s">
        <v>188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155</v>
      </c>
      <c r="K187" s="38" t="s">
        <v>155</v>
      </c>
      <c r="L187" s="38" t="s">
        <v>155</v>
      </c>
      <c r="M187" s="38" t="s">
        <v>155</v>
      </c>
      <c r="N187" s="38" t="s">
        <v>155</v>
      </c>
      <c r="O187" s="45" t="s">
        <v>155</v>
      </c>
      <c r="P187" s="45" t="s">
        <v>155</v>
      </c>
      <c r="Q187" s="45" t="s">
        <v>155</v>
      </c>
      <c r="R187" s="45" t="s">
        <v>155</v>
      </c>
      <c r="S187" s="45" t="s">
        <v>155</v>
      </c>
      <c r="T187" s="46" t="s">
        <v>155</v>
      </c>
      <c r="U187" s="46" t="s">
        <v>155</v>
      </c>
      <c r="V187" s="46" t="s">
        <v>155</v>
      </c>
      <c r="W187" s="46" t="s">
        <v>155</v>
      </c>
      <c r="X187" s="46" t="s">
        <v>155</v>
      </c>
      <c r="Y187" s="47" t="s">
        <v>155</v>
      </c>
      <c r="Z187" s="47" t="s">
        <v>155</v>
      </c>
      <c r="AA187" s="47" t="s">
        <v>155</v>
      </c>
      <c r="AB187" s="47" t="s">
        <v>155</v>
      </c>
      <c r="AC187" s="47" t="s">
        <v>155</v>
      </c>
      <c r="AD187" s="48" t="s">
        <v>155</v>
      </c>
      <c r="AE187" s="48" t="s">
        <v>155</v>
      </c>
      <c r="AF187" s="48" t="s">
        <v>155</v>
      </c>
      <c r="AG187" s="48" t="s">
        <v>155</v>
      </c>
      <c r="AH187" s="48" t="s">
        <v>155</v>
      </c>
      <c r="AI187" s="49" t="s">
        <v>155</v>
      </c>
      <c r="AJ187" s="49" t="s">
        <v>155</v>
      </c>
      <c r="AK187" s="49" t="s">
        <v>155</v>
      </c>
      <c r="AL187" s="49" t="s">
        <v>155</v>
      </c>
      <c r="AM187" s="49" t="s">
        <v>155</v>
      </c>
      <c r="AN187" s="50" t="s">
        <v>155</v>
      </c>
    </row>
    <row r="188" spans="1:40" ht="15.75" customHeight="1" x14ac:dyDescent="0.25">
      <c r="A188" s="34">
        <v>2020</v>
      </c>
      <c r="B188" s="35">
        <v>12462</v>
      </c>
      <c r="C188" s="36" t="s">
        <v>348</v>
      </c>
      <c r="D188" s="36" t="s">
        <v>106</v>
      </c>
      <c r="E188" s="36" t="s">
        <v>106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155</v>
      </c>
      <c r="L188" s="38" t="s">
        <v>155</v>
      </c>
      <c r="M188" s="38" t="s">
        <v>155</v>
      </c>
      <c r="N188" s="38">
        <v>68</v>
      </c>
      <c r="O188" s="45" t="s">
        <v>155</v>
      </c>
      <c r="P188" s="45" t="s">
        <v>155</v>
      </c>
      <c r="Q188" s="45" t="s">
        <v>155</v>
      </c>
      <c r="R188" s="45" t="s">
        <v>155</v>
      </c>
      <c r="S188" s="45" t="s">
        <v>155</v>
      </c>
      <c r="T188" s="46">
        <v>0.03</v>
      </c>
      <c r="U188" s="46" t="s">
        <v>155</v>
      </c>
      <c r="V188" s="46" t="s">
        <v>155</v>
      </c>
      <c r="W188" s="46" t="s">
        <v>155</v>
      </c>
      <c r="X188" s="46">
        <v>0.03</v>
      </c>
      <c r="Y188" s="47" t="s">
        <v>155</v>
      </c>
      <c r="Z188" s="47" t="s">
        <v>155</v>
      </c>
      <c r="AA188" s="47" t="s">
        <v>155</v>
      </c>
      <c r="AB188" s="47" t="s">
        <v>155</v>
      </c>
      <c r="AC188" s="47" t="s">
        <v>155</v>
      </c>
      <c r="AD188" s="48">
        <v>10.199999999999999</v>
      </c>
      <c r="AE188" s="48" t="s">
        <v>155</v>
      </c>
      <c r="AF188" s="48" t="s">
        <v>155</v>
      </c>
      <c r="AG188" s="48" t="s">
        <v>155</v>
      </c>
      <c r="AH188" s="48">
        <v>10.199999999999999</v>
      </c>
      <c r="AI188" s="49" t="s">
        <v>155</v>
      </c>
      <c r="AJ188" s="49" t="s">
        <v>155</v>
      </c>
      <c r="AK188" s="49" t="s">
        <v>155</v>
      </c>
      <c r="AL188" s="49" t="s">
        <v>155</v>
      </c>
      <c r="AM188" s="49" t="s">
        <v>155</v>
      </c>
      <c r="AN188" s="50">
        <v>68</v>
      </c>
    </row>
    <row r="189" spans="1:40" ht="15.75" customHeight="1" x14ac:dyDescent="0.25">
      <c r="A189" s="34">
        <v>2020</v>
      </c>
      <c r="B189" s="35">
        <v>12539</v>
      </c>
      <c r="C189" s="36" t="s">
        <v>349</v>
      </c>
      <c r="D189" s="36" t="s">
        <v>77</v>
      </c>
      <c r="E189" s="36" t="s">
        <v>292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155</v>
      </c>
    </row>
    <row r="190" spans="1:40" ht="15.75" customHeight="1" x14ac:dyDescent="0.25">
      <c r="A190" s="34">
        <v>2020</v>
      </c>
      <c r="B190" s="35">
        <v>12647</v>
      </c>
      <c r="C190" s="36" t="s">
        <v>350</v>
      </c>
      <c r="D190" s="36" t="s">
        <v>66</v>
      </c>
      <c r="E190" s="36" t="s">
        <v>154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155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155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155</v>
      </c>
      <c r="X190" s="46">
        <v>305</v>
      </c>
      <c r="Y190" s="47" t="s">
        <v>155</v>
      </c>
      <c r="Z190" s="47" t="s">
        <v>155</v>
      </c>
      <c r="AA190" s="47" t="s">
        <v>155</v>
      </c>
      <c r="AB190" s="47" t="s">
        <v>155</v>
      </c>
      <c r="AC190" s="47" t="s">
        <v>155</v>
      </c>
      <c r="AD190" s="48">
        <v>196</v>
      </c>
      <c r="AE190" s="48">
        <v>62</v>
      </c>
      <c r="AF190" s="48">
        <v>3268</v>
      </c>
      <c r="AG190" s="48" t="s">
        <v>155</v>
      </c>
      <c r="AH190" s="48">
        <v>3526</v>
      </c>
      <c r="AI190" s="49" t="s">
        <v>155</v>
      </c>
      <c r="AJ190" s="49" t="s">
        <v>155</v>
      </c>
      <c r="AK190" s="49" t="s">
        <v>155</v>
      </c>
      <c r="AL190" s="49" t="s">
        <v>155</v>
      </c>
      <c r="AM190" s="49" t="s">
        <v>155</v>
      </c>
      <c r="AN190" s="50" t="s">
        <v>155</v>
      </c>
    </row>
    <row r="191" spans="1:40" ht="15.75" customHeight="1" x14ac:dyDescent="0.25">
      <c r="A191" s="34">
        <v>2020</v>
      </c>
      <c r="B191" s="35">
        <v>12681</v>
      </c>
      <c r="C191" s="36" t="s">
        <v>351</v>
      </c>
      <c r="D191" s="36" t="s">
        <v>14</v>
      </c>
      <c r="E191" s="36" t="s">
        <v>154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155</v>
      </c>
      <c r="K191" s="38" t="s">
        <v>155</v>
      </c>
      <c r="L191" s="38">
        <v>761</v>
      </c>
      <c r="M191" s="38" t="s">
        <v>155</v>
      </c>
      <c r="N191" s="38">
        <v>761</v>
      </c>
      <c r="O191" s="45" t="s">
        <v>155</v>
      </c>
      <c r="P191" s="45" t="s">
        <v>155</v>
      </c>
      <c r="Q191" s="45" t="s">
        <v>155</v>
      </c>
      <c r="R191" s="45" t="s">
        <v>155</v>
      </c>
      <c r="S191" s="45" t="s">
        <v>155</v>
      </c>
      <c r="T191" s="46" t="s">
        <v>155</v>
      </c>
      <c r="U191" s="46" t="s">
        <v>155</v>
      </c>
      <c r="V191" s="46">
        <v>3</v>
      </c>
      <c r="W191" s="46" t="s">
        <v>155</v>
      </c>
      <c r="X191" s="46">
        <v>3</v>
      </c>
      <c r="Y191" s="47" t="s">
        <v>155</v>
      </c>
      <c r="Z191" s="47" t="s">
        <v>155</v>
      </c>
      <c r="AA191" s="47">
        <v>2</v>
      </c>
      <c r="AB191" s="47" t="s">
        <v>155</v>
      </c>
      <c r="AC191" s="47">
        <v>2</v>
      </c>
      <c r="AD191" s="48" t="s">
        <v>155</v>
      </c>
      <c r="AE191" s="48" t="s">
        <v>155</v>
      </c>
      <c r="AF191" s="48">
        <v>381</v>
      </c>
      <c r="AG191" s="48" t="s">
        <v>155</v>
      </c>
      <c r="AH191" s="48">
        <v>381</v>
      </c>
      <c r="AI191" s="49" t="s">
        <v>155</v>
      </c>
      <c r="AJ191" s="49" t="s">
        <v>155</v>
      </c>
      <c r="AK191" s="49">
        <v>155</v>
      </c>
      <c r="AL191" s="49" t="s">
        <v>155</v>
      </c>
      <c r="AM191" s="49">
        <v>155</v>
      </c>
      <c r="AN191" s="50" t="s">
        <v>155</v>
      </c>
    </row>
    <row r="192" spans="1:40" ht="15.75" customHeight="1" x14ac:dyDescent="0.25">
      <c r="A192" s="34">
        <v>2020</v>
      </c>
      <c r="B192" s="35">
        <v>12685</v>
      </c>
      <c r="C192" s="36" t="s">
        <v>352</v>
      </c>
      <c r="D192" s="36" t="s">
        <v>69</v>
      </c>
      <c r="E192" s="36" t="s">
        <v>154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155</v>
      </c>
      <c r="K192" s="38" t="s">
        <v>155</v>
      </c>
      <c r="L192" s="38">
        <v>1</v>
      </c>
      <c r="M192" s="38" t="s">
        <v>155</v>
      </c>
      <c r="N192" s="38">
        <v>1</v>
      </c>
      <c r="O192" s="45" t="s">
        <v>155</v>
      </c>
      <c r="P192" s="45" t="s">
        <v>155</v>
      </c>
      <c r="Q192" s="45" t="s">
        <v>155</v>
      </c>
      <c r="R192" s="45" t="s">
        <v>155</v>
      </c>
      <c r="S192" s="45" t="s">
        <v>155</v>
      </c>
      <c r="T192" s="46" t="s">
        <v>155</v>
      </c>
      <c r="U192" s="46" t="s">
        <v>155</v>
      </c>
      <c r="V192" s="46">
        <v>39.799999999999997</v>
      </c>
      <c r="W192" s="46" t="s">
        <v>155</v>
      </c>
      <c r="X192" s="46">
        <v>39.799999999999997</v>
      </c>
      <c r="Y192" s="47" t="s">
        <v>155</v>
      </c>
      <c r="Z192" s="47" t="s">
        <v>155</v>
      </c>
      <c r="AA192" s="47" t="s">
        <v>155</v>
      </c>
      <c r="AB192" s="47" t="s">
        <v>155</v>
      </c>
      <c r="AC192" s="47" t="s">
        <v>155</v>
      </c>
      <c r="AD192" s="48" t="s">
        <v>155</v>
      </c>
      <c r="AE192" s="48" t="s">
        <v>155</v>
      </c>
      <c r="AF192" s="48" t="s">
        <v>155</v>
      </c>
      <c r="AG192" s="48" t="s">
        <v>155</v>
      </c>
      <c r="AH192" s="48" t="s">
        <v>155</v>
      </c>
      <c r="AI192" s="49" t="s">
        <v>155</v>
      </c>
      <c r="AJ192" s="49" t="s">
        <v>155</v>
      </c>
      <c r="AK192" s="49" t="s">
        <v>155</v>
      </c>
      <c r="AL192" s="49" t="s">
        <v>155</v>
      </c>
      <c r="AM192" s="49" t="s">
        <v>155</v>
      </c>
      <c r="AN192" s="50" t="s">
        <v>155</v>
      </c>
    </row>
    <row r="193" spans="1:40" ht="15.75" customHeight="1" x14ac:dyDescent="0.25">
      <c r="A193" s="34">
        <v>2020</v>
      </c>
      <c r="B193" s="35">
        <v>12686</v>
      </c>
      <c r="C193" s="36" t="s">
        <v>353</v>
      </c>
      <c r="D193" s="36" t="s">
        <v>69</v>
      </c>
      <c r="E193" s="36" t="s">
        <v>160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155</v>
      </c>
    </row>
    <row r="194" spans="1:40" ht="15.75" customHeight="1" x14ac:dyDescent="0.25">
      <c r="A194" s="34">
        <v>2020</v>
      </c>
      <c r="B194" s="35">
        <v>12698</v>
      </c>
      <c r="C194" s="36" t="s">
        <v>354</v>
      </c>
      <c r="D194" s="36" t="s">
        <v>71</v>
      </c>
      <c r="E194" s="36" t="s">
        <v>175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155</v>
      </c>
      <c r="M194" s="38" t="s">
        <v>155</v>
      </c>
      <c r="N194" s="38">
        <v>37591</v>
      </c>
      <c r="O194" s="45">
        <v>466.49599999999998</v>
      </c>
      <c r="P194" s="45">
        <v>10.441000000000001</v>
      </c>
      <c r="Q194" s="45" t="s">
        <v>155</v>
      </c>
      <c r="R194" s="45" t="s">
        <v>155</v>
      </c>
      <c r="S194" s="45">
        <v>476.93700000000001</v>
      </c>
      <c r="T194" s="46">
        <v>36.734999999999999</v>
      </c>
      <c r="U194" s="46">
        <v>50.606000000000002</v>
      </c>
      <c r="V194" s="46" t="s">
        <v>155</v>
      </c>
      <c r="W194" s="46" t="s">
        <v>155</v>
      </c>
      <c r="X194" s="46">
        <v>87.340999999999994</v>
      </c>
      <c r="Y194" s="47">
        <v>0</v>
      </c>
      <c r="Z194" s="47">
        <v>0</v>
      </c>
      <c r="AA194" s="47" t="s">
        <v>155</v>
      </c>
      <c r="AB194" s="47" t="s">
        <v>155</v>
      </c>
      <c r="AC194" s="47">
        <v>0</v>
      </c>
      <c r="AD194" s="48">
        <v>424.93</v>
      </c>
      <c r="AE194" s="48">
        <v>1165.93</v>
      </c>
      <c r="AF194" s="48" t="s">
        <v>155</v>
      </c>
      <c r="AG194" s="48" t="s">
        <v>155</v>
      </c>
      <c r="AH194" s="48">
        <v>1590.86</v>
      </c>
      <c r="AI194" s="49">
        <v>1285.68</v>
      </c>
      <c r="AJ194" s="49">
        <v>1510.99</v>
      </c>
      <c r="AK194" s="49" t="s">
        <v>155</v>
      </c>
      <c r="AL194" s="49" t="s">
        <v>155</v>
      </c>
      <c r="AM194" s="49">
        <v>2796.67</v>
      </c>
      <c r="AN194" s="50">
        <v>0</v>
      </c>
    </row>
    <row r="195" spans="1:40" ht="15.75" customHeight="1" x14ac:dyDescent="0.25">
      <c r="A195" s="34">
        <v>2020</v>
      </c>
      <c r="B195" s="35">
        <v>12745</v>
      </c>
      <c r="C195" s="36" t="s">
        <v>355</v>
      </c>
      <c r="D195" s="36" t="s">
        <v>17</v>
      </c>
      <c r="E195" s="36" t="s">
        <v>356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155</v>
      </c>
    </row>
    <row r="196" spans="1:40" ht="15.75" customHeight="1" x14ac:dyDescent="0.25">
      <c r="A196" s="34">
        <v>2020</v>
      </c>
      <c r="B196" s="35">
        <v>12796</v>
      </c>
      <c r="C196" s="36" t="s">
        <v>357</v>
      </c>
      <c r="D196" s="36" t="s">
        <v>122</v>
      </c>
      <c r="E196" s="36" t="s">
        <v>167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155</v>
      </c>
      <c r="K196" s="38" t="s">
        <v>155</v>
      </c>
      <c r="L196" s="38" t="s">
        <v>155</v>
      </c>
      <c r="M196" s="38" t="s">
        <v>155</v>
      </c>
      <c r="N196" s="38" t="s">
        <v>155</v>
      </c>
      <c r="O196" s="45" t="s">
        <v>155</v>
      </c>
      <c r="P196" s="45" t="s">
        <v>155</v>
      </c>
      <c r="Q196" s="45" t="s">
        <v>155</v>
      </c>
      <c r="R196" s="45" t="s">
        <v>155</v>
      </c>
      <c r="S196" s="45" t="s">
        <v>155</v>
      </c>
      <c r="T196" s="46" t="s">
        <v>155</v>
      </c>
      <c r="U196" s="46" t="s">
        <v>155</v>
      </c>
      <c r="V196" s="46" t="s">
        <v>155</v>
      </c>
      <c r="W196" s="46" t="s">
        <v>155</v>
      </c>
      <c r="X196" s="46" t="s">
        <v>155</v>
      </c>
      <c r="Y196" s="47" t="s">
        <v>155</v>
      </c>
      <c r="Z196" s="47" t="s">
        <v>155</v>
      </c>
      <c r="AA196" s="47" t="s">
        <v>155</v>
      </c>
      <c r="AB196" s="47" t="s">
        <v>155</v>
      </c>
      <c r="AC196" s="47" t="s">
        <v>155</v>
      </c>
      <c r="AD196" s="48" t="s">
        <v>155</v>
      </c>
      <c r="AE196" s="48" t="s">
        <v>155</v>
      </c>
      <c r="AF196" s="48" t="s">
        <v>155</v>
      </c>
      <c r="AG196" s="48" t="s">
        <v>155</v>
      </c>
      <c r="AH196" s="48" t="s">
        <v>155</v>
      </c>
      <c r="AI196" s="49" t="s">
        <v>155</v>
      </c>
      <c r="AJ196" s="49" t="s">
        <v>155</v>
      </c>
      <c r="AK196" s="49" t="s">
        <v>155</v>
      </c>
      <c r="AL196" s="49" t="s">
        <v>155</v>
      </c>
      <c r="AM196" s="49" t="s">
        <v>155</v>
      </c>
      <c r="AN196" s="50" t="s">
        <v>155</v>
      </c>
    </row>
    <row r="197" spans="1:40" ht="15.75" customHeight="1" x14ac:dyDescent="0.25">
      <c r="A197" s="34">
        <v>2020</v>
      </c>
      <c r="B197" s="35">
        <v>12801</v>
      </c>
      <c r="C197" s="36" t="s">
        <v>358</v>
      </c>
      <c r="D197" s="36" t="s">
        <v>92</v>
      </c>
      <c r="E197" s="36" t="s">
        <v>195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155</v>
      </c>
      <c r="K197" s="38" t="s">
        <v>155</v>
      </c>
      <c r="L197" s="38" t="s">
        <v>155</v>
      </c>
      <c r="M197" s="38" t="s">
        <v>155</v>
      </c>
      <c r="N197" s="38" t="s">
        <v>155</v>
      </c>
      <c r="O197" s="45" t="s">
        <v>155</v>
      </c>
      <c r="P197" s="45" t="s">
        <v>155</v>
      </c>
      <c r="Q197" s="45" t="s">
        <v>155</v>
      </c>
      <c r="R197" s="45" t="s">
        <v>155</v>
      </c>
      <c r="S197" s="45" t="s">
        <v>155</v>
      </c>
      <c r="T197" s="46" t="s">
        <v>155</v>
      </c>
      <c r="U197" s="46" t="s">
        <v>155</v>
      </c>
      <c r="V197" s="46" t="s">
        <v>155</v>
      </c>
      <c r="W197" s="46" t="s">
        <v>155</v>
      </c>
      <c r="X197" s="46" t="s">
        <v>155</v>
      </c>
      <c r="Y197" s="47" t="s">
        <v>155</v>
      </c>
      <c r="Z197" s="47" t="s">
        <v>155</v>
      </c>
      <c r="AA197" s="47" t="s">
        <v>155</v>
      </c>
      <c r="AB197" s="47" t="s">
        <v>155</v>
      </c>
      <c r="AC197" s="47" t="s">
        <v>155</v>
      </c>
      <c r="AD197" s="48" t="s">
        <v>155</v>
      </c>
      <c r="AE197" s="48" t="s">
        <v>155</v>
      </c>
      <c r="AF197" s="48" t="s">
        <v>155</v>
      </c>
      <c r="AG197" s="48" t="s">
        <v>155</v>
      </c>
      <c r="AH197" s="48" t="s">
        <v>155</v>
      </c>
      <c r="AI197" s="49" t="s">
        <v>155</v>
      </c>
      <c r="AJ197" s="49" t="s">
        <v>155</v>
      </c>
      <c r="AK197" s="49" t="s">
        <v>155</v>
      </c>
      <c r="AL197" s="49" t="s">
        <v>155</v>
      </c>
      <c r="AM197" s="49" t="s">
        <v>155</v>
      </c>
      <c r="AN197" s="50" t="s">
        <v>155</v>
      </c>
    </row>
    <row r="198" spans="1:40" ht="15.75" customHeight="1" x14ac:dyDescent="0.25">
      <c r="A198" s="34">
        <v>2020</v>
      </c>
      <c r="B198" s="35">
        <v>12825</v>
      </c>
      <c r="C198" s="36" t="s">
        <v>359</v>
      </c>
      <c r="D198" s="36" t="s">
        <v>74</v>
      </c>
      <c r="E198" s="36" t="s">
        <v>360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155</v>
      </c>
      <c r="K198" s="38" t="s">
        <v>155</v>
      </c>
      <c r="L198" s="38" t="s">
        <v>155</v>
      </c>
      <c r="M198" s="38" t="s">
        <v>155</v>
      </c>
      <c r="N198" s="38" t="s">
        <v>155</v>
      </c>
      <c r="O198" s="45" t="s">
        <v>155</v>
      </c>
      <c r="P198" s="45" t="s">
        <v>155</v>
      </c>
      <c r="Q198" s="45" t="s">
        <v>155</v>
      </c>
      <c r="R198" s="45" t="s">
        <v>155</v>
      </c>
      <c r="S198" s="45" t="s">
        <v>155</v>
      </c>
      <c r="T198" s="46" t="s">
        <v>155</v>
      </c>
      <c r="U198" s="46" t="s">
        <v>155</v>
      </c>
      <c r="V198" s="46" t="s">
        <v>155</v>
      </c>
      <c r="W198" s="46" t="s">
        <v>155</v>
      </c>
      <c r="X198" s="46" t="s">
        <v>155</v>
      </c>
      <c r="Y198" s="47" t="s">
        <v>155</v>
      </c>
      <c r="Z198" s="47" t="s">
        <v>155</v>
      </c>
      <c r="AA198" s="47" t="s">
        <v>155</v>
      </c>
      <c r="AB198" s="47" t="s">
        <v>155</v>
      </c>
      <c r="AC198" s="47" t="s">
        <v>155</v>
      </c>
      <c r="AD198" s="48" t="s">
        <v>155</v>
      </c>
      <c r="AE198" s="48" t="s">
        <v>155</v>
      </c>
      <c r="AF198" s="48" t="s">
        <v>155</v>
      </c>
      <c r="AG198" s="48" t="s">
        <v>155</v>
      </c>
      <c r="AH198" s="48" t="s">
        <v>155</v>
      </c>
      <c r="AI198" s="49" t="s">
        <v>155</v>
      </c>
      <c r="AJ198" s="49" t="s">
        <v>155</v>
      </c>
      <c r="AK198" s="49" t="s">
        <v>155</v>
      </c>
      <c r="AL198" s="49" t="s">
        <v>155</v>
      </c>
      <c r="AM198" s="49" t="s">
        <v>155</v>
      </c>
      <c r="AN198" s="50" t="s">
        <v>155</v>
      </c>
    </row>
    <row r="199" spans="1:40" ht="15.75" customHeight="1" x14ac:dyDescent="0.25">
      <c r="A199" s="34">
        <v>2020</v>
      </c>
      <c r="B199" s="35">
        <v>12894</v>
      </c>
      <c r="C199" s="36" t="s">
        <v>361</v>
      </c>
      <c r="D199" s="36" t="s">
        <v>66</v>
      </c>
      <c r="E199" s="36" t="s">
        <v>175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155</v>
      </c>
      <c r="M199" s="38" t="s">
        <v>155</v>
      </c>
      <c r="N199" s="38">
        <v>2701</v>
      </c>
      <c r="O199" s="45">
        <v>431.13200000000001</v>
      </c>
      <c r="P199" s="45">
        <v>300.64400000000001</v>
      </c>
      <c r="Q199" s="45" t="s">
        <v>155</v>
      </c>
      <c r="R199" s="45" t="s">
        <v>155</v>
      </c>
      <c r="S199" s="45">
        <v>731.77599999999995</v>
      </c>
      <c r="T199" s="46">
        <v>11.4</v>
      </c>
      <c r="U199" s="46">
        <v>13.1</v>
      </c>
      <c r="V199" s="46" t="s">
        <v>155</v>
      </c>
      <c r="W199" s="46" t="s">
        <v>155</v>
      </c>
      <c r="X199" s="46">
        <v>24.5</v>
      </c>
      <c r="Y199" s="47">
        <v>11.4</v>
      </c>
      <c r="Z199" s="47">
        <v>13.1</v>
      </c>
      <c r="AA199" s="47" t="s">
        <v>155</v>
      </c>
      <c r="AB199" s="47" t="s">
        <v>155</v>
      </c>
      <c r="AC199" s="47">
        <v>24.5</v>
      </c>
      <c r="AD199" s="48">
        <v>69.534000000000006</v>
      </c>
      <c r="AE199" s="48">
        <v>188.35900000000001</v>
      </c>
      <c r="AF199" s="48" t="s">
        <v>155</v>
      </c>
      <c r="AG199" s="48" t="s">
        <v>155</v>
      </c>
      <c r="AH199" s="48">
        <v>257.89299999999997</v>
      </c>
      <c r="AI199" s="49" t="s">
        <v>155</v>
      </c>
      <c r="AJ199" s="49" t="s">
        <v>155</v>
      </c>
      <c r="AK199" s="49" t="s">
        <v>155</v>
      </c>
      <c r="AL199" s="49" t="s">
        <v>155</v>
      </c>
      <c r="AM199" s="49" t="s">
        <v>155</v>
      </c>
      <c r="AN199" s="50" t="s">
        <v>155</v>
      </c>
    </row>
    <row r="200" spans="1:40" ht="15.75" customHeight="1" x14ac:dyDescent="0.25">
      <c r="A200" s="34">
        <v>2020</v>
      </c>
      <c r="B200" s="35">
        <v>13208</v>
      </c>
      <c r="C200" s="36" t="s">
        <v>362</v>
      </c>
      <c r="D200" s="36" t="s">
        <v>38</v>
      </c>
      <c r="E200" s="36" t="s">
        <v>167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155</v>
      </c>
      <c r="K200" s="38">
        <v>1</v>
      </c>
      <c r="L200" s="38" t="s">
        <v>155</v>
      </c>
      <c r="M200" s="38" t="s">
        <v>155</v>
      </c>
      <c r="N200" s="38">
        <v>1</v>
      </c>
      <c r="O200" s="45" t="s">
        <v>155</v>
      </c>
      <c r="P200" s="45">
        <v>4.38</v>
      </c>
      <c r="Q200" s="45" t="s">
        <v>155</v>
      </c>
      <c r="R200" s="45" t="s">
        <v>155</v>
      </c>
      <c r="S200" s="45">
        <v>4.38</v>
      </c>
      <c r="T200" s="46" t="s">
        <v>155</v>
      </c>
      <c r="U200" s="46">
        <v>0.5</v>
      </c>
      <c r="V200" s="46" t="s">
        <v>155</v>
      </c>
      <c r="W200" s="46" t="s">
        <v>155</v>
      </c>
      <c r="X200" s="46">
        <v>0.5</v>
      </c>
      <c r="Y200" s="47" t="s">
        <v>155</v>
      </c>
      <c r="Z200" s="47">
        <v>0.5</v>
      </c>
      <c r="AA200" s="47" t="s">
        <v>155</v>
      </c>
      <c r="AB200" s="47" t="s">
        <v>155</v>
      </c>
      <c r="AC200" s="47">
        <v>0.5</v>
      </c>
      <c r="AD200" s="48" t="s">
        <v>155</v>
      </c>
      <c r="AE200" s="48">
        <v>23.4</v>
      </c>
      <c r="AF200" s="48" t="s">
        <v>155</v>
      </c>
      <c r="AG200" s="48" t="s">
        <v>155</v>
      </c>
      <c r="AH200" s="48">
        <v>23.4</v>
      </c>
      <c r="AI200" s="49" t="s">
        <v>155</v>
      </c>
      <c r="AJ200" s="49" t="s">
        <v>155</v>
      </c>
      <c r="AK200" s="49" t="s">
        <v>155</v>
      </c>
      <c r="AL200" s="49" t="s">
        <v>155</v>
      </c>
      <c r="AM200" s="49" t="s">
        <v>155</v>
      </c>
      <c r="AN200" s="50" t="s">
        <v>155</v>
      </c>
    </row>
    <row r="201" spans="1:40" ht="15.75" customHeight="1" x14ac:dyDescent="0.25">
      <c r="A201" s="34">
        <v>2020</v>
      </c>
      <c r="B201" s="35">
        <v>13332</v>
      </c>
      <c r="C201" s="36" t="s">
        <v>363</v>
      </c>
      <c r="D201" s="36" t="s">
        <v>112</v>
      </c>
      <c r="E201" s="36" t="s">
        <v>180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155</v>
      </c>
      <c r="P201" s="45" t="s">
        <v>155</v>
      </c>
      <c r="Q201" s="45" t="s">
        <v>155</v>
      </c>
      <c r="R201" s="45" t="s">
        <v>155</v>
      </c>
      <c r="S201" s="45" t="s">
        <v>155</v>
      </c>
      <c r="T201" s="46" t="s">
        <v>155</v>
      </c>
      <c r="U201" s="46" t="s">
        <v>155</v>
      </c>
      <c r="V201" s="46" t="s">
        <v>155</v>
      </c>
      <c r="W201" s="46" t="s">
        <v>155</v>
      </c>
      <c r="X201" s="46" t="s">
        <v>155</v>
      </c>
      <c r="Y201" s="47" t="s">
        <v>155</v>
      </c>
      <c r="Z201" s="47" t="s">
        <v>155</v>
      </c>
      <c r="AA201" s="47" t="s">
        <v>155</v>
      </c>
      <c r="AB201" s="47" t="s">
        <v>155</v>
      </c>
      <c r="AC201" s="47" t="s">
        <v>155</v>
      </c>
      <c r="AD201" s="48" t="s">
        <v>155</v>
      </c>
      <c r="AE201" s="48" t="s">
        <v>155</v>
      </c>
      <c r="AF201" s="48" t="s">
        <v>155</v>
      </c>
      <c r="AG201" s="48" t="s">
        <v>155</v>
      </c>
      <c r="AH201" s="48" t="s">
        <v>155</v>
      </c>
      <c r="AI201" s="49" t="s">
        <v>155</v>
      </c>
      <c r="AJ201" s="49" t="s">
        <v>155</v>
      </c>
      <c r="AK201" s="49" t="s">
        <v>155</v>
      </c>
      <c r="AL201" s="49" t="s">
        <v>155</v>
      </c>
      <c r="AM201" s="49" t="s">
        <v>155</v>
      </c>
      <c r="AN201" s="50" t="s">
        <v>155</v>
      </c>
    </row>
    <row r="202" spans="1:40" ht="15.75" customHeight="1" x14ac:dyDescent="0.25">
      <c r="A202" s="34">
        <v>2020</v>
      </c>
      <c r="B202" s="35">
        <v>13337</v>
      </c>
      <c r="C202" s="36" t="s">
        <v>364</v>
      </c>
      <c r="D202" s="36" t="s">
        <v>77</v>
      </c>
      <c r="E202" s="36" t="s">
        <v>175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155</v>
      </c>
    </row>
    <row r="203" spans="1:40" ht="15.75" customHeight="1" x14ac:dyDescent="0.25">
      <c r="A203" s="34">
        <v>2020</v>
      </c>
      <c r="B203" s="35">
        <v>13407</v>
      </c>
      <c r="C203" s="36" t="s">
        <v>365</v>
      </c>
      <c r="D203" s="36" t="s">
        <v>80</v>
      </c>
      <c r="E203" s="36" t="s">
        <v>366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155</v>
      </c>
    </row>
    <row r="204" spans="1:40" ht="15.75" customHeight="1" x14ac:dyDescent="0.25">
      <c r="A204" s="34">
        <v>2020</v>
      </c>
      <c r="B204" s="35">
        <v>13441</v>
      </c>
      <c r="C204" s="36" t="s">
        <v>367</v>
      </c>
      <c r="D204" s="36" t="s">
        <v>82</v>
      </c>
      <c r="E204" s="36" t="s">
        <v>226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155</v>
      </c>
      <c r="L204" s="38" t="s">
        <v>155</v>
      </c>
      <c r="M204" s="38" t="s">
        <v>155</v>
      </c>
      <c r="N204" s="38">
        <v>4258</v>
      </c>
      <c r="O204" s="45">
        <v>2.6</v>
      </c>
      <c r="P204" s="45" t="s">
        <v>155</v>
      </c>
      <c r="Q204" s="45" t="s">
        <v>155</v>
      </c>
      <c r="R204" s="45" t="s">
        <v>155</v>
      </c>
      <c r="S204" s="45">
        <v>2.6</v>
      </c>
      <c r="T204" s="46">
        <v>2.6</v>
      </c>
      <c r="U204" s="46" t="s">
        <v>155</v>
      </c>
      <c r="V204" s="46" t="s">
        <v>155</v>
      </c>
      <c r="W204" s="46" t="s">
        <v>155</v>
      </c>
      <c r="X204" s="46">
        <v>2.6</v>
      </c>
      <c r="Y204" s="47">
        <v>2.6</v>
      </c>
      <c r="Z204" s="47" t="s">
        <v>155</v>
      </c>
      <c r="AA204" s="47" t="s">
        <v>155</v>
      </c>
      <c r="AB204" s="47" t="s">
        <v>155</v>
      </c>
      <c r="AC204" s="47">
        <v>2.6</v>
      </c>
      <c r="AD204" s="48" t="s">
        <v>155</v>
      </c>
      <c r="AE204" s="48" t="s">
        <v>155</v>
      </c>
      <c r="AF204" s="48" t="s">
        <v>155</v>
      </c>
      <c r="AG204" s="48" t="s">
        <v>155</v>
      </c>
      <c r="AH204" s="48" t="s">
        <v>155</v>
      </c>
      <c r="AI204" s="49" t="s">
        <v>155</v>
      </c>
      <c r="AJ204" s="49" t="s">
        <v>155</v>
      </c>
      <c r="AK204" s="49" t="s">
        <v>155</v>
      </c>
      <c r="AL204" s="49" t="s">
        <v>155</v>
      </c>
      <c r="AM204" s="49" t="s">
        <v>155</v>
      </c>
      <c r="AN204" s="50" t="s">
        <v>155</v>
      </c>
    </row>
    <row r="205" spans="1:40" ht="15.75" customHeight="1" x14ac:dyDescent="0.25">
      <c r="A205" s="34">
        <v>2020</v>
      </c>
      <c r="B205" s="35">
        <v>13478</v>
      </c>
      <c r="C205" s="36" t="s">
        <v>368</v>
      </c>
      <c r="D205" s="36" t="s">
        <v>52</v>
      </c>
      <c r="E205" s="36" t="s">
        <v>154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155</v>
      </c>
      <c r="N205" s="38">
        <v>4089</v>
      </c>
      <c r="O205" s="45" t="s">
        <v>155</v>
      </c>
      <c r="P205" s="45" t="s">
        <v>155</v>
      </c>
      <c r="Q205" s="45" t="s">
        <v>155</v>
      </c>
      <c r="R205" s="45" t="s">
        <v>155</v>
      </c>
      <c r="S205" s="45" t="s">
        <v>155</v>
      </c>
      <c r="T205" s="46">
        <v>3.2</v>
      </c>
      <c r="U205" s="46">
        <v>0.18</v>
      </c>
      <c r="V205" s="46">
        <v>21.9</v>
      </c>
      <c r="W205" s="46" t="s">
        <v>155</v>
      </c>
      <c r="X205" s="46">
        <v>25.28</v>
      </c>
      <c r="Y205" s="47">
        <v>0.98</v>
      </c>
      <c r="Z205" s="47" t="s">
        <v>155</v>
      </c>
      <c r="AA205" s="47" t="s">
        <v>155</v>
      </c>
      <c r="AB205" s="47" t="s">
        <v>155</v>
      </c>
      <c r="AC205" s="47">
        <v>0.98</v>
      </c>
      <c r="AD205" s="48">
        <v>191.155</v>
      </c>
      <c r="AE205" s="48">
        <v>1.96</v>
      </c>
      <c r="AF205" s="48" t="s">
        <v>155</v>
      </c>
      <c r="AG205" s="48" t="s">
        <v>155</v>
      </c>
      <c r="AH205" s="48">
        <v>193.11500000000001</v>
      </c>
      <c r="AI205" s="49">
        <v>410.85599999999999</v>
      </c>
      <c r="AJ205" s="49">
        <v>898.95100000000002</v>
      </c>
      <c r="AK205" s="49" t="s">
        <v>155</v>
      </c>
      <c r="AL205" s="49" t="s">
        <v>155</v>
      </c>
      <c r="AM205" s="49">
        <v>1309.807</v>
      </c>
      <c r="AN205" s="50" t="s">
        <v>155</v>
      </c>
    </row>
    <row r="206" spans="1:40" ht="15.75" customHeight="1" x14ac:dyDescent="0.25">
      <c r="A206" s="34">
        <v>2020</v>
      </c>
      <c r="B206" s="35">
        <v>13485</v>
      </c>
      <c r="C206" s="36" t="s">
        <v>369</v>
      </c>
      <c r="D206" s="36" t="s">
        <v>28</v>
      </c>
      <c r="E206" s="36" t="s">
        <v>370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155</v>
      </c>
      <c r="L206" s="38" t="s">
        <v>155</v>
      </c>
      <c r="M206" s="38" t="s">
        <v>155</v>
      </c>
      <c r="N206" s="38">
        <v>2774</v>
      </c>
      <c r="O206" s="45">
        <v>0</v>
      </c>
      <c r="P206" s="45" t="s">
        <v>155</v>
      </c>
      <c r="Q206" s="45" t="s">
        <v>155</v>
      </c>
      <c r="R206" s="45" t="s">
        <v>155</v>
      </c>
      <c r="S206" s="45">
        <v>0</v>
      </c>
      <c r="T206" s="46">
        <v>6</v>
      </c>
      <c r="U206" s="46" t="s">
        <v>155</v>
      </c>
      <c r="V206" s="46" t="s">
        <v>155</v>
      </c>
      <c r="W206" s="46" t="s">
        <v>155</v>
      </c>
      <c r="X206" s="46">
        <v>6</v>
      </c>
      <c r="Y206" s="47">
        <v>0</v>
      </c>
      <c r="Z206" s="47" t="s">
        <v>155</v>
      </c>
      <c r="AA206" s="47" t="s">
        <v>155</v>
      </c>
      <c r="AB206" s="47" t="s">
        <v>155</v>
      </c>
      <c r="AC206" s="47">
        <v>0</v>
      </c>
      <c r="AD206" s="48">
        <v>185</v>
      </c>
      <c r="AE206" s="48" t="s">
        <v>155</v>
      </c>
      <c r="AF206" s="48" t="s">
        <v>155</v>
      </c>
      <c r="AG206" s="48" t="s">
        <v>155</v>
      </c>
      <c r="AH206" s="48">
        <v>185</v>
      </c>
      <c r="AI206" s="49" t="s">
        <v>155</v>
      </c>
      <c r="AJ206" s="49" t="s">
        <v>155</v>
      </c>
      <c r="AK206" s="49" t="s">
        <v>155</v>
      </c>
      <c r="AL206" s="49" t="s">
        <v>155</v>
      </c>
      <c r="AM206" s="49" t="s">
        <v>155</v>
      </c>
      <c r="AN206" s="50" t="s">
        <v>155</v>
      </c>
    </row>
    <row r="207" spans="1:40" ht="15.75" customHeight="1" x14ac:dyDescent="0.25">
      <c r="A207" s="34">
        <v>2020</v>
      </c>
      <c r="B207" s="35">
        <v>13511</v>
      </c>
      <c r="C207" s="36" t="s">
        <v>371</v>
      </c>
      <c r="D207" s="36" t="s">
        <v>90</v>
      </c>
      <c r="E207" s="36" t="s">
        <v>209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155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155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155</v>
      </c>
      <c r="X207" s="46">
        <v>100.3</v>
      </c>
      <c r="Y207" s="47">
        <v>6.1</v>
      </c>
      <c r="Z207" s="47" t="s">
        <v>155</v>
      </c>
      <c r="AA207" s="47" t="s">
        <v>155</v>
      </c>
      <c r="AB207" s="47" t="s">
        <v>155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155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155</v>
      </c>
      <c r="AM207" s="49">
        <v>457</v>
      </c>
      <c r="AN207" s="50" t="s">
        <v>155</v>
      </c>
    </row>
    <row r="208" spans="1:40" ht="15.75" customHeight="1" x14ac:dyDescent="0.25">
      <c r="A208" s="34">
        <v>2020</v>
      </c>
      <c r="B208" s="35">
        <v>13519</v>
      </c>
      <c r="C208" s="36" t="s">
        <v>372</v>
      </c>
      <c r="D208" s="36" t="s">
        <v>25</v>
      </c>
      <c r="E208" s="36" t="s">
        <v>167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25">
      <c r="A209" s="34">
        <v>2020</v>
      </c>
      <c r="B209" s="35">
        <v>13524</v>
      </c>
      <c r="C209" s="36" t="s">
        <v>373</v>
      </c>
      <c r="D209" s="36" t="s">
        <v>106</v>
      </c>
      <c r="E209" s="36" t="s">
        <v>106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155</v>
      </c>
      <c r="L209" s="38" t="s">
        <v>155</v>
      </c>
      <c r="M209" s="38" t="s">
        <v>155</v>
      </c>
      <c r="N209" s="38">
        <v>2</v>
      </c>
      <c r="O209" s="45" t="s">
        <v>155</v>
      </c>
      <c r="P209" s="45" t="s">
        <v>155</v>
      </c>
      <c r="Q209" s="45" t="s">
        <v>155</v>
      </c>
      <c r="R209" s="45" t="s">
        <v>155</v>
      </c>
      <c r="S209" s="45" t="s">
        <v>155</v>
      </c>
      <c r="T209" s="46" t="s">
        <v>155</v>
      </c>
      <c r="U209" s="46" t="s">
        <v>155</v>
      </c>
      <c r="V209" s="46" t="s">
        <v>155</v>
      </c>
      <c r="W209" s="46" t="s">
        <v>155</v>
      </c>
      <c r="X209" s="46" t="s">
        <v>155</v>
      </c>
      <c r="Y209" s="47" t="s">
        <v>155</v>
      </c>
      <c r="Z209" s="47" t="s">
        <v>155</v>
      </c>
      <c r="AA209" s="47" t="s">
        <v>155</v>
      </c>
      <c r="AB209" s="47" t="s">
        <v>155</v>
      </c>
      <c r="AC209" s="47" t="s">
        <v>155</v>
      </c>
      <c r="AD209" s="48" t="s">
        <v>155</v>
      </c>
      <c r="AE209" s="48" t="s">
        <v>155</v>
      </c>
      <c r="AF209" s="48" t="s">
        <v>155</v>
      </c>
      <c r="AG209" s="48" t="s">
        <v>155</v>
      </c>
      <c r="AH209" s="48" t="s">
        <v>155</v>
      </c>
      <c r="AI209" s="49" t="s">
        <v>155</v>
      </c>
      <c r="AJ209" s="49" t="s">
        <v>155</v>
      </c>
      <c r="AK209" s="49" t="s">
        <v>155</v>
      </c>
      <c r="AL209" s="49" t="s">
        <v>155</v>
      </c>
      <c r="AM209" s="49" t="s">
        <v>155</v>
      </c>
      <c r="AN209" s="50" t="s">
        <v>155</v>
      </c>
    </row>
    <row r="210" spans="1:40" ht="15.75" customHeight="1" x14ac:dyDescent="0.25">
      <c r="A210" s="34">
        <v>2020</v>
      </c>
      <c r="B210" s="35">
        <v>13573</v>
      </c>
      <c r="C210" s="36" t="s">
        <v>374</v>
      </c>
      <c r="D210" s="36" t="s">
        <v>90</v>
      </c>
      <c r="E210" s="36" t="s">
        <v>209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155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155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155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155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155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155</v>
      </c>
      <c r="AM210" s="49">
        <v>608.9</v>
      </c>
      <c r="AN210" s="50" t="s">
        <v>155</v>
      </c>
    </row>
    <row r="211" spans="1:40" ht="15.75" customHeight="1" x14ac:dyDescent="0.25">
      <c r="A211" s="34">
        <v>2020</v>
      </c>
      <c r="B211" s="35">
        <v>13630</v>
      </c>
      <c r="C211" s="36" t="s">
        <v>375</v>
      </c>
      <c r="D211" s="36" t="s">
        <v>92</v>
      </c>
      <c r="E211" s="36" t="s">
        <v>195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155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155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155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155</v>
      </c>
      <c r="AC211" s="47">
        <v>108</v>
      </c>
      <c r="AD211" s="48" t="s">
        <v>155</v>
      </c>
      <c r="AE211" s="48" t="s">
        <v>155</v>
      </c>
      <c r="AF211" s="48" t="s">
        <v>155</v>
      </c>
      <c r="AG211" s="48" t="s">
        <v>155</v>
      </c>
      <c r="AH211" s="48" t="s">
        <v>155</v>
      </c>
      <c r="AI211" s="49" t="s">
        <v>155</v>
      </c>
      <c r="AJ211" s="49" t="s">
        <v>155</v>
      </c>
      <c r="AK211" s="49" t="s">
        <v>155</v>
      </c>
      <c r="AL211" s="49" t="s">
        <v>155</v>
      </c>
      <c r="AM211" s="49" t="s">
        <v>155</v>
      </c>
      <c r="AN211" s="50" t="s">
        <v>155</v>
      </c>
    </row>
    <row r="212" spans="1:40" ht="15.75" customHeight="1" x14ac:dyDescent="0.25">
      <c r="A212" s="34">
        <v>2020</v>
      </c>
      <c r="B212" s="35">
        <v>13640</v>
      </c>
      <c r="C212" s="36" t="s">
        <v>376</v>
      </c>
      <c r="D212" s="36" t="s">
        <v>118</v>
      </c>
      <c r="E212" s="36" t="s">
        <v>167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155</v>
      </c>
    </row>
    <row r="213" spans="1:40" ht="15.75" customHeight="1" x14ac:dyDescent="0.25">
      <c r="A213" s="34">
        <v>2020</v>
      </c>
      <c r="B213" s="35">
        <v>13664</v>
      </c>
      <c r="C213" s="36" t="s">
        <v>377</v>
      </c>
      <c r="D213" s="36" t="s">
        <v>77</v>
      </c>
      <c r="E213" s="36" t="s">
        <v>175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155</v>
      </c>
    </row>
    <row r="214" spans="1:40" ht="15.75" customHeight="1" x14ac:dyDescent="0.25">
      <c r="A214" s="34">
        <v>2020</v>
      </c>
      <c r="B214" s="35">
        <v>13676</v>
      </c>
      <c r="C214" s="36" t="s">
        <v>378</v>
      </c>
      <c r="D214" s="36" t="s">
        <v>14</v>
      </c>
      <c r="E214" s="36" t="s">
        <v>154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155</v>
      </c>
      <c r="L214" s="38" t="s">
        <v>155</v>
      </c>
      <c r="M214" s="38" t="s">
        <v>155</v>
      </c>
      <c r="N214" s="38">
        <v>8697</v>
      </c>
      <c r="O214" s="45">
        <v>0</v>
      </c>
      <c r="P214" s="45" t="s">
        <v>155</v>
      </c>
      <c r="Q214" s="45" t="s">
        <v>155</v>
      </c>
      <c r="R214" s="45" t="s">
        <v>155</v>
      </c>
      <c r="S214" s="45">
        <v>0</v>
      </c>
      <c r="T214" s="46">
        <v>4.5</v>
      </c>
      <c r="U214" s="46" t="s">
        <v>155</v>
      </c>
      <c r="V214" s="46" t="s">
        <v>155</v>
      </c>
      <c r="W214" s="46" t="s">
        <v>155</v>
      </c>
      <c r="X214" s="46">
        <v>4.5</v>
      </c>
      <c r="Y214" s="47">
        <v>4.5</v>
      </c>
      <c r="Z214" s="47" t="s">
        <v>155</v>
      </c>
      <c r="AA214" s="47" t="s">
        <v>155</v>
      </c>
      <c r="AB214" s="47" t="s">
        <v>155</v>
      </c>
      <c r="AC214" s="47">
        <v>4.5</v>
      </c>
      <c r="AD214" s="48">
        <v>194</v>
      </c>
      <c r="AE214" s="48" t="s">
        <v>155</v>
      </c>
      <c r="AF214" s="48" t="s">
        <v>155</v>
      </c>
      <c r="AG214" s="48" t="s">
        <v>155</v>
      </c>
      <c r="AH214" s="48">
        <v>194</v>
      </c>
      <c r="AI214" s="49" t="s">
        <v>155</v>
      </c>
      <c r="AJ214" s="49" t="s">
        <v>155</v>
      </c>
      <c r="AK214" s="49" t="s">
        <v>155</v>
      </c>
      <c r="AL214" s="49" t="s">
        <v>155</v>
      </c>
      <c r="AM214" s="49" t="s">
        <v>155</v>
      </c>
      <c r="AN214" s="50" t="s">
        <v>155</v>
      </c>
    </row>
    <row r="215" spans="1:40" ht="15.75" customHeight="1" x14ac:dyDescent="0.25">
      <c r="A215" s="34">
        <v>2020</v>
      </c>
      <c r="B215" s="35">
        <v>13683</v>
      </c>
      <c r="C215" s="36" t="s">
        <v>379</v>
      </c>
      <c r="D215" s="36" t="s">
        <v>92</v>
      </c>
      <c r="E215" s="36" t="s">
        <v>202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155</v>
      </c>
      <c r="L215" s="38">
        <v>1</v>
      </c>
      <c r="M215" s="38" t="s">
        <v>155</v>
      </c>
      <c r="N215" s="38">
        <v>4409</v>
      </c>
      <c r="O215" s="45" t="s">
        <v>155</v>
      </c>
      <c r="P215" s="45" t="s">
        <v>155</v>
      </c>
      <c r="Q215" s="45" t="s">
        <v>155</v>
      </c>
      <c r="R215" s="45" t="s">
        <v>155</v>
      </c>
      <c r="S215" s="45" t="s">
        <v>155</v>
      </c>
      <c r="T215" s="46">
        <v>10.9</v>
      </c>
      <c r="U215" s="46" t="s">
        <v>155</v>
      </c>
      <c r="V215" s="46">
        <v>1</v>
      </c>
      <c r="W215" s="46" t="s">
        <v>155</v>
      </c>
      <c r="X215" s="46">
        <v>11.9</v>
      </c>
      <c r="Y215" s="47" t="s">
        <v>155</v>
      </c>
      <c r="Z215" s="47" t="s">
        <v>155</v>
      </c>
      <c r="AA215" s="47" t="s">
        <v>155</v>
      </c>
      <c r="AB215" s="47" t="s">
        <v>155</v>
      </c>
      <c r="AC215" s="47" t="s">
        <v>155</v>
      </c>
      <c r="AD215" s="48">
        <v>12.4</v>
      </c>
      <c r="AE215" s="48" t="s">
        <v>155</v>
      </c>
      <c r="AF215" s="48" t="s">
        <v>155</v>
      </c>
      <c r="AG215" s="48" t="s">
        <v>155</v>
      </c>
      <c r="AH215" s="48">
        <v>12.4</v>
      </c>
      <c r="AI215" s="49">
        <v>181</v>
      </c>
      <c r="AJ215" s="49" t="s">
        <v>155</v>
      </c>
      <c r="AK215" s="49" t="s">
        <v>155</v>
      </c>
      <c r="AL215" s="49" t="s">
        <v>155</v>
      </c>
      <c r="AM215" s="49">
        <v>181</v>
      </c>
      <c r="AN215" s="50">
        <v>436</v>
      </c>
    </row>
    <row r="216" spans="1:40" ht="15.75" customHeight="1" x14ac:dyDescent="0.25">
      <c r="A216" s="34">
        <v>2020</v>
      </c>
      <c r="B216" s="35">
        <v>13683</v>
      </c>
      <c r="C216" s="36" t="s">
        <v>379</v>
      </c>
      <c r="D216" s="36" t="s">
        <v>92</v>
      </c>
      <c r="E216" s="36" t="s">
        <v>195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155</v>
      </c>
      <c r="L216" s="38">
        <v>1</v>
      </c>
      <c r="M216" s="38" t="s">
        <v>155</v>
      </c>
      <c r="N216" s="38">
        <v>4409</v>
      </c>
      <c r="O216" s="45" t="s">
        <v>155</v>
      </c>
      <c r="P216" s="45" t="s">
        <v>155</v>
      </c>
      <c r="Q216" s="45" t="s">
        <v>155</v>
      </c>
      <c r="R216" s="45" t="s">
        <v>155</v>
      </c>
      <c r="S216" s="45" t="s">
        <v>155</v>
      </c>
      <c r="T216" s="46">
        <v>10.9</v>
      </c>
      <c r="U216" s="46" t="s">
        <v>155</v>
      </c>
      <c r="V216" s="46">
        <v>1</v>
      </c>
      <c r="W216" s="46" t="s">
        <v>155</v>
      </c>
      <c r="X216" s="46">
        <v>11.9</v>
      </c>
      <c r="Y216" s="47" t="s">
        <v>155</v>
      </c>
      <c r="Z216" s="47" t="s">
        <v>155</v>
      </c>
      <c r="AA216" s="47" t="s">
        <v>155</v>
      </c>
      <c r="AB216" s="47" t="s">
        <v>155</v>
      </c>
      <c r="AC216" s="47" t="s">
        <v>155</v>
      </c>
      <c r="AD216" s="48">
        <v>12.4</v>
      </c>
      <c r="AE216" s="48" t="s">
        <v>155</v>
      </c>
      <c r="AF216" s="48" t="s">
        <v>155</v>
      </c>
      <c r="AG216" s="48" t="s">
        <v>155</v>
      </c>
      <c r="AH216" s="48">
        <v>12.4</v>
      </c>
      <c r="AI216" s="49" t="s">
        <v>155</v>
      </c>
      <c r="AJ216" s="49" t="s">
        <v>155</v>
      </c>
      <c r="AK216" s="49" t="s">
        <v>155</v>
      </c>
      <c r="AL216" s="49" t="s">
        <v>155</v>
      </c>
      <c r="AM216" s="49" t="s">
        <v>155</v>
      </c>
      <c r="AN216" s="50" t="s">
        <v>155</v>
      </c>
    </row>
    <row r="217" spans="1:40" ht="15.75" customHeight="1" x14ac:dyDescent="0.25">
      <c r="A217" s="34">
        <v>2020</v>
      </c>
      <c r="B217" s="35">
        <v>13687</v>
      </c>
      <c r="C217" s="36" t="s">
        <v>380</v>
      </c>
      <c r="D217" s="36" t="s">
        <v>92</v>
      </c>
      <c r="E217" s="36" t="s">
        <v>202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155</v>
      </c>
      <c r="N217" s="38">
        <v>138329</v>
      </c>
      <c r="O217" s="45" t="s">
        <v>155</v>
      </c>
      <c r="P217" s="45" t="s">
        <v>155</v>
      </c>
      <c r="Q217" s="45" t="s">
        <v>155</v>
      </c>
      <c r="R217" s="45" t="s">
        <v>155</v>
      </c>
      <c r="S217" s="45" t="s">
        <v>155</v>
      </c>
      <c r="T217" s="46">
        <v>57</v>
      </c>
      <c r="U217" s="46">
        <v>84</v>
      </c>
      <c r="V217" s="46">
        <v>245</v>
      </c>
      <c r="W217" s="46" t="s">
        <v>155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155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155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155</v>
      </c>
      <c r="AM217" s="49">
        <v>1371</v>
      </c>
      <c r="AN217" s="50" t="s">
        <v>155</v>
      </c>
    </row>
    <row r="218" spans="1:40" ht="15.75" customHeight="1" x14ac:dyDescent="0.25">
      <c r="A218" s="34">
        <v>2020</v>
      </c>
      <c r="B218" s="35">
        <v>13694</v>
      </c>
      <c r="C218" s="36" t="s">
        <v>381</v>
      </c>
      <c r="D218" s="36" t="s">
        <v>94</v>
      </c>
      <c r="E218" s="36" t="s">
        <v>154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155</v>
      </c>
      <c r="K218" s="38" t="s">
        <v>155</v>
      </c>
      <c r="L218" s="38" t="s">
        <v>155</v>
      </c>
      <c r="M218" s="38" t="s">
        <v>155</v>
      </c>
      <c r="N218" s="38" t="s">
        <v>155</v>
      </c>
      <c r="O218" s="45" t="s">
        <v>155</v>
      </c>
      <c r="P218" s="45" t="s">
        <v>155</v>
      </c>
      <c r="Q218" s="45" t="s">
        <v>155</v>
      </c>
      <c r="R218" s="45" t="s">
        <v>155</v>
      </c>
      <c r="S218" s="45" t="s">
        <v>155</v>
      </c>
      <c r="T218" s="46" t="s">
        <v>155</v>
      </c>
      <c r="U218" s="46" t="s">
        <v>155</v>
      </c>
      <c r="V218" s="46" t="s">
        <v>155</v>
      </c>
      <c r="W218" s="46" t="s">
        <v>155</v>
      </c>
      <c r="X218" s="46" t="s">
        <v>155</v>
      </c>
      <c r="Y218" s="47" t="s">
        <v>155</v>
      </c>
      <c r="Z218" s="47" t="s">
        <v>155</v>
      </c>
      <c r="AA218" s="47" t="s">
        <v>155</v>
      </c>
      <c r="AB218" s="47" t="s">
        <v>155</v>
      </c>
      <c r="AC218" s="47" t="s">
        <v>155</v>
      </c>
      <c r="AD218" s="48" t="s">
        <v>155</v>
      </c>
      <c r="AE218" s="48" t="s">
        <v>155</v>
      </c>
      <c r="AF218" s="48" t="s">
        <v>155</v>
      </c>
      <c r="AG218" s="48" t="s">
        <v>155</v>
      </c>
      <c r="AH218" s="48" t="s">
        <v>155</v>
      </c>
      <c r="AI218" s="49" t="s">
        <v>155</v>
      </c>
      <c r="AJ218" s="49" t="s">
        <v>155</v>
      </c>
      <c r="AK218" s="49" t="s">
        <v>155</v>
      </c>
      <c r="AL218" s="49" t="s">
        <v>155</v>
      </c>
      <c r="AM218" s="49" t="s">
        <v>155</v>
      </c>
      <c r="AN218" s="50" t="s">
        <v>155</v>
      </c>
    </row>
    <row r="219" spans="1:40" ht="15.75" customHeight="1" x14ac:dyDescent="0.25">
      <c r="A219" s="34">
        <v>2020</v>
      </c>
      <c r="B219" s="35">
        <v>13725</v>
      </c>
      <c r="C219" s="36" t="s">
        <v>382</v>
      </c>
      <c r="D219" s="36" t="s">
        <v>77</v>
      </c>
      <c r="E219" s="36" t="s">
        <v>175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155</v>
      </c>
      <c r="N219" s="38">
        <v>2</v>
      </c>
      <c r="O219" s="45">
        <v>0</v>
      </c>
      <c r="P219" s="45">
        <v>0</v>
      </c>
      <c r="Q219" s="45">
        <v>2</v>
      </c>
      <c r="R219" s="45" t="s">
        <v>155</v>
      </c>
      <c r="S219" s="45">
        <v>2</v>
      </c>
      <c r="T219" s="46">
        <v>0</v>
      </c>
      <c r="U219" s="46">
        <v>0</v>
      </c>
      <c r="V219" s="46">
        <v>4</v>
      </c>
      <c r="W219" s="46" t="s">
        <v>155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155</v>
      </c>
      <c r="AC219" s="47">
        <v>3.25</v>
      </c>
      <c r="AD219" s="48" t="s">
        <v>155</v>
      </c>
      <c r="AE219" s="48" t="s">
        <v>155</v>
      </c>
      <c r="AF219" s="48">
        <v>5</v>
      </c>
      <c r="AG219" s="48" t="s">
        <v>155</v>
      </c>
      <c r="AH219" s="48">
        <v>5</v>
      </c>
      <c r="AI219" s="49" t="s">
        <v>155</v>
      </c>
      <c r="AJ219" s="49" t="s">
        <v>155</v>
      </c>
      <c r="AK219" s="49" t="s">
        <v>155</v>
      </c>
      <c r="AL219" s="49" t="s">
        <v>155</v>
      </c>
      <c r="AM219" s="49" t="s">
        <v>155</v>
      </c>
      <c r="AN219" s="50" t="s">
        <v>155</v>
      </c>
    </row>
    <row r="220" spans="1:40" ht="15.75" customHeight="1" x14ac:dyDescent="0.25">
      <c r="A220" s="34">
        <v>2020</v>
      </c>
      <c r="B220" s="35">
        <v>13758</v>
      </c>
      <c r="C220" s="36" t="s">
        <v>383</v>
      </c>
      <c r="D220" s="36" t="s">
        <v>37</v>
      </c>
      <c r="E220" s="36" t="s">
        <v>188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25">
      <c r="A221" s="34">
        <v>2020</v>
      </c>
      <c r="B221" s="35">
        <v>13762</v>
      </c>
      <c r="C221" s="36" t="s">
        <v>384</v>
      </c>
      <c r="D221" s="36" t="s">
        <v>118</v>
      </c>
      <c r="E221" s="36" t="s">
        <v>167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155</v>
      </c>
      <c r="L221" s="38" t="s">
        <v>155</v>
      </c>
      <c r="M221" s="38" t="s">
        <v>155</v>
      </c>
      <c r="N221" s="38">
        <v>4675</v>
      </c>
      <c r="O221" s="45">
        <v>105</v>
      </c>
      <c r="P221" s="45" t="s">
        <v>155</v>
      </c>
      <c r="Q221" s="45" t="s">
        <v>155</v>
      </c>
      <c r="R221" s="45" t="s">
        <v>155</v>
      </c>
      <c r="S221" s="45">
        <v>105</v>
      </c>
      <c r="T221" s="46">
        <v>2.91</v>
      </c>
      <c r="U221" s="46" t="s">
        <v>155</v>
      </c>
      <c r="V221" s="46" t="s">
        <v>155</v>
      </c>
      <c r="W221" s="46" t="s">
        <v>155</v>
      </c>
      <c r="X221" s="46">
        <v>2.91</v>
      </c>
      <c r="Y221" s="47">
        <v>2.91</v>
      </c>
      <c r="Z221" s="47" t="s">
        <v>155</v>
      </c>
      <c r="AA221" s="47" t="s">
        <v>155</v>
      </c>
      <c r="AB221" s="47" t="s">
        <v>155</v>
      </c>
      <c r="AC221" s="47">
        <v>2.91</v>
      </c>
      <c r="AD221" s="48">
        <v>10.436</v>
      </c>
      <c r="AE221" s="48" t="s">
        <v>155</v>
      </c>
      <c r="AF221" s="48" t="s">
        <v>155</v>
      </c>
      <c r="AG221" s="48" t="s">
        <v>155</v>
      </c>
      <c r="AH221" s="48">
        <v>10.436</v>
      </c>
      <c r="AI221" s="49" t="s">
        <v>155</v>
      </c>
      <c r="AJ221" s="49" t="s">
        <v>155</v>
      </c>
      <c r="AK221" s="49" t="s">
        <v>155</v>
      </c>
      <c r="AL221" s="49" t="s">
        <v>155</v>
      </c>
      <c r="AM221" s="49" t="s">
        <v>155</v>
      </c>
      <c r="AN221" s="50" t="s">
        <v>155</v>
      </c>
    </row>
    <row r="222" spans="1:40" ht="15.75" customHeight="1" x14ac:dyDescent="0.25">
      <c r="A222" s="34">
        <v>2020</v>
      </c>
      <c r="B222" s="35">
        <v>13780</v>
      </c>
      <c r="C222" s="36" t="s">
        <v>385</v>
      </c>
      <c r="D222" s="36" t="s">
        <v>124</v>
      </c>
      <c r="E222" s="36" t="s">
        <v>154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155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155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155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155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155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155</v>
      </c>
      <c r="AM222" s="49">
        <v>345.899</v>
      </c>
      <c r="AN222" s="50" t="s">
        <v>155</v>
      </c>
    </row>
    <row r="223" spans="1:40" ht="15.75" customHeight="1" x14ac:dyDescent="0.25">
      <c r="A223" s="34">
        <v>2020</v>
      </c>
      <c r="B223" s="35">
        <v>13781</v>
      </c>
      <c r="C223" s="36" t="s">
        <v>386</v>
      </c>
      <c r="D223" s="36" t="s">
        <v>66</v>
      </c>
      <c r="E223" s="36" t="s">
        <v>154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155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155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155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155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155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155</v>
      </c>
      <c r="AM223" s="49">
        <v>10841.838</v>
      </c>
      <c r="AN223" s="50" t="s">
        <v>155</v>
      </c>
    </row>
    <row r="224" spans="1:40" ht="15.75" customHeight="1" x14ac:dyDescent="0.25">
      <c r="A224" s="34">
        <v>2020</v>
      </c>
      <c r="B224" s="35">
        <v>13781</v>
      </c>
      <c r="C224" s="36" t="s">
        <v>386</v>
      </c>
      <c r="D224" s="36" t="s">
        <v>94</v>
      </c>
      <c r="E224" s="36" t="s">
        <v>154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155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155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155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155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155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155</v>
      </c>
      <c r="AM224" s="49">
        <v>111.122</v>
      </c>
      <c r="AN224" s="50" t="s">
        <v>155</v>
      </c>
    </row>
    <row r="225" spans="1:40" ht="15.75" customHeight="1" x14ac:dyDescent="0.25">
      <c r="A225" s="34">
        <v>2020</v>
      </c>
      <c r="B225" s="35">
        <v>13781</v>
      </c>
      <c r="C225" s="36" t="s">
        <v>386</v>
      </c>
      <c r="D225" s="36" t="s">
        <v>108</v>
      </c>
      <c r="E225" s="36" t="s">
        <v>154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155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155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155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155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155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155</v>
      </c>
      <c r="AM225" s="49">
        <v>302.20699999999999</v>
      </c>
      <c r="AN225" s="50" t="s">
        <v>155</v>
      </c>
    </row>
    <row r="226" spans="1:40" ht="15.75" customHeight="1" x14ac:dyDescent="0.25">
      <c r="A226" s="34">
        <v>2020</v>
      </c>
      <c r="B226" s="35">
        <v>13798</v>
      </c>
      <c r="C226" s="36" t="s">
        <v>387</v>
      </c>
      <c r="D226" s="36" t="s">
        <v>44</v>
      </c>
      <c r="E226" s="36" t="s">
        <v>175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155</v>
      </c>
      <c r="M226" s="38" t="s">
        <v>155</v>
      </c>
      <c r="N226" s="38">
        <v>17745</v>
      </c>
      <c r="O226" s="45">
        <v>47.5</v>
      </c>
      <c r="P226" s="45">
        <v>7.5</v>
      </c>
      <c r="Q226" s="45" t="s">
        <v>155</v>
      </c>
      <c r="R226" s="45" t="s">
        <v>155</v>
      </c>
      <c r="S226" s="45">
        <v>55</v>
      </c>
      <c r="T226" s="46">
        <v>12.5</v>
      </c>
      <c r="U226" s="46">
        <v>6.5</v>
      </c>
      <c r="V226" s="46" t="s">
        <v>155</v>
      </c>
      <c r="W226" s="46" t="s">
        <v>155</v>
      </c>
      <c r="X226" s="46">
        <v>19</v>
      </c>
      <c r="Y226" s="47" t="s">
        <v>155</v>
      </c>
      <c r="Z226" s="47" t="s">
        <v>155</v>
      </c>
      <c r="AA226" s="47" t="s">
        <v>155</v>
      </c>
      <c r="AB226" s="47" t="s">
        <v>155</v>
      </c>
      <c r="AC226" s="47" t="s">
        <v>155</v>
      </c>
      <c r="AD226" s="48">
        <v>3848</v>
      </c>
      <c r="AE226" s="48">
        <v>342</v>
      </c>
      <c r="AF226" s="48" t="s">
        <v>155</v>
      </c>
      <c r="AG226" s="48" t="s">
        <v>155</v>
      </c>
      <c r="AH226" s="48">
        <v>4190</v>
      </c>
      <c r="AI226" s="49">
        <v>3394</v>
      </c>
      <c r="AJ226" s="49">
        <v>302</v>
      </c>
      <c r="AK226" s="49" t="s">
        <v>155</v>
      </c>
      <c r="AL226" s="49" t="s">
        <v>155</v>
      </c>
      <c r="AM226" s="49">
        <v>3696</v>
      </c>
      <c r="AN226" s="50" t="s">
        <v>155</v>
      </c>
    </row>
    <row r="227" spans="1:40" ht="15.75" customHeight="1" x14ac:dyDescent="0.25">
      <c r="A227" s="34">
        <v>2020</v>
      </c>
      <c r="B227" s="35">
        <v>13815</v>
      </c>
      <c r="C227" s="36" t="s">
        <v>388</v>
      </c>
      <c r="D227" s="36" t="s">
        <v>124</v>
      </c>
      <c r="E227" s="36" t="s">
        <v>154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155</v>
      </c>
      <c r="K227" s="38" t="s">
        <v>155</v>
      </c>
      <c r="L227" s="38">
        <v>1</v>
      </c>
      <c r="M227" s="38" t="s">
        <v>155</v>
      </c>
      <c r="N227" s="38">
        <v>1</v>
      </c>
      <c r="O227" s="45" t="s">
        <v>155</v>
      </c>
      <c r="P227" s="45" t="s">
        <v>155</v>
      </c>
      <c r="Q227" s="45" t="s">
        <v>155</v>
      </c>
      <c r="R227" s="45" t="s">
        <v>155</v>
      </c>
      <c r="S227" s="45" t="s">
        <v>155</v>
      </c>
      <c r="T227" s="46" t="s">
        <v>155</v>
      </c>
      <c r="U227" s="46" t="s">
        <v>155</v>
      </c>
      <c r="V227" s="46">
        <v>1</v>
      </c>
      <c r="W227" s="46" t="s">
        <v>155</v>
      </c>
      <c r="X227" s="46">
        <v>1</v>
      </c>
      <c r="Y227" s="47" t="s">
        <v>155</v>
      </c>
      <c r="Z227" s="47" t="s">
        <v>155</v>
      </c>
      <c r="AA227" s="47">
        <v>1</v>
      </c>
      <c r="AB227" s="47" t="s">
        <v>155</v>
      </c>
      <c r="AC227" s="47">
        <v>1</v>
      </c>
      <c r="AD227" s="48" t="s">
        <v>155</v>
      </c>
      <c r="AE227" s="48" t="s">
        <v>155</v>
      </c>
      <c r="AF227" s="48">
        <v>30</v>
      </c>
      <c r="AG227" s="48" t="s">
        <v>155</v>
      </c>
      <c r="AH227" s="48">
        <v>30</v>
      </c>
      <c r="AI227" s="49" t="s">
        <v>155</v>
      </c>
      <c r="AJ227" s="49" t="s">
        <v>155</v>
      </c>
      <c r="AK227" s="49" t="s">
        <v>155</v>
      </c>
      <c r="AL227" s="49" t="s">
        <v>155</v>
      </c>
      <c r="AM227" s="49" t="s">
        <v>155</v>
      </c>
      <c r="AN227" s="50" t="s">
        <v>155</v>
      </c>
    </row>
    <row r="228" spans="1:40" ht="15.75" customHeight="1" x14ac:dyDescent="0.25">
      <c r="A228" s="34">
        <v>2020</v>
      </c>
      <c r="B228" s="35">
        <v>13839</v>
      </c>
      <c r="C228" s="36" t="s">
        <v>389</v>
      </c>
      <c r="D228" s="36" t="s">
        <v>60</v>
      </c>
      <c r="E228" s="36" t="s">
        <v>226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155</v>
      </c>
    </row>
    <row r="229" spans="1:40" ht="15.75" customHeight="1" x14ac:dyDescent="0.25">
      <c r="A229" s="34">
        <v>2020</v>
      </c>
      <c r="B229" s="35">
        <v>13936</v>
      </c>
      <c r="C229" s="36" t="s">
        <v>390</v>
      </c>
      <c r="D229" s="36" t="s">
        <v>124</v>
      </c>
      <c r="E229" s="36" t="s">
        <v>154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155</v>
      </c>
    </row>
    <row r="230" spans="1:40" ht="15.75" customHeight="1" x14ac:dyDescent="0.25">
      <c r="A230" s="34">
        <v>2020</v>
      </c>
      <c r="B230" s="35">
        <v>13998</v>
      </c>
      <c r="C230" s="36" t="s">
        <v>391</v>
      </c>
      <c r="D230" s="36" t="s">
        <v>96</v>
      </c>
      <c r="E230" s="36" t="s">
        <v>167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155</v>
      </c>
    </row>
    <row r="231" spans="1:40" ht="15.75" customHeight="1" x14ac:dyDescent="0.25">
      <c r="A231" s="34">
        <v>2020</v>
      </c>
      <c r="B231" s="35">
        <v>14006</v>
      </c>
      <c r="C231" s="36" t="s">
        <v>392</v>
      </c>
      <c r="D231" s="36" t="s">
        <v>96</v>
      </c>
      <c r="E231" s="36" t="s">
        <v>167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155</v>
      </c>
    </row>
    <row r="232" spans="1:40" ht="15.75" customHeight="1" x14ac:dyDescent="0.25">
      <c r="A232" s="34">
        <v>2020</v>
      </c>
      <c r="B232" s="35">
        <v>14063</v>
      </c>
      <c r="C232" s="36" t="s">
        <v>393</v>
      </c>
      <c r="D232" s="36" t="s">
        <v>14</v>
      </c>
      <c r="E232" s="36" t="s">
        <v>175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155</v>
      </c>
    </row>
    <row r="233" spans="1:40" ht="15.75" customHeight="1" x14ac:dyDescent="0.25">
      <c r="A233" s="34">
        <v>2020</v>
      </c>
      <c r="B233" s="35">
        <v>14063</v>
      </c>
      <c r="C233" s="36" t="s">
        <v>393</v>
      </c>
      <c r="D233" s="36" t="s">
        <v>98</v>
      </c>
      <c r="E233" s="36" t="s">
        <v>175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155</v>
      </c>
    </row>
    <row r="234" spans="1:40" ht="15.75" customHeight="1" x14ac:dyDescent="0.25">
      <c r="A234" s="34">
        <v>2020</v>
      </c>
      <c r="B234" s="35">
        <v>14127</v>
      </c>
      <c r="C234" s="36" t="s">
        <v>394</v>
      </c>
      <c r="D234" s="36" t="s">
        <v>77</v>
      </c>
      <c r="E234" s="36" t="s">
        <v>175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155</v>
      </c>
      <c r="N234" s="38">
        <v>50236</v>
      </c>
      <c r="O234" s="45" t="s">
        <v>155</v>
      </c>
      <c r="P234" s="45" t="s">
        <v>155</v>
      </c>
      <c r="Q234" s="45" t="s">
        <v>155</v>
      </c>
      <c r="R234" s="45" t="s">
        <v>155</v>
      </c>
      <c r="S234" s="45" t="s">
        <v>155</v>
      </c>
      <c r="T234" s="46">
        <v>69.66</v>
      </c>
      <c r="U234" s="46">
        <v>38.97</v>
      </c>
      <c r="V234" s="46">
        <v>12</v>
      </c>
      <c r="W234" s="46" t="s">
        <v>155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155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155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155</v>
      </c>
      <c r="AM234" s="49">
        <v>726.62</v>
      </c>
      <c r="AN234" s="50">
        <v>0</v>
      </c>
    </row>
    <row r="235" spans="1:40" ht="15.75" customHeight="1" x14ac:dyDescent="0.25">
      <c r="A235" s="34">
        <v>2020</v>
      </c>
      <c r="B235" s="35">
        <v>14154</v>
      </c>
      <c r="C235" s="36" t="s">
        <v>395</v>
      </c>
      <c r="D235" s="36" t="s">
        <v>90</v>
      </c>
      <c r="E235" s="36" t="s">
        <v>209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155</v>
      </c>
    </row>
    <row r="236" spans="1:40" ht="15.75" customHeight="1" x14ac:dyDescent="0.25">
      <c r="A236" s="34">
        <v>2020</v>
      </c>
      <c r="B236" s="35">
        <v>14175</v>
      </c>
      <c r="C236" s="36" t="s">
        <v>396</v>
      </c>
      <c r="D236" s="36" t="s">
        <v>106</v>
      </c>
      <c r="E236" s="36" t="s">
        <v>106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155</v>
      </c>
      <c r="L236" s="38">
        <v>242</v>
      </c>
      <c r="M236" s="38" t="s">
        <v>155</v>
      </c>
      <c r="N236" s="38">
        <v>17568</v>
      </c>
      <c r="O236" s="45">
        <v>1013</v>
      </c>
      <c r="P236" s="45" t="s">
        <v>155</v>
      </c>
      <c r="Q236" s="45">
        <v>320</v>
      </c>
      <c r="R236" s="45" t="s">
        <v>155</v>
      </c>
      <c r="S236" s="45">
        <v>1333</v>
      </c>
      <c r="T236" s="46">
        <v>3</v>
      </c>
      <c r="U236" s="46" t="s">
        <v>155</v>
      </c>
      <c r="V236" s="46">
        <v>0</v>
      </c>
      <c r="W236" s="46" t="s">
        <v>155</v>
      </c>
      <c r="X236" s="46">
        <v>3</v>
      </c>
      <c r="Y236" s="47" t="s">
        <v>155</v>
      </c>
      <c r="Z236" s="47" t="s">
        <v>155</v>
      </c>
      <c r="AA236" s="47" t="s">
        <v>155</v>
      </c>
      <c r="AB236" s="47" t="s">
        <v>155</v>
      </c>
      <c r="AC236" s="47" t="s">
        <v>155</v>
      </c>
      <c r="AD236" s="48" t="s">
        <v>155</v>
      </c>
      <c r="AE236" s="48" t="s">
        <v>155</v>
      </c>
      <c r="AF236" s="48" t="s">
        <v>155</v>
      </c>
      <c r="AG236" s="48" t="s">
        <v>155</v>
      </c>
      <c r="AH236" s="48" t="s">
        <v>155</v>
      </c>
      <c r="AI236" s="49" t="s">
        <v>155</v>
      </c>
      <c r="AJ236" s="49" t="s">
        <v>155</v>
      </c>
      <c r="AK236" s="49" t="s">
        <v>155</v>
      </c>
      <c r="AL236" s="49" t="s">
        <v>155</v>
      </c>
      <c r="AM236" s="49" t="s">
        <v>155</v>
      </c>
      <c r="AN236" s="50" t="s">
        <v>155</v>
      </c>
    </row>
    <row r="237" spans="1:40" ht="15.75" customHeight="1" x14ac:dyDescent="0.25">
      <c r="A237" s="34">
        <v>2020</v>
      </c>
      <c r="B237" s="35">
        <v>14232</v>
      </c>
      <c r="C237" s="36" t="s">
        <v>397</v>
      </c>
      <c r="D237" s="36" t="s">
        <v>66</v>
      </c>
      <c r="E237" s="36" t="s">
        <v>154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155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155</v>
      </c>
    </row>
    <row r="238" spans="1:40" ht="15.75" customHeight="1" x14ac:dyDescent="0.25">
      <c r="A238" s="34">
        <v>2020</v>
      </c>
      <c r="B238" s="35">
        <v>14232</v>
      </c>
      <c r="C238" s="36" t="s">
        <v>397</v>
      </c>
      <c r="D238" s="36" t="s">
        <v>94</v>
      </c>
      <c r="E238" s="36" t="s">
        <v>154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155</v>
      </c>
    </row>
    <row r="239" spans="1:40" ht="15.75" customHeight="1" x14ac:dyDescent="0.25">
      <c r="A239" s="34">
        <v>2020</v>
      </c>
      <c r="B239" s="35">
        <v>14232</v>
      </c>
      <c r="C239" s="36" t="s">
        <v>397</v>
      </c>
      <c r="D239" s="36" t="s">
        <v>108</v>
      </c>
      <c r="E239" s="36" t="s">
        <v>154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155</v>
      </c>
    </row>
    <row r="240" spans="1:40" ht="15.75" customHeight="1" x14ac:dyDescent="0.25">
      <c r="A240" s="34">
        <v>2020</v>
      </c>
      <c r="B240" s="35">
        <v>14246</v>
      </c>
      <c r="C240" s="36" t="s">
        <v>398</v>
      </c>
      <c r="D240" s="36" t="s">
        <v>66</v>
      </c>
      <c r="E240" s="36" t="s">
        <v>154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155</v>
      </c>
    </row>
    <row r="241" spans="1:40" ht="15.75" customHeight="1" x14ac:dyDescent="0.25">
      <c r="A241" s="34">
        <v>2020</v>
      </c>
      <c r="B241" s="35">
        <v>14268</v>
      </c>
      <c r="C241" s="36" t="s">
        <v>399</v>
      </c>
      <c r="D241" s="36" t="s">
        <v>50</v>
      </c>
      <c r="E241" s="36" t="s">
        <v>316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155</v>
      </c>
      <c r="P241" s="45" t="s">
        <v>155</v>
      </c>
      <c r="Q241" s="45" t="s">
        <v>155</v>
      </c>
      <c r="R241" s="45" t="s">
        <v>155</v>
      </c>
      <c r="S241" s="45" t="s">
        <v>155</v>
      </c>
      <c r="T241" s="46" t="s">
        <v>155</v>
      </c>
      <c r="U241" s="46" t="s">
        <v>155</v>
      </c>
      <c r="V241" s="46" t="s">
        <v>155</v>
      </c>
      <c r="W241" s="46" t="s">
        <v>155</v>
      </c>
      <c r="X241" s="46" t="s">
        <v>155</v>
      </c>
      <c r="Y241" s="47" t="s">
        <v>155</v>
      </c>
      <c r="Z241" s="47" t="s">
        <v>155</v>
      </c>
      <c r="AA241" s="47" t="s">
        <v>155</v>
      </c>
      <c r="AB241" s="47" t="s">
        <v>155</v>
      </c>
      <c r="AC241" s="47" t="s">
        <v>155</v>
      </c>
      <c r="AD241" s="48" t="s">
        <v>155</v>
      </c>
      <c r="AE241" s="48" t="s">
        <v>155</v>
      </c>
      <c r="AF241" s="48" t="s">
        <v>155</v>
      </c>
      <c r="AG241" s="48" t="s">
        <v>155</v>
      </c>
      <c r="AH241" s="48" t="s">
        <v>155</v>
      </c>
      <c r="AI241" s="49" t="s">
        <v>155</v>
      </c>
      <c r="AJ241" s="49" t="s">
        <v>155</v>
      </c>
      <c r="AK241" s="49" t="s">
        <v>155</v>
      </c>
      <c r="AL241" s="49" t="s">
        <v>155</v>
      </c>
      <c r="AM241" s="49" t="s">
        <v>155</v>
      </c>
      <c r="AN241" s="50" t="s">
        <v>155</v>
      </c>
    </row>
    <row r="242" spans="1:40" ht="15.75" customHeight="1" x14ac:dyDescent="0.25">
      <c r="A242" s="34">
        <v>2020</v>
      </c>
      <c r="B242" s="35">
        <v>14328</v>
      </c>
      <c r="C242" s="36" t="s">
        <v>400</v>
      </c>
      <c r="D242" s="36" t="s">
        <v>17</v>
      </c>
      <c r="E242" s="36" t="s">
        <v>162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25">
      <c r="A243" s="34">
        <v>2020</v>
      </c>
      <c r="B243" s="35">
        <v>14354</v>
      </c>
      <c r="C243" s="36" t="s">
        <v>401</v>
      </c>
      <c r="D243" s="36" t="s">
        <v>37</v>
      </c>
      <c r="E243" s="36" t="s">
        <v>297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155</v>
      </c>
      <c r="K243" s="38" t="s">
        <v>155</v>
      </c>
      <c r="L243" s="38">
        <v>155</v>
      </c>
      <c r="M243" s="38" t="s">
        <v>155</v>
      </c>
      <c r="N243" s="38">
        <v>155</v>
      </c>
      <c r="O243" s="45" t="s">
        <v>155</v>
      </c>
      <c r="P243" s="45" t="s">
        <v>155</v>
      </c>
      <c r="Q243" s="45" t="s">
        <v>155</v>
      </c>
      <c r="R243" s="45" t="s">
        <v>155</v>
      </c>
      <c r="S243" s="45" t="s">
        <v>155</v>
      </c>
      <c r="T243" s="46" t="s">
        <v>155</v>
      </c>
      <c r="U243" s="46" t="s">
        <v>155</v>
      </c>
      <c r="V243" s="46">
        <v>202.1</v>
      </c>
      <c r="W243" s="46" t="s">
        <v>155</v>
      </c>
      <c r="X243" s="46">
        <v>202.1</v>
      </c>
      <c r="Y243" s="47" t="s">
        <v>155</v>
      </c>
      <c r="Z243" s="47" t="s">
        <v>155</v>
      </c>
      <c r="AA243" s="47">
        <v>0.13400000000000001</v>
      </c>
      <c r="AB243" s="47" t="s">
        <v>155</v>
      </c>
      <c r="AC243" s="47">
        <v>0.13400000000000001</v>
      </c>
      <c r="AD243" s="48" t="s">
        <v>155</v>
      </c>
      <c r="AE243" s="48" t="s">
        <v>155</v>
      </c>
      <c r="AF243" s="48">
        <v>0</v>
      </c>
      <c r="AG243" s="48" t="s">
        <v>155</v>
      </c>
      <c r="AH243" s="48">
        <v>0</v>
      </c>
      <c r="AI243" s="49" t="s">
        <v>155</v>
      </c>
      <c r="AJ243" s="49" t="s">
        <v>155</v>
      </c>
      <c r="AK243" s="49">
        <v>3706.2840000000001</v>
      </c>
      <c r="AL243" s="49" t="s">
        <v>155</v>
      </c>
      <c r="AM243" s="49">
        <v>3706.2840000000001</v>
      </c>
      <c r="AN243" s="50">
        <v>0</v>
      </c>
    </row>
    <row r="244" spans="1:40" ht="15.75" customHeight="1" x14ac:dyDescent="0.25">
      <c r="A244" s="34">
        <v>2020</v>
      </c>
      <c r="B244" s="35">
        <v>14354</v>
      </c>
      <c r="C244" s="36" t="s">
        <v>401</v>
      </c>
      <c r="D244" s="36" t="s">
        <v>100</v>
      </c>
      <c r="E244" s="36" t="s">
        <v>402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155</v>
      </c>
      <c r="K244" s="38" t="s">
        <v>155</v>
      </c>
      <c r="L244" s="38">
        <v>5</v>
      </c>
      <c r="M244" s="38" t="s">
        <v>155</v>
      </c>
      <c r="N244" s="38">
        <v>5</v>
      </c>
      <c r="O244" s="45" t="s">
        <v>155</v>
      </c>
      <c r="P244" s="45" t="s">
        <v>155</v>
      </c>
      <c r="Q244" s="45" t="s">
        <v>155</v>
      </c>
      <c r="R244" s="45" t="s">
        <v>155</v>
      </c>
      <c r="S244" s="45" t="s">
        <v>155</v>
      </c>
      <c r="T244" s="46" t="s">
        <v>155</v>
      </c>
      <c r="U244" s="46" t="s">
        <v>155</v>
      </c>
      <c r="V244" s="46">
        <v>969</v>
      </c>
      <c r="W244" s="46" t="s">
        <v>155</v>
      </c>
      <c r="X244" s="46">
        <v>969</v>
      </c>
      <c r="Y244" s="47" t="s">
        <v>155</v>
      </c>
      <c r="Z244" s="47" t="s">
        <v>155</v>
      </c>
      <c r="AA244" s="47">
        <v>0.57399999999999995</v>
      </c>
      <c r="AB244" s="47" t="s">
        <v>155</v>
      </c>
      <c r="AC244" s="47">
        <v>0.57399999999999995</v>
      </c>
      <c r="AD244" s="48" t="s">
        <v>155</v>
      </c>
      <c r="AE244" s="48" t="s">
        <v>155</v>
      </c>
      <c r="AF244" s="48">
        <v>0</v>
      </c>
      <c r="AG244" s="48" t="s">
        <v>155</v>
      </c>
      <c r="AH244" s="48">
        <v>0</v>
      </c>
      <c r="AI244" s="49" t="s">
        <v>155</v>
      </c>
      <c r="AJ244" s="49" t="s">
        <v>155</v>
      </c>
      <c r="AK244" s="49">
        <v>162.291</v>
      </c>
      <c r="AL244" s="49" t="s">
        <v>155</v>
      </c>
      <c r="AM244" s="49">
        <v>162.291</v>
      </c>
      <c r="AN244" s="50">
        <v>0</v>
      </c>
    </row>
    <row r="245" spans="1:40" ht="15.75" customHeight="1" x14ac:dyDescent="0.25">
      <c r="A245" s="34">
        <v>2020</v>
      </c>
      <c r="B245" s="35">
        <v>14354</v>
      </c>
      <c r="C245" s="36" t="s">
        <v>401</v>
      </c>
      <c r="D245" s="36" t="s">
        <v>114</v>
      </c>
      <c r="E245" s="36" t="s">
        <v>297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155</v>
      </c>
      <c r="L245" s="38">
        <v>51</v>
      </c>
      <c r="M245" s="38" t="s">
        <v>155</v>
      </c>
      <c r="N245" s="38">
        <v>91911</v>
      </c>
      <c r="O245" s="45" t="s">
        <v>155</v>
      </c>
      <c r="P245" s="45" t="s">
        <v>155</v>
      </c>
      <c r="Q245" s="45" t="s">
        <v>155</v>
      </c>
      <c r="R245" s="45" t="s">
        <v>155</v>
      </c>
      <c r="S245" s="45" t="s">
        <v>155</v>
      </c>
      <c r="T245" s="46">
        <v>250</v>
      </c>
      <c r="U245" s="46" t="s">
        <v>155</v>
      </c>
      <c r="V245" s="46">
        <v>16.2</v>
      </c>
      <c r="W245" s="46" t="s">
        <v>155</v>
      </c>
      <c r="X245" s="46">
        <v>266.2</v>
      </c>
      <c r="Y245" s="47">
        <v>240</v>
      </c>
      <c r="Z245" s="47" t="s">
        <v>155</v>
      </c>
      <c r="AA245" s="47">
        <v>13.496</v>
      </c>
      <c r="AB245" s="47" t="s">
        <v>155</v>
      </c>
      <c r="AC245" s="47">
        <v>253.49600000000001</v>
      </c>
      <c r="AD245" s="48">
        <v>3223.5520000000001</v>
      </c>
      <c r="AE245" s="48" t="s">
        <v>155</v>
      </c>
      <c r="AF245" s="48">
        <v>0</v>
      </c>
      <c r="AG245" s="48" t="s">
        <v>155</v>
      </c>
      <c r="AH245" s="48">
        <v>3223.5520000000001</v>
      </c>
      <c r="AI245" s="49">
        <v>2769.75</v>
      </c>
      <c r="AJ245" s="49" t="s">
        <v>155</v>
      </c>
      <c r="AK245" s="49">
        <v>335</v>
      </c>
      <c r="AL245" s="49" t="s">
        <v>155</v>
      </c>
      <c r="AM245" s="49">
        <v>3104.75</v>
      </c>
      <c r="AN245" s="50">
        <v>0</v>
      </c>
    </row>
    <row r="246" spans="1:40" ht="15.75" customHeight="1" x14ac:dyDescent="0.25">
      <c r="A246" s="34">
        <v>2020</v>
      </c>
      <c r="B246" s="35">
        <v>14398</v>
      </c>
      <c r="C246" s="36" t="s">
        <v>403</v>
      </c>
      <c r="D246" s="36" t="s">
        <v>106</v>
      </c>
      <c r="E246" s="36" t="s">
        <v>106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25">
      <c r="A247" s="34">
        <v>2020</v>
      </c>
      <c r="B247" s="35">
        <v>14468</v>
      </c>
      <c r="C247" s="36" t="s">
        <v>404</v>
      </c>
      <c r="D247" s="36" t="s">
        <v>66</v>
      </c>
      <c r="E247" s="36" t="s">
        <v>154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25">
      <c r="A248" s="34">
        <v>2020</v>
      </c>
      <c r="B248" s="35">
        <v>14557</v>
      </c>
      <c r="C248" s="36" t="s">
        <v>405</v>
      </c>
      <c r="D248" s="36" t="s">
        <v>106</v>
      </c>
      <c r="E248" s="36" t="s">
        <v>106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155</v>
      </c>
      <c r="L248" s="38">
        <v>3</v>
      </c>
      <c r="M248" s="38" t="s">
        <v>155</v>
      </c>
      <c r="N248" s="38">
        <v>63</v>
      </c>
      <c r="O248" s="45">
        <v>0</v>
      </c>
      <c r="P248" s="45" t="s">
        <v>155</v>
      </c>
      <c r="Q248" s="45" t="s">
        <v>155</v>
      </c>
      <c r="R248" s="45" t="s">
        <v>155</v>
      </c>
      <c r="S248" s="45">
        <v>0</v>
      </c>
      <c r="T248" s="46">
        <v>0.02</v>
      </c>
      <c r="U248" s="46" t="s">
        <v>155</v>
      </c>
      <c r="V248" s="46">
        <v>4.8</v>
      </c>
      <c r="W248" s="46" t="s">
        <v>155</v>
      </c>
      <c r="X248" s="46">
        <v>4.82</v>
      </c>
      <c r="Y248" s="47">
        <v>0.02</v>
      </c>
      <c r="Z248" s="47" t="s">
        <v>155</v>
      </c>
      <c r="AA248" s="47">
        <v>1.4</v>
      </c>
      <c r="AB248" s="47" t="s">
        <v>155</v>
      </c>
      <c r="AC248" s="47">
        <v>1.42</v>
      </c>
      <c r="AD248" s="48">
        <v>14.75</v>
      </c>
      <c r="AE248" s="48" t="s">
        <v>155</v>
      </c>
      <c r="AF248" s="48" t="s">
        <v>155</v>
      </c>
      <c r="AG248" s="48" t="s">
        <v>155</v>
      </c>
      <c r="AH248" s="48">
        <v>14.75</v>
      </c>
      <c r="AI248" s="49">
        <v>11.93</v>
      </c>
      <c r="AJ248" s="49" t="s">
        <v>155</v>
      </c>
      <c r="AK248" s="49" t="s">
        <v>155</v>
      </c>
      <c r="AL248" s="49" t="s">
        <v>155</v>
      </c>
      <c r="AM248" s="49">
        <v>11.93</v>
      </c>
      <c r="AN248" s="50">
        <v>60</v>
      </c>
    </row>
    <row r="249" spans="1:40" ht="15.75" customHeight="1" x14ac:dyDescent="0.25">
      <c r="A249" s="34">
        <v>2020</v>
      </c>
      <c r="B249" s="35">
        <v>14610</v>
      </c>
      <c r="C249" s="36" t="s">
        <v>406</v>
      </c>
      <c r="D249" s="36" t="s">
        <v>28</v>
      </c>
      <c r="E249" s="36" t="s">
        <v>407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155</v>
      </c>
      <c r="P249" s="45" t="s">
        <v>155</v>
      </c>
      <c r="Q249" s="45" t="s">
        <v>155</v>
      </c>
      <c r="R249" s="45" t="s">
        <v>155</v>
      </c>
      <c r="S249" s="45" t="s">
        <v>155</v>
      </c>
      <c r="T249" s="46" t="s">
        <v>155</v>
      </c>
      <c r="U249" s="46" t="s">
        <v>155</v>
      </c>
      <c r="V249" s="46" t="s">
        <v>155</v>
      </c>
      <c r="W249" s="46" t="s">
        <v>155</v>
      </c>
      <c r="X249" s="46" t="s">
        <v>155</v>
      </c>
      <c r="Y249" s="47" t="s">
        <v>155</v>
      </c>
      <c r="Z249" s="47" t="s">
        <v>155</v>
      </c>
      <c r="AA249" s="47" t="s">
        <v>155</v>
      </c>
      <c r="AB249" s="47" t="s">
        <v>155</v>
      </c>
      <c r="AC249" s="47" t="s">
        <v>155</v>
      </c>
      <c r="AD249" s="48" t="s">
        <v>155</v>
      </c>
      <c r="AE249" s="48" t="s">
        <v>155</v>
      </c>
      <c r="AF249" s="48" t="s">
        <v>155</v>
      </c>
      <c r="AG249" s="48" t="s">
        <v>155</v>
      </c>
      <c r="AH249" s="48" t="s">
        <v>155</v>
      </c>
      <c r="AI249" s="49" t="s">
        <v>155</v>
      </c>
      <c r="AJ249" s="49" t="s">
        <v>155</v>
      </c>
      <c r="AK249" s="49" t="s">
        <v>155</v>
      </c>
      <c r="AL249" s="49" t="s">
        <v>155</v>
      </c>
      <c r="AM249" s="49" t="s">
        <v>155</v>
      </c>
      <c r="AN249" s="50" t="s">
        <v>155</v>
      </c>
    </row>
    <row r="250" spans="1:40" ht="15.75" customHeight="1" x14ac:dyDescent="0.25">
      <c r="A250" s="34">
        <v>2020</v>
      </c>
      <c r="B250" s="35">
        <v>14653</v>
      </c>
      <c r="C250" s="36" t="s">
        <v>408</v>
      </c>
      <c r="D250" s="36" t="s">
        <v>120</v>
      </c>
      <c r="E250" s="36" t="s">
        <v>409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155</v>
      </c>
      <c r="K250" s="38" t="s">
        <v>155</v>
      </c>
      <c r="L250" s="38" t="s">
        <v>155</v>
      </c>
      <c r="M250" s="38" t="s">
        <v>155</v>
      </c>
      <c r="N250" s="38" t="s">
        <v>155</v>
      </c>
      <c r="O250" s="45" t="s">
        <v>155</v>
      </c>
      <c r="P250" s="45" t="s">
        <v>155</v>
      </c>
      <c r="Q250" s="45" t="s">
        <v>155</v>
      </c>
      <c r="R250" s="45" t="s">
        <v>155</v>
      </c>
      <c r="S250" s="45" t="s">
        <v>155</v>
      </c>
      <c r="T250" s="46" t="s">
        <v>155</v>
      </c>
      <c r="U250" s="46" t="s">
        <v>155</v>
      </c>
      <c r="V250" s="46" t="s">
        <v>155</v>
      </c>
      <c r="W250" s="46" t="s">
        <v>155</v>
      </c>
      <c r="X250" s="46" t="s">
        <v>155</v>
      </c>
      <c r="Y250" s="47" t="s">
        <v>155</v>
      </c>
      <c r="Z250" s="47" t="s">
        <v>155</v>
      </c>
      <c r="AA250" s="47" t="s">
        <v>155</v>
      </c>
      <c r="AB250" s="47" t="s">
        <v>155</v>
      </c>
      <c r="AC250" s="47" t="s">
        <v>155</v>
      </c>
      <c r="AD250" s="48" t="s">
        <v>155</v>
      </c>
      <c r="AE250" s="48" t="s">
        <v>155</v>
      </c>
      <c r="AF250" s="48" t="s">
        <v>155</v>
      </c>
      <c r="AG250" s="48" t="s">
        <v>155</v>
      </c>
      <c r="AH250" s="48" t="s">
        <v>155</v>
      </c>
      <c r="AI250" s="49" t="s">
        <v>155</v>
      </c>
      <c r="AJ250" s="49" t="s">
        <v>155</v>
      </c>
      <c r="AK250" s="49" t="s">
        <v>155</v>
      </c>
      <c r="AL250" s="49" t="s">
        <v>155</v>
      </c>
      <c r="AM250" s="49" t="s">
        <v>155</v>
      </c>
      <c r="AN250" s="50" t="s">
        <v>155</v>
      </c>
    </row>
    <row r="251" spans="1:40" ht="15.75" customHeight="1" x14ac:dyDescent="0.25">
      <c r="A251" s="34">
        <v>2020</v>
      </c>
      <c r="B251" s="35">
        <v>14715</v>
      </c>
      <c r="C251" s="36" t="s">
        <v>410</v>
      </c>
      <c r="D251" s="36" t="s">
        <v>102</v>
      </c>
      <c r="E251" s="36" t="s">
        <v>167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155</v>
      </c>
    </row>
    <row r="252" spans="1:40" ht="15.75" customHeight="1" x14ac:dyDescent="0.25">
      <c r="A252" s="34">
        <v>2020</v>
      </c>
      <c r="B252" s="35">
        <v>14716</v>
      </c>
      <c r="C252" s="36" t="s">
        <v>411</v>
      </c>
      <c r="D252" s="36" t="s">
        <v>102</v>
      </c>
      <c r="E252" s="36" t="s">
        <v>167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155</v>
      </c>
    </row>
    <row r="253" spans="1:40" ht="15.75" customHeight="1" x14ac:dyDescent="0.25">
      <c r="A253" s="34">
        <v>2020</v>
      </c>
      <c r="B253" s="35">
        <v>14717</v>
      </c>
      <c r="C253" s="36" t="s">
        <v>412</v>
      </c>
      <c r="D253" s="36" t="s">
        <v>92</v>
      </c>
      <c r="E253" s="36" t="s">
        <v>202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155</v>
      </c>
      <c r="K253" s="38">
        <v>104</v>
      </c>
      <c r="L253" s="38" t="s">
        <v>155</v>
      </c>
      <c r="M253" s="38" t="s">
        <v>155</v>
      </c>
      <c r="N253" s="38">
        <v>104</v>
      </c>
      <c r="O253" s="45" t="s">
        <v>155</v>
      </c>
      <c r="P253" s="45" t="s">
        <v>155</v>
      </c>
      <c r="Q253" s="45" t="s">
        <v>155</v>
      </c>
      <c r="R253" s="45" t="s">
        <v>155</v>
      </c>
      <c r="S253" s="45" t="s">
        <v>155</v>
      </c>
      <c r="T253" s="46" t="s">
        <v>155</v>
      </c>
      <c r="U253" s="46">
        <v>6</v>
      </c>
      <c r="V253" s="46" t="s">
        <v>155</v>
      </c>
      <c r="W253" s="46" t="s">
        <v>155</v>
      </c>
      <c r="X253" s="46">
        <v>6</v>
      </c>
      <c r="Y253" s="47" t="s">
        <v>155</v>
      </c>
      <c r="Z253" s="47" t="s">
        <v>155</v>
      </c>
      <c r="AA253" s="47" t="s">
        <v>155</v>
      </c>
      <c r="AB253" s="47" t="s">
        <v>155</v>
      </c>
      <c r="AC253" s="47" t="s">
        <v>155</v>
      </c>
      <c r="AD253" s="48" t="s">
        <v>155</v>
      </c>
      <c r="AE253" s="48" t="s">
        <v>155</v>
      </c>
      <c r="AF253" s="48" t="s">
        <v>155</v>
      </c>
      <c r="AG253" s="48" t="s">
        <v>155</v>
      </c>
      <c r="AH253" s="48" t="s">
        <v>155</v>
      </c>
      <c r="AI253" s="49" t="s">
        <v>155</v>
      </c>
      <c r="AJ253" s="49" t="s">
        <v>155</v>
      </c>
      <c r="AK253" s="49" t="s">
        <v>155</v>
      </c>
      <c r="AL253" s="49" t="s">
        <v>155</v>
      </c>
      <c r="AM253" s="49" t="s">
        <v>155</v>
      </c>
      <c r="AN253" s="50" t="s">
        <v>155</v>
      </c>
    </row>
    <row r="254" spans="1:40" ht="15.75" customHeight="1" x14ac:dyDescent="0.25">
      <c r="A254" s="34">
        <v>2020</v>
      </c>
      <c r="B254" s="35">
        <v>14940</v>
      </c>
      <c r="C254" s="36" t="s">
        <v>413</v>
      </c>
      <c r="D254" s="36" t="s">
        <v>102</v>
      </c>
      <c r="E254" s="36" t="s">
        <v>167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155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155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155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155</v>
      </c>
      <c r="AC254" s="47">
        <v>161</v>
      </c>
      <c r="AD254" s="48">
        <v>2035</v>
      </c>
      <c r="AE254" s="48">
        <v>61</v>
      </c>
      <c r="AF254" s="48" t="s">
        <v>155</v>
      </c>
      <c r="AG254" s="48" t="s">
        <v>155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155</v>
      </c>
      <c r="AM254" s="49">
        <v>4446</v>
      </c>
      <c r="AN254" s="50" t="s">
        <v>155</v>
      </c>
    </row>
    <row r="255" spans="1:40" ht="15.75" customHeight="1" x14ac:dyDescent="0.25">
      <c r="A255" s="34">
        <v>2020</v>
      </c>
      <c r="B255" s="35">
        <v>15023</v>
      </c>
      <c r="C255" s="36" t="s">
        <v>414</v>
      </c>
      <c r="D255" s="36" t="s">
        <v>92</v>
      </c>
      <c r="E255" s="36" t="s">
        <v>195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155</v>
      </c>
      <c r="M255" s="38" t="s">
        <v>155</v>
      </c>
      <c r="N255" s="38">
        <v>6343</v>
      </c>
      <c r="O255" s="45" t="s">
        <v>155</v>
      </c>
      <c r="P255" s="45" t="s">
        <v>155</v>
      </c>
      <c r="Q255" s="45" t="s">
        <v>155</v>
      </c>
      <c r="R255" s="45" t="s">
        <v>155</v>
      </c>
      <c r="S255" s="45" t="s">
        <v>155</v>
      </c>
      <c r="T255" s="46">
        <v>5.79</v>
      </c>
      <c r="U255" s="46">
        <v>7.0000000000000007E-2</v>
      </c>
      <c r="V255" s="46" t="s">
        <v>155</v>
      </c>
      <c r="W255" s="46" t="s">
        <v>155</v>
      </c>
      <c r="X255" s="46">
        <v>5.86</v>
      </c>
      <c r="Y255" s="47">
        <v>5.79</v>
      </c>
      <c r="Z255" s="47">
        <v>7.0000000000000007E-2</v>
      </c>
      <c r="AA255" s="47" t="s">
        <v>155</v>
      </c>
      <c r="AB255" s="47" t="s">
        <v>155</v>
      </c>
      <c r="AC255" s="47">
        <v>5.86</v>
      </c>
      <c r="AD255" s="48">
        <v>135.91</v>
      </c>
      <c r="AE255" s="48">
        <v>10.44</v>
      </c>
      <c r="AF255" s="48" t="s">
        <v>155</v>
      </c>
      <c r="AG255" s="48" t="s">
        <v>155</v>
      </c>
      <c r="AH255" s="48">
        <v>146.35</v>
      </c>
      <c r="AI255" s="49">
        <v>235.44</v>
      </c>
      <c r="AJ255" s="49">
        <v>18.09</v>
      </c>
      <c r="AK255" s="49" t="s">
        <v>155</v>
      </c>
      <c r="AL255" s="49" t="s">
        <v>155</v>
      </c>
      <c r="AM255" s="49">
        <v>253.53</v>
      </c>
      <c r="AN255" s="50" t="s">
        <v>155</v>
      </c>
    </row>
    <row r="256" spans="1:40" ht="15.75" customHeight="1" x14ac:dyDescent="0.25">
      <c r="A256" s="34">
        <v>2020</v>
      </c>
      <c r="B256" s="35">
        <v>15248</v>
      </c>
      <c r="C256" s="36" t="s">
        <v>415</v>
      </c>
      <c r="D256" s="36" t="s">
        <v>100</v>
      </c>
      <c r="E256" s="36" t="s">
        <v>416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155</v>
      </c>
      <c r="M256" s="38" t="s">
        <v>155</v>
      </c>
      <c r="N256" s="38">
        <v>117344</v>
      </c>
      <c r="O256" s="45" t="s">
        <v>155</v>
      </c>
      <c r="P256" s="45" t="s">
        <v>155</v>
      </c>
      <c r="Q256" s="45" t="s">
        <v>155</v>
      </c>
      <c r="R256" s="45" t="s">
        <v>155</v>
      </c>
      <c r="S256" s="45" t="s">
        <v>155</v>
      </c>
      <c r="T256" s="46">
        <v>56.9</v>
      </c>
      <c r="U256" s="46">
        <v>44.36</v>
      </c>
      <c r="V256" s="46" t="s">
        <v>155</v>
      </c>
      <c r="W256" s="46" t="s">
        <v>155</v>
      </c>
      <c r="X256" s="46">
        <v>101.26</v>
      </c>
      <c r="Y256" s="47">
        <v>37.298999999999999</v>
      </c>
      <c r="Z256" s="47">
        <v>27.42</v>
      </c>
      <c r="AA256" s="47" t="s">
        <v>155</v>
      </c>
      <c r="AB256" s="47" t="s">
        <v>155</v>
      </c>
      <c r="AC256" s="47">
        <v>64.718999999999994</v>
      </c>
      <c r="AD256" s="48">
        <v>1042.1479999999999</v>
      </c>
      <c r="AE256" s="48">
        <v>1118.2850000000001</v>
      </c>
      <c r="AF256" s="48" t="s">
        <v>155</v>
      </c>
      <c r="AG256" s="48" t="s">
        <v>155</v>
      </c>
      <c r="AH256" s="48">
        <v>2160.433</v>
      </c>
      <c r="AI256" s="49">
        <v>2582.4180000000001</v>
      </c>
      <c r="AJ256" s="49">
        <v>5695.2070000000003</v>
      </c>
      <c r="AK256" s="49" t="s">
        <v>155</v>
      </c>
      <c r="AL256" s="49" t="s">
        <v>155</v>
      </c>
      <c r="AM256" s="49">
        <v>8277.625</v>
      </c>
      <c r="AN256" s="50" t="s">
        <v>155</v>
      </c>
    </row>
    <row r="257" spans="1:40" ht="15.75" customHeight="1" x14ac:dyDescent="0.25">
      <c r="A257" s="34">
        <v>2020</v>
      </c>
      <c r="B257" s="35">
        <v>15263</v>
      </c>
      <c r="C257" s="36" t="s">
        <v>417</v>
      </c>
      <c r="D257" s="36" t="s">
        <v>122</v>
      </c>
      <c r="E257" s="36" t="s">
        <v>167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155</v>
      </c>
      <c r="K257" s="38" t="s">
        <v>155</v>
      </c>
      <c r="L257" s="38" t="s">
        <v>155</v>
      </c>
      <c r="M257" s="38" t="s">
        <v>155</v>
      </c>
      <c r="N257" s="38" t="s">
        <v>155</v>
      </c>
      <c r="O257" s="45" t="s">
        <v>155</v>
      </c>
      <c r="P257" s="45" t="s">
        <v>155</v>
      </c>
      <c r="Q257" s="45" t="s">
        <v>155</v>
      </c>
      <c r="R257" s="45" t="s">
        <v>155</v>
      </c>
      <c r="S257" s="45" t="s">
        <v>155</v>
      </c>
      <c r="T257" s="46" t="s">
        <v>155</v>
      </c>
      <c r="U257" s="46" t="s">
        <v>155</v>
      </c>
      <c r="V257" s="46" t="s">
        <v>155</v>
      </c>
      <c r="W257" s="46" t="s">
        <v>155</v>
      </c>
      <c r="X257" s="46" t="s">
        <v>155</v>
      </c>
      <c r="Y257" s="47" t="s">
        <v>155</v>
      </c>
      <c r="Z257" s="47" t="s">
        <v>155</v>
      </c>
      <c r="AA257" s="47" t="s">
        <v>155</v>
      </c>
      <c r="AB257" s="47" t="s">
        <v>155</v>
      </c>
      <c r="AC257" s="47" t="s">
        <v>155</v>
      </c>
      <c r="AD257" s="48" t="s">
        <v>155</v>
      </c>
      <c r="AE257" s="48" t="s">
        <v>155</v>
      </c>
      <c r="AF257" s="48" t="s">
        <v>155</v>
      </c>
      <c r="AG257" s="48" t="s">
        <v>155</v>
      </c>
      <c r="AH257" s="48" t="s">
        <v>155</v>
      </c>
      <c r="AI257" s="49" t="s">
        <v>155</v>
      </c>
      <c r="AJ257" s="49" t="s">
        <v>155</v>
      </c>
      <c r="AK257" s="49" t="s">
        <v>155</v>
      </c>
      <c r="AL257" s="49" t="s">
        <v>155</v>
      </c>
      <c r="AM257" s="49" t="s">
        <v>155</v>
      </c>
      <c r="AN257" s="50" t="s">
        <v>155</v>
      </c>
    </row>
    <row r="258" spans="1:40" ht="15.75" customHeight="1" x14ac:dyDescent="0.25">
      <c r="A258" s="34">
        <v>2020</v>
      </c>
      <c r="B258" s="35">
        <v>15270</v>
      </c>
      <c r="C258" s="36" t="s">
        <v>418</v>
      </c>
      <c r="D258" s="36" t="s">
        <v>419</v>
      </c>
      <c r="E258" s="36" t="s">
        <v>167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155</v>
      </c>
      <c r="L258" s="38" t="s">
        <v>155</v>
      </c>
      <c r="M258" s="38" t="s">
        <v>155</v>
      </c>
      <c r="N258" s="38">
        <v>25133</v>
      </c>
      <c r="O258" s="45">
        <v>0</v>
      </c>
      <c r="P258" s="45" t="s">
        <v>155</v>
      </c>
      <c r="Q258" s="45" t="s">
        <v>155</v>
      </c>
      <c r="R258" s="45" t="s">
        <v>155</v>
      </c>
      <c r="S258" s="45">
        <v>0</v>
      </c>
      <c r="T258" s="46">
        <v>20.6</v>
      </c>
      <c r="U258" s="46" t="s">
        <v>155</v>
      </c>
      <c r="V258" s="46" t="s">
        <v>155</v>
      </c>
      <c r="W258" s="46" t="s">
        <v>155</v>
      </c>
      <c r="X258" s="46">
        <v>20.6</v>
      </c>
      <c r="Y258" s="47">
        <v>20.6</v>
      </c>
      <c r="Z258" s="47" t="s">
        <v>155</v>
      </c>
      <c r="AA258" s="47" t="s">
        <v>155</v>
      </c>
      <c r="AB258" s="47" t="s">
        <v>155</v>
      </c>
      <c r="AC258" s="47">
        <v>20.6</v>
      </c>
      <c r="AD258" s="48">
        <v>928</v>
      </c>
      <c r="AE258" s="48" t="s">
        <v>155</v>
      </c>
      <c r="AF258" s="48" t="s">
        <v>155</v>
      </c>
      <c r="AG258" s="48" t="s">
        <v>155</v>
      </c>
      <c r="AH258" s="48">
        <v>928</v>
      </c>
      <c r="AI258" s="49">
        <v>684</v>
      </c>
      <c r="AJ258" s="49" t="s">
        <v>155</v>
      </c>
      <c r="AK258" s="49" t="s">
        <v>155</v>
      </c>
      <c r="AL258" s="49" t="s">
        <v>155</v>
      </c>
      <c r="AM258" s="49">
        <v>684</v>
      </c>
      <c r="AN258" s="50" t="s">
        <v>155</v>
      </c>
    </row>
    <row r="259" spans="1:40" ht="15.75" customHeight="1" x14ac:dyDescent="0.25">
      <c r="A259" s="34">
        <v>2020</v>
      </c>
      <c r="B259" s="35">
        <v>15270</v>
      </c>
      <c r="C259" s="36" t="s">
        <v>418</v>
      </c>
      <c r="D259" s="36" t="s">
        <v>58</v>
      </c>
      <c r="E259" s="36" t="s">
        <v>167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155</v>
      </c>
      <c r="M259" s="38" t="s">
        <v>155</v>
      </c>
      <c r="N259" s="38">
        <v>534879</v>
      </c>
      <c r="O259" s="45">
        <v>31125</v>
      </c>
      <c r="P259" s="45">
        <v>579</v>
      </c>
      <c r="Q259" s="45" t="s">
        <v>155</v>
      </c>
      <c r="R259" s="45" t="s">
        <v>155</v>
      </c>
      <c r="S259" s="45">
        <v>31704</v>
      </c>
      <c r="T259" s="46">
        <v>88.3</v>
      </c>
      <c r="U259" s="46">
        <v>12.5</v>
      </c>
      <c r="V259" s="46" t="s">
        <v>155</v>
      </c>
      <c r="W259" s="46" t="s">
        <v>155</v>
      </c>
      <c r="X259" s="46">
        <v>100.8</v>
      </c>
      <c r="Y259" s="47">
        <v>88.3</v>
      </c>
      <c r="Z259" s="47">
        <v>12.5</v>
      </c>
      <c r="AA259" s="47" t="s">
        <v>155</v>
      </c>
      <c r="AB259" s="47" t="s">
        <v>155</v>
      </c>
      <c r="AC259" s="47">
        <v>100.8</v>
      </c>
      <c r="AD259" s="48">
        <v>15722</v>
      </c>
      <c r="AE259" s="48">
        <v>468</v>
      </c>
      <c r="AF259" s="48" t="s">
        <v>155</v>
      </c>
      <c r="AG259" s="48" t="s">
        <v>155</v>
      </c>
      <c r="AH259" s="48">
        <v>16190</v>
      </c>
      <c r="AI259" s="49">
        <v>9880</v>
      </c>
      <c r="AJ259" s="49">
        <v>417</v>
      </c>
      <c r="AK259" s="49" t="s">
        <v>155</v>
      </c>
      <c r="AL259" s="49" t="s">
        <v>155</v>
      </c>
      <c r="AM259" s="49">
        <v>10297</v>
      </c>
      <c r="AN259" s="50" t="s">
        <v>155</v>
      </c>
    </row>
    <row r="260" spans="1:40" ht="15.75" customHeight="1" x14ac:dyDescent="0.25">
      <c r="A260" s="34">
        <v>2020</v>
      </c>
      <c r="B260" s="35">
        <v>15344</v>
      </c>
      <c r="C260" s="36" t="s">
        <v>420</v>
      </c>
      <c r="D260" s="36" t="s">
        <v>124</v>
      </c>
      <c r="E260" s="36" t="s">
        <v>154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25">
      <c r="A261" s="34">
        <v>2020</v>
      </c>
      <c r="B261" s="35">
        <v>15466</v>
      </c>
      <c r="C261" s="36" t="s">
        <v>421</v>
      </c>
      <c r="D261" s="36" t="s">
        <v>20</v>
      </c>
      <c r="E261" s="36" t="s">
        <v>221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155</v>
      </c>
      <c r="M261" s="38" t="s">
        <v>155</v>
      </c>
      <c r="N261" s="38">
        <v>207592</v>
      </c>
      <c r="O261" s="45">
        <v>204.108</v>
      </c>
      <c r="P261" s="45">
        <v>234.768</v>
      </c>
      <c r="Q261" s="45" t="s">
        <v>155</v>
      </c>
      <c r="R261" s="45" t="s">
        <v>155</v>
      </c>
      <c r="S261" s="45">
        <v>438.87599999999998</v>
      </c>
      <c r="T261" s="46">
        <v>233</v>
      </c>
      <c r="U261" s="46">
        <v>268</v>
      </c>
      <c r="V261" s="46" t="s">
        <v>155</v>
      </c>
      <c r="W261" s="46" t="s">
        <v>155</v>
      </c>
      <c r="X261" s="46">
        <v>501</v>
      </c>
      <c r="Y261" s="47">
        <v>0</v>
      </c>
      <c r="Z261" s="47">
        <v>0</v>
      </c>
      <c r="AA261" s="47" t="s">
        <v>155</v>
      </c>
      <c r="AB261" s="47" t="s">
        <v>155</v>
      </c>
      <c r="AC261" s="47">
        <v>0</v>
      </c>
      <c r="AD261" s="48">
        <v>8372.8809999999994</v>
      </c>
      <c r="AE261" s="48">
        <v>24096.633000000002</v>
      </c>
      <c r="AF261" s="48" t="s">
        <v>155</v>
      </c>
      <c r="AG261" s="48" t="s">
        <v>155</v>
      </c>
      <c r="AH261" s="48">
        <v>32469.513999999999</v>
      </c>
      <c r="AI261" s="49">
        <v>3676.3</v>
      </c>
      <c r="AJ261" s="49">
        <v>1275.127</v>
      </c>
      <c r="AK261" s="49" t="s">
        <v>155</v>
      </c>
      <c r="AL261" s="49" t="s">
        <v>155</v>
      </c>
      <c r="AM261" s="49">
        <v>4951.4269999999997</v>
      </c>
      <c r="AN261" s="50" t="s">
        <v>155</v>
      </c>
    </row>
    <row r="262" spans="1:40" ht="15.75" customHeight="1" x14ac:dyDescent="0.25">
      <c r="A262" s="34">
        <v>2020</v>
      </c>
      <c r="B262" s="35">
        <v>15470</v>
      </c>
      <c r="C262" s="36" t="s">
        <v>422</v>
      </c>
      <c r="D262" s="36" t="s">
        <v>41</v>
      </c>
      <c r="E262" s="36" t="s">
        <v>154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155</v>
      </c>
      <c r="N262" s="38">
        <v>59365</v>
      </c>
      <c r="O262" s="45" t="s">
        <v>155</v>
      </c>
      <c r="P262" s="45" t="s">
        <v>155</v>
      </c>
      <c r="Q262" s="45" t="s">
        <v>155</v>
      </c>
      <c r="R262" s="45" t="s">
        <v>155</v>
      </c>
      <c r="S262" s="45" t="s">
        <v>155</v>
      </c>
      <c r="T262" s="46">
        <v>60.9</v>
      </c>
      <c r="U262" s="46">
        <v>38.283999999999999</v>
      </c>
      <c r="V262" s="46">
        <v>457.80900000000003</v>
      </c>
      <c r="W262" s="46" t="s">
        <v>155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155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155</v>
      </c>
    </row>
    <row r="263" spans="1:40" ht="15.75" customHeight="1" x14ac:dyDescent="0.25">
      <c r="A263" s="34">
        <v>2020</v>
      </c>
      <c r="B263" s="35">
        <v>15472</v>
      </c>
      <c r="C263" s="36" t="s">
        <v>423</v>
      </c>
      <c r="D263" s="36" t="s">
        <v>82</v>
      </c>
      <c r="E263" s="36" t="s">
        <v>226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155</v>
      </c>
      <c r="M263" s="38" t="s">
        <v>155</v>
      </c>
      <c r="N263" s="38">
        <v>1528</v>
      </c>
      <c r="O263" s="45">
        <v>2.9</v>
      </c>
      <c r="P263" s="45" t="s">
        <v>155</v>
      </c>
      <c r="Q263" s="45" t="s">
        <v>155</v>
      </c>
      <c r="R263" s="45" t="s">
        <v>155</v>
      </c>
      <c r="S263" s="45">
        <v>2.9</v>
      </c>
      <c r="T263" s="46" t="s">
        <v>155</v>
      </c>
      <c r="U263" s="46" t="s">
        <v>155</v>
      </c>
      <c r="V263" s="46" t="s">
        <v>155</v>
      </c>
      <c r="W263" s="46" t="s">
        <v>155</v>
      </c>
      <c r="X263" s="46" t="s">
        <v>155</v>
      </c>
      <c r="Y263" s="47">
        <v>1.0860000000000001</v>
      </c>
      <c r="Z263" s="47">
        <v>1.88</v>
      </c>
      <c r="AA263" s="47" t="s">
        <v>155</v>
      </c>
      <c r="AB263" s="47" t="s">
        <v>155</v>
      </c>
      <c r="AC263" s="47">
        <v>2.9660000000000002</v>
      </c>
      <c r="AD263" s="48">
        <v>36.546999999999997</v>
      </c>
      <c r="AE263" s="48">
        <v>461.01499999999999</v>
      </c>
      <c r="AF263" s="48" t="s">
        <v>155</v>
      </c>
      <c r="AG263" s="48" t="s">
        <v>155</v>
      </c>
      <c r="AH263" s="48">
        <v>497.56200000000001</v>
      </c>
      <c r="AI263" s="49">
        <v>71.031000000000006</v>
      </c>
      <c r="AJ263" s="49">
        <v>163.244</v>
      </c>
      <c r="AK263" s="49" t="s">
        <v>155</v>
      </c>
      <c r="AL263" s="49" t="s">
        <v>155</v>
      </c>
      <c r="AM263" s="49">
        <v>234.27500000000001</v>
      </c>
      <c r="AN263" s="50" t="s">
        <v>155</v>
      </c>
    </row>
    <row r="264" spans="1:40" ht="15.75" customHeight="1" x14ac:dyDescent="0.25">
      <c r="A264" s="34">
        <v>2020</v>
      </c>
      <c r="B264" s="35">
        <v>15473</v>
      </c>
      <c r="C264" s="36" t="s">
        <v>424</v>
      </c>
      <c r="D264" s="36" t="s">
        <v>88</v>
      </c>
      <c r="E264" s="36" t="s">
        <v>425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155</v>
      </c>
    </row>
    <row r="265" spans="1:40" ht="15.75" customHeight="1" x14ac:dyDescent="0.25">
      <c r="A265" s="34">
        <v>2020</v>
      </c>
      <c r="B265" s="35">
        <v>15474</v>
      </c>
      <c r="C265" s="36" t="s">
        <v>426</v>
      </c>
      <c r="D265" s="36" t="s">
        <v>98</v>
      </c>
      <c r="E265" s="36" t="s">
        <v>175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25">
      <c r="A266" s="34">
        <v>2020</v>
      </c>
      <c r="B266" s="35">
        <v>15477</v>
      </c>
      <c r="C266" s="36" t="s">
        <v>427</v>
      </c>
      <c r="D266" s="36" t="s">
        <v>85</v>
      </c>
      <c r="E266" s="36" t="s">
        <v>167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155</v>
      </c>
      <c r="K266" s="38" t="s">
        <v>155</v>
      </c>
      <c r="L266" s="38" t="s">
        <v>155</v>
      </c>
      <c r="M266" s="38" t="s">
        <v>155</v>
      </c>
      <c r="N266" s="38" t="s">
        <v>155</v>
      </c>
      <c r="O266" s="45" t="s">
        <v>155</v>
      </c>
      <c r="P266" s="45" t="s">
        <v>155</v>
      </c>
      <c r="Q266" s="45" t="s">
        <v>155</v>
      </c>
      <c r="R266" s="45" t="s">
        <v>155</v>
      </c>
      <c r="S266" s="45" t="s">
        <v>155</v>
      </c>
      <c r="T266" s="46" t="s">
        <v>155</v>
      </c>
      <c r="U266" s="46" t="s">
        <v>155</v>
      </c>
      <c r="V266" s="46" t="s">
        <v>155</v>
      </c>
      <c r="W266" s="46" t="s">
        <v>155</v>
      </c>
      <c r="X266" s="46" t="s">
        <v>155</v>
      </c>
      <c r="Y266" s="47" t="s">
        <v>155</v>
      </c>
      <c r="Z266" s="47" t="s">
        <v>155</v>
      </c>
      <c r="AA266" s="47" t="s">
        <v>155</v>
      </c>
      <c r="AB266" s="47" t="s">
        <v>155</v>
      </c>
      <c r="AC266" s="47" t="s">
        <v>155</v>
      </c>
      <c r="AD266" s="48" t="s">
        <v>155</v>
      </c>
      <c r="AE266" s="48" t="s">
        <v>155</v>
      </c>
      <c r="AF266" s="48" t="s">
        <v>155</v>
      </c>
      <c r="AG266" s="48" t="s">
        <v>155</v>
      </c>
      <c r="AH266" s="48" t="s">
        <v>155</v>
      </c>
      <c r="AI266" s="49" t="s">
        <v>155</v>
      </c>
      <c r="AJ266" s="49" t="s">
        <v>155</v>
      </c>
      <c r="AK266" s="49" t="s">
        <v>155</v>
      </c>
      <c r="AL266" s="49" t="s">
        <v>155</v>
      </c>
      <c r="AM266" s="49" t="s">
        <v>155</v>
      </c>
      <c r="AN266" s="50" t="s">
        <v>155</v>
      </c>
    </row>
    <row r="267" spans="1:40" ht="15.75" customHeight="1" x14ac:dyDescent="0.25">
      <c r="A267" s="34">
        <v>2020</v>
      </c>
      <c r="B267" s="35">
        <v>15671</v>
      </c>
      <c r="C267" s="36" t="s">
        <v>428</v>
      </c>
      <c r="D267" s="36" t="s">
        <v>92</v>
      </c>
      <c r="E267" s="36" t="s">
        <v>202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155</v>
      </c>
      <c r="K267" s="38">
        <v>241</v>
      </c>
      <c r="L267" s="38" t="s">
        <v>155</v>
      </c>
      <c r="M267" s="38" t="s">
        <v>155</v>
      </c>
      <c r="N267" s="38">
        <v>241</v>
      </c>
      <c r="O267" s="45" t="s">
        <v>155</v>
      </c>
      <c r="P267" s="45" t="s">
        <v>155</v>
      </c>
      <c r="Q267" s="45" t="s">
        <v>155</v>
      </c>
      <c r="R267" s="45" t="s">
        <v>155</v>
      </c>
      <c r="S267" s="45" t="s">
        <v>155</v>
      </c>
      <c r="T267" s="46" t="s">
        <v>155</v>
      </c>
      <c r="U267" s="46">
        <v>14.4</v>
      </c>
      <c r="V267" s="46" t="s">
        <v>155</v>
      </c>
      <c r="W267" s="46" t="s">
        <v>155</v>
      </c>
      <c r="X267" s="46">
        <v>14.4</v>
      </c>
      <c r="Y267" s="47" t="s">
        <v>155</v>
      </c>
      <c r="Z267" s="47">
        <v>8.9</v>
      </c>
      <c r="AA267" s="47" t="s">
        <v>155</v>
      </c>
      <c r="AB267" s="47" t="s">
        <v>155</v>
      </c>
      <c r="AC267" s="47">
        <v>8.9</v>
      </c>
      <c r="AD267" s="48" t="s">
        <v>155</v>
      </c>
      <c r="AE267" s="48">
        <v>452</v>
      </c>
      <c r="AF267" s="48" t="s">
        <v>155</v>
      </c>
      <c r="AG267" s="48" t="s">
        <v>155</v>
      </c>
      <c r="AH267" s="48">
        <v>452</v>
      </c>
      <c r="AI267" s="49" t="s">
        <v>155</v>
      </c>
      <c r="AJ267" s="49" t="s">
        <v>155</v>
      </c>
      <c r="AK267" s="49" t="s">
        <v>155</v>
      </c>
      <c r="AL267" s="49" t="s">
        <v>155</v>
      </c>
      <c r="AM267" s="49" t="s">
        <v>155</v>
      </c>
      <c r="AN267" s="50" t="s">
        <v>155</v>
      </c>
    </row>
    <row r="268" spans="1:40" ht="15.75" customHeight="1" x14ac:dyDescent="0.25">
      <c r="A268" s="34">
        <v>2020</v>
      </c>
      <c r="B268" s="35">
        <v>15700</v>
      </c>
      <c r="C268" s="36" t="s">
        <v>429</v>
      </c>
      <c r="D268" s="36" t="s">
        <v>31</v>
      </c>
      <c r="E268" s="36" t="s">
        <v>160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155</v>
      </c>
      <c r="K268" s="38" t="s">
        <v>155</v>
      </c>
      <c r="L268" s="38">
        <v>2</v>
      </c>
      <c r="M268" s="38" t="s">
        <v>155</v>
      </c>
      <c r="N268" s="38">
        <v>2</v>
      </c>
      <c r="O268" s="45" t="s">
        <v>155</v>
      </c>
      <c r="P268" s="45" t="s">
        <v>155</v>
      </c>
      <c r="Q268" s="45">
        <v>0</v>
      </c>
      <c r="R268" s="45" t="s">
        <v>155</v>
      </c>
      <c r="S268" s="45">
        <v>0</v>
      </c>
      <c r="T268" s="46" t="s">
        <v>155</v>
      </c>
      <c r="U268" s="46" t="s">
        <v>155</v>
      </c>
      <c r="V268" s="46">
        <v>3</v>
      </c>
      <c r="W268" s="46" t="s">
        <v>155</v>
      </c>
      <c r="X268" s="46">
        <v>3</v>
      </c>
      <c r="Y268" s="47" t="s">
        <v>155</v>
      </c>
      <c r="Z268" s="47" t="s">
        <v>155</v>
      </c>
      <c r="AA268" s="47">
        <v>1</v>
      </c>
      <c r="AB268" s="47" t="s">
        <v>155</v>
      </c>
      <c r="AC268" s="47">
        <v>1</v>
      </c>
      <c r="AD268" s="48" t="s">
        <v>155</v>
      </c>
      <c r="AE268" s="48" t="s">
        <v>155</v>
      </c>
      <c r="AF268" s="48">
        <v>0</v>
      </c>
      <c r="AG268" s="48" t="s">
        <v>155</v>
      </c>
      <c r="AH268" s="48">
        <v>0</v>
      </c>
      <c r="AI268" s="49" t="s">
        <v>155</v>
      </c>
      <c r="AJ268" s="49" t="s">
        <v>155</v>
      </c>
      <c r="AK268" s="49">
        <v>0</v>
      </c>
      <c r="AL268" s="49" t="s">
        <v>155</v>
      </c>
      <c r="AM268" s="49">
        <v>0</v>
      </c>
      <c r="AN268" s="50" t="s">
        <v>155</v>
      </c>
    </row>
    <row r="269" spans="1:40" ht="15.75" customHeight="1" x14ac:dyDescent="0.25">
      <c r="A269" s="34">
        <v>2020</v>
      </c>
      <c r="B269" s="35">
        <v>15748</v>
      </c>
      <c r="C269" s="36" t="s">
        <v>430</v>
      </c>
      <c r="D269" s="36" t="s">
        <v>60</v>
      </c>
      <c r="E269" s="36" t="s">
        <v>226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155</v>
      </c>
      <c r="P269" s="45" t="s">
        <v>155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25">
      <c r="A270" s="34">
        <v>2020</v>
      </c>
      <c r="B270" s="35">
        <v>16060</v>
      </c>
      <c r="C270" s="36" t="s">
        <v>431</v>
      </c>
      <c r="D270" s="36" t="s">
        <v>124</v>
      </c>
      <c r="E270" s="36" t="s">
        <v>154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155</v>
      </c>
    </row>
    <row r="271" spans="1:40" ht="15.75" customHeight="1" x14ac:dyDescent="0.25">
      <c r="A271" s="34">
        <v>2020</v>
      </c>
      <c r="B271" s="35">
        <v>16101</v>
      </c>
      <c r="C271" s="36" t="s">
        <v>432</v>
      </c>
      <c r="D271" s="36" t="s">
        <v>92</v>
      </c>
      <c r="E271" s="36" t="s">
        <v>167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155</v>
      </c>
      <c r="L271" s="38" t="s">
        <v>155</v>
      </c>
      <c r="M271" s="38" t="s">
        <v>155</v>
      </c>
      <c r="N271" s="38">
        <v>2472</v>
      </c>
      <c r="O271" s="45">
        <v>0.1</v>
      </c>
      <c r="P271" s="45" t="s">
        <v>155</v>
      </c>
      <c r="Q271" s="45" t="s">
        <v>155</v>
      </c>
      <c r="R271" s="45" t="s">
        <v>155</v>
      </c>
      <c r="S271" s="45">
        <v>0.1</v>
      </c>
      <c r="T271" s="46">
        <v>0.1</v>
      </c>
      <c r="U271" s="46" t="s">
        <v>155</v>
      </c>
      <c r="V271" s="46" t="s">
        <v>155</v>
      </c>
      <c r="W271" s="46" t="s">
        <v>155</v>
      </c>
      <c r="X271" s="46">
        <v>0.1</v>
      </c>
      <c r="Y271" s="47">
        <v>0.1</v>
      </c>
      <c r="Z271" s="47" t="s">
        <v>155</v>
      </c>
      <c r="AA271" s="47" t="s">
        <v>155</v>
      </c>
      <c r="AB271" s="47" t="s">
        <v>155</v>
      </c>
      <c r="AC271" s="47">
        <v>0.1</v>
      </c>
      <c r="AD271" s="48">
        <v>806</v>
      </c>
      <c r="AE271" s="48" t="s">
        <v>155</v>
      </c>
      <c r="AF271" s="48" t="s">
        <v>155</v>
      </c>
      <c r="AG271" s="48" t="s">
        <v>155</v>
      </c>
      <c r="AH271" s="48">
        <v>806</v>
      </c>
      <c r="AI271" s="49" t="s">
        <v>155</v>
      </c>
      <c r="AJ271" s="49" t="s">
        <v>155</v>
      </c>
      <c r="AK271" s="49" t="s">
        <v>155</v>
      </c>
      <c r="AL271" s="49" t="s">
        <v>155</v>
      </c>
      <c r="AM271" s="49" t="s">
        <v>155</v>
      </c>
      <c r="AN271" s="50" t="s">
        <v>155</v>
      </c>
    </row>
    <row r="272" spans="1:40" ht="15.75" customHeight="1" x14ac:dyDescent="0.25">
      <c r="A272" s="34">
        <v>2020</v>
      </c>
      <c r="B272" s="35">
        <v>16181</v>
      </c>
      <c r="C272" s="36" t="s">
        <v>433</v>
      </c>
      <c r="D272" s="36" t="s">
        <v>66</v>
      </c>
      <c r="E272" s="36" t="s">
        <v>154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155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155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155</v>
      </c>
      <c r="X272" s="46">
        <v>9.1999999999999993</v>
      </c>
      <c r="Y272" s="47" t="s">
        <v>155</v>
      </c>
      <c r="Z272" s="47" t="s">
        <v>155</v>
      </c>
      <c r="AA272" s="47" t="s">
        <v>155</v>
      </c>
      <c r="AB272" s="47" t="s">
        <v>155</v>
      </c>
      <c r="AC272" s="47" t="s">
        <v>155</v>
      </c>
      <c r="AD272" s="48">
        <v>136</v>
      </c>
      <c r="AE272" s="48">
        <v>207</v>
      </c>
      <c r="AF272" s="48">
        <v>254</v>
      </c>
      <c r="AG272" s="48" t="s">
        <v>155</v>
      </c>
      <c r="AH272" s="48">
        <v>597</v>
      </c>
      <c r="AI272" s="49" t="s">
        <v>155</v>
      </c>
      <c r="AJ272" s="49" t="s">
        <v>155</v>
      </c>
      <c r="AK272" s="49" t="s">
        <v>155</v>
      </c>
      <c r="AL272" s="49" t="s">
        <v>155</v>
      </c>
      <c r="AM272" s="49" t="s">
        <v>155</v>
      </c>
      <c r="AN272" s="50" t="s">
        <v>155</v>
      </c>
    </row>
    <row r="273" spans="1:40" ht="15.75" customHeight="1" x14ac:dyDescent="0.25">
      <c r="A273" s="34">
        <v>2020</v>
      </c>
      <c r="B273" s="35">
        <v>16183</v>
      </c>
      <c r="C273" s="36" t="s">
        <v>434</v>
      </c>
      <c r="D273" s="36" t="s">
        <v>90</v>
      </c>
      <c r="E273" s="36" t="s">
        <v>209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155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155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155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155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155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155</v>
      </c>
      <c r="AM273" s="49">
        <v>370</v>
      </c>
      <c r="AN273" s="50" t="s">
        <v>155</v>
      </c>
    </row>
    <row r="274" spans="1:40" ht="15.75" customHeight="1" x14ac:dyDescent="0.25">
      <c r="A274" s="34">
        <v>2020</v>
      </c>
      <c r="B274" s="35">
        <v>16195</v>
      </c>
      <c r="C274" s="36" t="s">
        <v>435</v>
      </c>
      <c r="D274" s="36" t="s">
        <v>106</v>
      </c>
      <c r="E274" s="36" t="s">
        <v>195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155</v>
      </c>
      <c r="K274" s="38" t="s">
        <v>155</v>
      </c>
      <c r="L274" s="38" t="s">
        <v>155</v>
      </c>
      <c r="M274" s="38" t="s">
        <v>155</v>
      </c>
      <c r="N274" s="38" t="s">
        <v>155</v>
      </c>
      <c r="O274" s="45" t="s">
        <v>155</v>
      </c>
      <c r="P274" s="45" t="s">
        <v>155</v>
      </c>
      <c r="Q274" s="45" t="s">
        <v>155</v>
      </c>
      <c r="R274" s="45" t="s">
        <v>155</v>
      </c>
      <c r="S274" s="45" t="s">
        <v>155</v>
      </c>
      <c r="T274" s="46" t="s">
        <v>155</v>
      </c>
      <c r="U274" s="46" t="s">
        <v>155</v>
      </c>
      <c r="V274" s="46" t="s">
        <v>155</v>
      </c>
      <c r="W274" s="46" t="s">
        <v>155</v>
      </c>
      <c r="X274" s="46" t="s">
        <v>155</v>
      </c>
      <c r="Y274" s="47" t="s">
        <v>155</v>
      </c>
      <c r="Z274" s="47" t="s">
        <v>155</v>
      </c>
      <c r="AA274" s="47" t="s">
        <v>155</v>
      </c>
      <c r="AB274" s="47" t="s">
        <v>155</v>
      </c>
      <c r="AC274" s="47" t="s">
        <v>155</v>
      </c>
      <c r="AD274" s="48" t="s">
        <v>155</v>
      </c>
      <c r="AE274" s="48" t="s">
        <v>155</v>
      </c>
      <c r="AF274" s="48" t="s">
        <v>155</v>
      </c>
      <c r="AG274" s="48" t="s">
        <v>155</v>
      </c>
      <c r="AH274" s="48" t="s">
        <v>155</v>
      </c>
      <c r="AI274" s="49" t="s">
        <v>155</v>
      </c>
      <c r="AJ274" s="49" t="s">
        <v>155</v>
      </c>
      <c r="AK274" s="49" t="s">
        <v>155</v>
      </c>
      <c r="AL274" s="49" t="s">
        <v>155</v>
      </c>
      <c r="AM274" s="49" t="s">
        <v>155</v>
      </c>
      <c r="AN274" s="50" t="s">
        <v>155</v>
      </c>
    </row>
    <row r="275" spans="1:40" ht="15.75" customHeight="1" x14ac:dyDescent="0.25">
      <c r="A275" s="34">
        <v>2020</v>
      </c>
      <c r="B275" s="35">
        <v>16295</v>
      </c>
      <c r="C275" s="36" t="s">
        <v>436</v>
      </c>
      <c r="D275" s="36" t="s">
        <v>17</v>
      </c>
      <c r="E275" s="36" t="s">
        <v>356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155</v>
      </c>
      <c r="L275" s="38" t="s">
        <v>155</v>
      </c>
      <c r="M275" s="38" t="s">
        <v>155</v>
      </c>
      <c r="N275" s="38">
        <v>3589</v>
      </c>
      <c r="O275" s="45">
        <v>0</v>
      </c>
      <c r="P275" s="45" t="s">
        <v>155</v>
      </c>
      <c r="Q275" s="45" t="s">
        <v>155</v>
      </c>
      <c r="R275" s="45" t="s">
        <v>155</v>
      </c>
      <c r="S275" s="45">
        <v>0</v>
      </c>
      <c r="T275" s="46">
        <v>2.09</v>
      </c>
      <c r="U275" s="46" t="s">
        <v>155</v>
      </c>
      <c r="V275" s="46" t="s">
        <v>155</v>
      </c>
      <c r="W275" s="46" t="s">
        <v>155</v>
      </c>
      <c r="X275" s="46">
        <v>2.09</v>
      </c>
      <c r="Y275" s="47">
        <v>0</v>
      </c>
      <c r="Z275" s="47" t="s">
        <v>155</v>
      </c>
      <c r="AA275" s="47" t="s">
        <v>155</v>
      </c>
      <c r="AB275" s="47" t="s">
        <v>155</v>
      </c>
      <c r="AC275" s="47">
        <v>0</v>
      </c>
      <c r="AD275" s="48">
        <v>35.909999999999997</v>
      </c>
      <c r="AE275" s="48" t="s">
        <v>155</v>
      </c>
      <c r="AF275" s="48" t="s">
        <v>155</v>
      </c>
      <c r="AG275" s="48" t="s">
        <v>155</v>
      </c>
      <c r="AH275" s="48">
        <v>35.909999999999997</v>
      </c>
      <c r="AI275" s="49">
        <v>7.9969999999999999</v>
      </c>
      <c r="AJ275" s="49" t="s">
        <v>155</v>
      </c>
      <c r="AK275" s="49" t="s">
        <v>155</v>
      </c>
      <c r="AL275" s="49" t="s">
        <v>155</v>
      </c>
      <c r="AM275" s="49">
        <v>7.9969999999999999</v>
      </c>
      <c r="AN275" s="50" t="s">
        <v>155</v>
      </c>
    </row>
    <row r="276" spans="1:40" ht="15.75" customHeight="1" x14ac:dyDescent="0.25">
      <c r="A276" s="34">
        <v>2020</v>
      </c>
      <c r="B276" s="35">
        <v>16496</v>
      </c>
      <c r="C276" s="36" t="s">
        <v>437</v>
      </c>
      <c r="D276" s="36" t="s">
        <v>92</v>
      </c>
      <c r="E276" s="36" t="s">
        <v>195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155</v>
      </c>
      <c r="L276" s="38" t="s">
        <v>155</v>
      </c>
      <c r="M276" s="38" t="s">
        <v>155</v>
      </c>
      <c r="N276" s="38">
        <v>7488</v>
      </c>
      <c r="O276" s="45">
        <v>0</v>
      </c>
      <c r="P276" s="45" t="s">
        <v>155</v>
      </c>
      <c r="Q276" s="45" t="s">
        <v>155</v>
      </c>
      <c r="R276" s="45" t="s">
        <v>155</v>
      </c>
      <c r="S276" s="45">
        <v>0</v>
      </c>
      <c r="T276" s="46">
        <v>3</v>
      </c>
      <c r="U276" s="46" t="s">
        <v>155</v>
      </c>
      <c r="V276" s="46" t="s">
        <v>155</v>
      </c>
      <c r="W276" s="46" t="s">
        <v>155</v>
      </c>
      <c r="X276" s="46">
        <v>3</v>
      </c>
      <c r="Y276" s="47">
        <v>0</v>
      </c>
      <c r="Z276" s="47" t="s">
        <v>155</v>
      </c>
      <c r="AA276" s="47" t="s">
        <v>155</v>
      </c>
      <c r="AB276" s="47" t="s">
        <v>155</v>
      </c>
      <c r="AC276" s="47">
        <v>0</v>
      </c>
      <c r="AD276" s="48">
        <v>161.09800000000001</v>
      </c>
      <c r="AE276" s="48" t="s">
        <v>155</v>
      </c>
      <c r="AF276" s="48" t="s">
        <v>155</v>
      </c>
      <c r="AG276" s="48" t="s">
        <v>155</v>
      </c>
      <c r="AH276" s="48">
        <v>161.09800000000001</v>
      </c>
      <c r="AI276" s="49" t="s">
        <v>155</v>
      </c>
      <c r="AJ276" s="49" t="s">
        <v>155</v>
      </c>
      <c r="AK276" s="49" t="s">
        <v>155</v>
      </c>
      <c r="AL276" s="49" t="s">
        <v>155</v>
      </c>
      <c r="AM276" s="49" t="s">
        <v>155</v>
      </c>
      <c r="AN276" s="50" t="s">
        <v>155</v>
      </c>
    </row>
    <row r="277" spans="1:40" ht="15.75" customHeight="1" x14ac:dyDescent="0.25">
      <c r="A277" s="34">
        <v>2020</v>
      </c>
      <c r="B277" s="35">
        <v>16534</v>
      </c>
      <c r="C277" s="36" t="s">
        <v>438</v>
      </c>
      <c r="D277" s="36" t="s">
        <v>17</v>
      </c>
      <c r="E277" s="36" t="s">
        <v>356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25">
      <c r="A278" s="34">
        <v>2020</v>
      </c>
      <c r="B278" s="35">
        <v>16572</v>
      </c>
      <c r="C278" s="36" t="s">
        <v>439</v>
      </c>
      <c r="D278" s="36" t="s">
        <v>11</v>
      </c>
      <c r="E278" s="36" t="s">
        <v>440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155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155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155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155</v>
      </c>
      <c r="AC278" s="47">
        <v>116.6</v>
      </c>
      <c r="AD278" s="48">
        <v>943</v>
      </c>
      <c r="AE278" s="48">
        <v>983</v>
      </c>
      <c r="AF278" s="48" t="s">
        <v>155</v>
      </c>
      <c r="AG278" s="48" t="s">
        <v>155</v>
      </c>
      <c r="AH278" s="48">
        <v>1926</v>
      </c>
      <c r="AI278" s="49">
        <v>1345</v>
      </c>
      <c r="AJ278" s="49">
        <v>1145</v>
      </c>
      <c r="AK278" s="49" t="s">
        <v>155</v>
      </c>
      <c r="AL278" s="49" t="s">
        <v>155</v>
      </c>
      <c r="AM278" s="49">
        <v>2490</v>
      </c>
      <c r="AN278" s="50" t="s">
        <v>155</v>
      </c>
    </row>
    <row r="279" spans="1:40" ht="15.75" customHeight="1" x14ac:dyDescent="0.25">
      <c r="A279" s="34">
        <v>2020</v>
      </c>
      <c r="B279" s="35">
        <v>16604</v>
      </c>
      <c r="C279" s="36" t="s">
        <v>441</v>
      </c>
      <c r="D279" s="36" t="s">
        <v>112</v>
      </c>
      <c r="E279" s="36" t="s">
        <v>180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155</v>
      </c>
      <c r="AL279" s="49" t="s">
        <v>155</v>
      </c>
      <c r="AM279" s="49">
        <v>633</v>
      </c>
      <c r="AN279" s="50" t="s">
        <v>155</v>
      </c>
    </row>
    <row r="280" spans="1:40" ht="15.75" customHeight="1" x14ac:dyDescent="0.25">
      <c r="A280" s="34">
        <v>2020</v>
      </c>
      <c r="B280" s="35">
        <v>16606</v>
      </c>
      <c r="C280" s="36" t="s">
        <v>442</v>
      </c>
      <c r="D280" s="36" t="s">
        <v>106</v>
      </c>
      <c r="E280" s="36" t="s">
        <v>106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155</v>
      </c>
      <c r="L280" s="38" t="s">
        <v>155</v>
      </c>
      <c r="M280" s="38" t="s">
        <v>155</v>
      </c>
      <c r="N280" s="38">
        <v>102</v>
      </c>
      <c r="O280" s="45">
        <v>0</v>
      </c>
      <c r="P280" s="45" t="s">
        <v>155</v>
      </c>
      <c r="Q280" s="45" t="s">
        <v>155</v>
      </c>
      <c r="R280" s="45" t="s">
        <v>155</v>
      </c>
      <c r="S280" s="45">
        <v>0</v>
      </c>
      <c r="T280" s="46">
        <v>9.1999999999999998E-2</v>
      </c>
      <c r="U280" s="46" t="s">
        <v>155</v>
      </c>
      <c r="V280" s="46" t="s">
        <v>155</v>
      </c>
      <c r="W280" s="46" t="s">
        <v>155</v>
      </c>
      <c r="X280" s="46">
        <v>9.1999999999999998E-2</v>
      </c>
      <c r="Y280" s="47">
        <v>9.1999999999999998E-2</v>
      </c>
      <c r="Z280" s="47" t="s">
        <v>155</v>
      </c>
      <c r="AA280" s="47" t="s">
        <v>155</v>
      </c>
      <c r="AB280" s="47" t="s">
        <v>155</v>
      </c>
      <c r="AC280" s="47">
        <v>9.1999999999999998E-2</v>
      </c>
      <c r="AD280" s="48">
        <v>8.6</v>
      </c>
      <c r="AE280" s="48" t="s">
        <v>155</v>
      </c>
      <c r="AF280" s="48" t="s">
        <v>155</v>
      </c>
      <c r="AG280" s="48" t="s">
        <v>155</v>
      </c>
      <c r="AH280" s="48">
        <v>8.6</v>
      </c>
      <c r="AI280" s="49">
        <v>15.167</v>
      </c>
      <c r="AJ280" s="49" t="s">
        <v>155</v>
      </c>
      <c r="AK280" s="49" t="s">
        <v>155</v>
      </c>
      <c r="AL280" s="49" t="s">
        <v>155</v>
      </c>
      <c r="AM280" s="49">
        <v>15.167</v>
      </c>
      <c r="AN280" s="50">
        <v>35</v>
      </c>
    </row>
    <row r="281" spans="1:40" ht="15.75" customHeight="1" x14ac:dyDescent="0.25">
      <c r="A281" s="34">
        <v>2020</v>
      </c>
      <c r="B281" s="35">
        <v>16609</v>
      </c>
      <c r="C281" s="36" t="s">
        <v>443</v>
      </c>
      <c r="D281" s="36" t="s">
        <v>17</v>
      </c>
      <c r="E281" s="36" t="s">
        <v>162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155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155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155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155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155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155</v>
      </c>
      <c r="AM281" s="49">
        <v>9675.9</v>
      </c>
      <c r="AN281" s="50" t="s">
        <v>155</v>
      </c>
    </row>
    <row r="282" spans="1:40" ht="15.75" customHeight="1" x14ac:dyDescent="0.25">
      <c r="A282" s="34">
        <v>2020</v>
      </c>
      <c r="B282" s="35">
        <v>16611</v>
      </c>
      <c r="C282" s="36" t="s">
        <v>444</v>
      </c>
      <c r="D282" s="36" t="s">
        <v>44</v>
      </c>
      <c r="E282" s="36" t="s">
        <v>192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155</v>
      </c>
      <c r="K282" s="38" t="s">
        <v>155</v>
      </c>
      <c r="L282" s="38" t="s">
        <v>155</v>
      </c>
      <c r="M282" s="38" t="s">
        <v>155</v>
      </c>
      <c r="N282" s="38" t="s">
        <v>155</v>
      </c>
      <c r="O282" s="45" t="s">
        <v>155</v>
      </c>
      <c r="P282" s="45" t="s">
        <v>155</v>
      </c>
      <c r="Q282" s="45" t="s">
        <v>155</v>
      </c>
      <c r="R282" s="45" t="s">
        <v>155</v>
      </c>
      <c r="S282" s="45" t="s">
        <v>155</v>
      </c>
      <c r="T282" s="46" t="s">
        <v>155</v>
      </c>
      <c r="U282" s="46" t="s">
        <v>155</v>
      </c>
      <c r="V282" s="46" t="s">
        <v>155</v>
      </c>
      <c r="W282" s="46" t="s">
        <v>155</v>
      </c>
      <c r="X282" s="46" t="s">
        <v>155</v>
      </c>
      <c r="Y282" s="47" t="s">
        <v>155</v>
      </c>
      <c r="Z282" s="47" t="s">
        <v>155</v>
      </c>
      <c r="AA282" s="47" t="s">
        <v>155</v>
      </c>
      <c r="AB282" s="47" t="s">
        <v>155</v>
      </c>
      <c r="AC282" s="47" t="s">
        <v>155</v>
      </c>
      <c r="AD282" s="48" t="s">
        <v>155</v>
      </c>
      <c r="AE282" s="48" t="s">
        <v>155</v>
      </c>
      <c r="AF282" s="48" t="s">
        <v>155</v>
      </c>
      <c r="AG282" s="48" t="s">
        <v>155</v>
      </c>
      <c r="AH282" s="48" t="s">
        <v>155</v>
      </c>
      <c r="AI282" s="49" t="s">
        <v>155</v>
      </c>
      <c r="AJ282" s="49" t="s">
        <v>155</v>
      </c>
      <c r="AK282" s="49" t="s">
        <v>155</v>
      </c>
      <c r="AL282" s="49" t="s">
        <v>155</v>
      </c>
      <c r="AM282" s="49" t="s">
        <v>155</v>
      </c>
      <c r="AN282" s="50" t="s">
        <v>155</v>
      </c>
    </row>
    <row r="283" spans="1:40" ht="15.75" customHeight="1" x14ac:dyDescent="0.25">
      <c r="A283" s="34">
        <v>2020</v>
      </c>
      <c r="B283" s="35">
        <v>16627</v>
      </c>
      <c r="C283" s="36" t="s">
        <v>445</v>
      </c>
      <c r="D283" s="36" t="s">
        <v>112</v>
      </c>
      <c r="E283" s="36" t="s">
        <v>180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155</v>
      </c>
      <c r="K283" s="38" t="s">
        <v>155</v>
      </c>
      <c r="L283" s="38">
        <v>21</v>
      </c>
      <c r="M283" s="38" t="s">
        <v>155</v>
      </c>
      <c r="N283" s="38">
        <v>21</v>
      </c>
      <c r="O283" s="45" t="s">
        <v>155</v>
      </c>
      <c r="P283" s="45" t="s">
        <v>155</v>
      </c>
      <c r="Q283" s="45">
        <v>0</v>
      </c>
      <c r="R283" s="45" t="s">
        <v>155</v>
      </c>
      <c r="S283" s="45">
        <v>0</v>
      </c>
      <c r="T283" s="46" t="s">
        <v>155</v>
      </c>
      <c r="U283" s="46" t="s">
        <v>155</v>
      </c>
      <c r="V283" s="46">
        <v>25.869</v>
      </c>
      <c r="W283" s="46" t="s">
        <v>155</v>
      </c>
      <c r="X283" s="46">
        <v>25.869</v>
      </c>
      <c r="Y283" s="47" t="s">
        <v>155</v>
      </c>
      <c r="Z283" s="47" t="s">
        <v>155</v>
      </c>
      <c r="AA283" s="47">
        <v>7.97</v>
      </c>
      <c r="AB283" s="47" t="s">
        <v>155</v>
      </c>
      <c r="AC283" s="47">
        <v>7.97</v>
      </c>
      <c r="AD283" s="48" t="s">
        <v>155</v>
      </c>
      <c r="AE283" s="48" t="s">
        <v>155</v>
      </c>
      <c r="AF283" s="48">
        <v>1204.7380000000001</v>
      </c>
      <c r="AG283" s="48" t="s">
        <v>155</v>
      </c>
      <c r="AH283" s="48">
        <v>1204.7380000000001</v>
      </c>
      <c r="AI283" s="49" t="s">
        <v>155</v>
      </c>
      <c r="AJ283" s="49" t="s">
        <v>155</v>
      </c>
      <c r="AK283" s="49" t="s">
        <v>155</v>
      </c>
      <c r="AL283" s="49" t="s">
        <v>155</v>
      </c>
      <c r="AM283" s="49" t="s">
        <v>155</v>
      </c>
      <c r="AN283" s="50" t="s">
        <v>155</v>
      </c>
    </row>
    <row r="284" spans="1:40" ht="15.75" customHeight="1" x14ac:dyDescent="0.25">
      <c r="A284" s="34">
        <v>2020</v>
      </c>
      <c r="B284" s="35">
        <v>16674</v>
      </c>
      <c r="C284" s="36" t="s">
        <v>446</v>
      </c>
      <c r="D284" s="36" t="s">
        <v>31</v>
      </c>
      <c r="E284" s="36" t="s">
        <v>160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25">
      <c r="A285" s="34">
        <v>2020</v>
      </c>
      <c r="B285" s="35">
        <v>16740</v>
      </c>
      <c r="C285" s="36" t="s">
        <v>447</v>
      </c>
      <c r="D285" s="36" t="s">
        <v>124</v>
      </c>
      <c r="E285" s="36" t="s">
        <v>154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155</v>
      </c>
    </row>
    <row r="286" spans="1:40" ht="15.75" customHeight="1" x14ac:dyDescent="0.25">
      <c r="A286" s="34">
        <v>2020</v>
      </c>
      <c r="B286" s="35">
        <v>16805</v>
      </c>
      <c r="C286" s="36" t="s">
        <v>448</v>
      </c>
      <c r="D286" s="36" t="s">
        <v>71</v>
      </c>
      <c r="E286" s="36" t="s">
        <v>192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155</v>
      </c>
      <c r="K286" s="38">
        <v>358</v>
      </c>
      <c r="L286" s="38" t="s">
        <v>155</v>
      </c>
      <c r="M286" s="38" t="s">
        <v>155</v>
      </c>
      <c r="N286" s="38">
        <v>358</v>
      </c>
      <c r="O286" s="45" t="s">
        <v>155</v>
      </c>
      <c r="P286" s="45">
        <v>545.20000000000005</v>
      </c>
      <c r="Q286" s="45" t="s">
        <v>155</v>
      </c>
      <c r="R286" s="45" t="s">
        <v>155</v>
      </c>
      <c r="S286" s="45">
        <v>545.20000000000005</v>
      </c>
      <c r="T286" s="46" t="s">
        <v>155</v>
      </c>
      <c r="U286" s="46">
        <v>2.8</v>
      </c>
      <c r="V286" s="46" t="s">
        <v>155</v>
      </c>
      <c r="W286" s="46" t="s">
        <v>155</v>
      </c>
      <c r="X286" s="46">
        <v>2.8</v>
      </c>
      <c r="Y286" s="47" t="s">
        <v>155</v>
      </c>
      <c r="Z286" s="47">
        <v>0.8</v>
      </c>
      <c r="AA286" s="47" t="s">
        <v>155</v>
      </c>
      <c r="AB286" s="47" t="s">
        <v>155</v>
      </c>
      <c r="AC286" s="47">
        <v>0.8</v>
      </c>
      <c r="AD286" s="48" t="s">
        <v>155</v>
      </c>
      <c r="AE286" s="48" t="s">
        <v>155</v>
      </c>
      <c r="AF286" s="48" t="s">
        <v>155</v>
      </c>
      <c r="AG286" s="48" t="s">
        <v>155</v>
      </c>
      <c r="AH286" s="48" t="s">
        <v>155</v>
      </c>
      <c r="AI286" s="49" t="s">
        <v>155</v>
      </c>
      <c r="AJ286" s="49">
        <v>25.8</v>
      </c>
      <c r="AK286" s="49" t="s">
        <v>155</v>
      </c>
      <c r="AL286" s="49" t="s">
        <v>155</v>
      </c>
      <c r="AM286" s="49">
        <v>25.8</v>
      </c>
      <c r="AN286" s="50" t="s">
        <v>155</v>
      </c>
    </row>
    <row r="287" spans="1:40" ht="15.75" customHeight="1" x14ac:dyDescent="0.25">
      <c r="A287" s="34">
        <v>2020</v>
      </c>
      <c r="B287" s="35">
        <v>16865</v>
      </c>
      <c r="C287" s="36" t="s">
        <v>449</v>
      </c>
      <c r="D287" s="36" t="s">
        <v>31</v>
      </c>
      <c r="E287" s="36" t="s">
        <v>160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155</v>
      </c>
      <c r="M287" s="38" t="s">
        <v>155</v>
      </c>
      <c r="N287" s="38">
        <v>59059</v>
      </c>
      <c r="O287" s="45">
        <v>91.56</v>
      </c>
      <c r="P287" s="45">
        <v>137.69999999999999</v>
      </c>
      <c r="Q287" s="45" t="s">
        <v>155</v>
      </c>
      <c r="R287" s="45" t="s">
        <v>155</v>
      </c>
      <c r="S287" s="45">
        <v>229.26</v>
      </c>
      <c r="T287" s="46">
        <v>141.12200000000001</v>
      </c>
      <c r="U287" s="46">
        <v>1.002</v>
      </c>
      <c r="V287" s="46" t="s">
        <v>155</v>
      </c>
      <c r="W287" s="46" t="s">
        <v>155</v>
      </c>
      <c r="X287" s="46">
        <v>142.124</v>
      </c>
      <c r="Y287" s="47">
        <v>49.676000000000002</v>
      </c>
      <c r="Z287" s="47">
        <v>0.81499999999999995</v>
      </c>
      <c r="AA287" s="47" t="s">
        <v>155</v>
      </c>
      <c r="AB287" s="47" t="s">
        <v>155</v>
      </c>
      <c r="AC287" s="47">
        <v>50.491</v>
      </c>
      <c r="AD287" s="48">
        <v>1476.5160000000001</v>
      </c>
      <c r="AE287" s="48">
        <v>47.552</v>
      </c>
      <c r="AF287" s="48" t="s">
        <v>155</v>
      </c>
      <c r="AG287" s="48" t="s">
        <v>155</v>
      </c>
      <c r="AH287" s="48">
        <v>1524.068</v>
      </c>
      <c r="AI287" s="49">
        <v>289.77999999999997</v>
      </c>
      <c r="AJ287" s="49" t="s">
        <v>155</v>
      </c>
      <c r="AK287" s="49" t="s">
        <v>155</v>
      </c>
      <c r="AL287" s="49" t="s">
        <v>155</v>
      </c>
      <c r="AM287" s="49">
        <v>289.77999999999997</v>
      </c>
      <c r="AN287" s="50" t="s">
        <v>155</v>
      </c>
    </row>
    <row r="288" spans="1:40" ht="15.75" customHeight="1" x14ac:dyDescent="0.25">
      <c r="A288" s="34">
        <v>2020</v>
      </c>
      <c r="B288" s="35">
        <v>16971</v>
      </c>
      <c r="C288" s="36" t="s">
        <v>450</v>
      </c>
      <c r="D288" s="36" t="s">
        <v>66</v>
      </c>
      <c r="E288" s="36" t="s">
        <v>154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155</v>
      </c>
      <c r="L288" s="38" t="s">
        <v>155</v>
      </c>
      <c r="M288" s="38" t="s">
        <v>155</v>
      </c>
      <c r="N288" s="38">
        <v>1920</v>
      </c>
      <c r="O288" s="45" t="s">
        <v>155</v>
      </c>
      <c r="P288" s="45" t="s">
        <v>155</v>
      </c>
      <c r="Q288" s="45" t="s">
        <v>155</v>
      </c>
      <c r="R288" s="45" t="s">
        <v>155</v>
      </c>
      <c r="S288" s="45" t="s">
        <v>155</v>
      </c>
      <c r="T288" s="46">
        <v>2</v>
      </c>
      <c r="U288" s="46" t="s">
        <v>155</v>
      </c>
      <c r="V288" s="46" t="s">
        <v>155</v>
      </c>
      <c r="W288" s="46" t="s">
        <v>155</v>
      </c>
      <c r="X288" s="46">
        <v>2</v>
      </c>
      <c r="Y288" s="47">
        <v>0.7</v>
      </c>
      <c r="Z288" s="47" t="s">
        <v>155</v>
      </c>
      <c r="AA288" s="47" t="s">
        <v>155</v>
      </c>
      <c r="AB288" s="47" t="s">
        <v>155</v>
      </c>
      <c r="AC288" s="47">
        <v>0.7</v>
      </c>
      <c r="AD288" s="48">
        <v>22.527999999999999</v>
      </c>
      <c r="AE288" s="48" t="s">
        <v>155</v>
      </c>
      <c r="AF288" s="48" t="s">
        <v>155</v>
      </c>
      <c r="AG288" s="48" t="s">
        <v>155</v>
      </c>
      <c r="AH288" s="48">
        <v>22.527999999999999</v>
      </c>
      <c r="AI288" s="49">
        <v>28.498999999999999</v>
      </c>
      <c r="AJ288" s="49" t="s">
        <v>155</v>
      </c>
      <c r="AK288" s="49" t="s">
        <v>155</v>
      </c>
      <c r="AL288" s="49" t="s">
        <v>155</v>
      </c>
      <c r="AM288" s="49">
        <v>28.498999999999999</v>
      </c>
      <c r="AN288" s="50" t="s">
        <v>155</v>
      </c>
    </row>
    <row r="289" spans="1:40" ht="15.75" customHeight="1" x14ac:dyDescent="0.25">
      <c r="A289" s="34">
        <v>2020</v>
      </c>
      <c r="B289" s="35">
        <v>17040</v>
      </c>
      <c r="C289" s="36" t="s">
        <v>451</v>
      </c>
      <c r="D289" s="36" t="s">
        <v>38</v>
      </c>
      <c r="E289" s="36" t="s">
        <v>154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155</v>
      </c>
      <c r="M289" s="38" t="s">
        <v>155</v>
      </c>
      <c r="N289" s="38">
        <v>1153</v>
      </c>
      <c r="O289" s="45" t="s">
        <v>155</v>
      </c>
      <c r="P289" s="45" t="s">
        <v>155</v>
      </c>
      <c r="Q289" s="45" t="s">
        <v>155</v>
      </c>
      <c r="R289" s="45" t="s">
        <v>155</v>
      </c>
      <c r="S289" s="45" t="s">
        <v>155</v>
      </c>
      <c r="T289" s="46">
        <v>6.3</v>
      </c>
      <c r="U289" s="46">
        <v>7.2</v>
      </c>
      <c r="V289" s="46" t="s">
        <v>155</v>
      </c>
      <c r="W289" s="46" t="s">
        <v>155</v>
      </c>
      <c r="X289" s="46">
        <v>13.5</v>
      </c>
      <c r="Y289" s="47">
        <v>2.7</v>
      </c>
      <c r="Z289" s="47">
        <v>3</v>
      </c>
      <c r="AA289" s="47" t="s">
        <v>155</v>
      </c>
      <c r="AB289" s="47" t="s">
        <v>155</v>
      </c>
      <c r="AC289" s="47">
        <v>5.7</v>
      </c>
      <c r="AD289" s="48" t="s">
        <v>155</v>
      </c>
      <c r="AE289" s="48" t="s">
        <v>155</v>
      </c>
      <c r="AF289" s="48" t="s">
        <v>155</v>
      </c>
      <c r="AG289" s="48" t="s">
        <v>155</v>
      </c>
      <c r="AH289" s="48" t="s">
        <v>155</v>
      </c>
      <c r="AI289" s="49">
        <v>4</v>
      </c>
      <c r="AJ289" s="49">
        <v>1</v>
      </c>
      <c r="AK289" s="49" t="s">
        <v>155</v>
      </c>
      <c r="AL289" s="49" t="s">
        <v>155</v>
      </c>
      <c r="AM289" s="49">
        <v>5</v>
      </c>
      <c r="AN289" s="50" t="s">
        <v>155</v>
      </c>
    </row>
    <row r="290" spans="1:40" ht="15.75" customHeight="1" x14ac:dyDescent="0.25">
      <c r="A290" s="34">
        <v>2020</v>
      </c>
      <c r="B290" s="35">
        <v>17066</v>
      </c>
      <c r="C290" s="36" t="s">
        <v>452</v>
      </c>
      <c r="D290" s="36" t="s">
        <v>118</v>
      </c>
      <c r="E290" s="36" t="s">
        <v>167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155</v>
      </c>
      <c r="L290" s="38" t="s">
        <v>155</v>
      </c>
      <c r="M290" s="38" t="s">
        <v>155</v>
      </c>
      <c r="N290" s="38">
        <v>16100</v>
      </c>
      <c r="O290" s="45">
        <v>444.23200000000003</v>
      </c>
      <c r="P290" s="45" t="s">
        <v>155</v>
      </c>
      <c r="Q290" s="45" t="s">
        <v>155</v>
      </c>
      <c r="R290" s="45" t="s">
        <v>155</v>
      </c>
      <c r="S290" s="45">
        <v>444.23200000000003</v>
      </c>
      <c r="T290" s="46">
        <v>69.2</v>
      </c>
      <c r="U290" s="46" t="s">
        <v>155</v>
      </c>
      <c r="V290" s="46" t="s">
        <v>155</v>
      </c>
      <c r="W290" s="46" t="s">
        <v>155</v>
      </c>
      <c r="X290" s="46">
        <v>69.2</v>
      </c>
      <c r="Y290" s="47">
        <v>42.661000000000001</v>
      </c>
      <c r="Z290" s="47" t="s">
        <v>155</v>
      </c>
      <c r="AA290" s="47" t="s">
        <v>155</v>
      </c>
      <c r="AB290" s="47" t="s">
        <v>155</v>
      </c>
      <c r="AC290" s="47">
        <v>42.661000000000001</v>
      </c>
      <c r="AD290" s="48">
        <v>0</v>
      </c>
      <c r="AE290" s="48" t="s">
        <v>155</v>
      </c>
      <c r="AF290" s="48" t="s">
        <v>155</v>
      </c>
      <c r="AG290" s="48" t="s">
        <v>155</v>
      </c>
      <c r="AH290" s="48">
        <v>0</v>
      </c>
      <c r="AI290" s="49">
        <v>906.07</v>
      </c>
      <c r="AJ290" s="49" t="s">
        <v>155</v>
      </c>
      <c r="AK290" s="49" t="s">
        <v>155</v>
      </c>
      <c r="AL290" s="49" t="s">
        <v>155</v>
      </c>
      <c r="AM290" s="49">
        <v>906.07</v>
      </c>
      <c r="AN290" s="50">
        <v>0</v>
      </c>
    </row>
    <row r="291" spans="1:40" ht="15.75" customHeight="1" x14ac:dyDescent="0.25">
      <c r="A291" s="34">
        <v>2020</v>
      </c>
      <c r="B291" s="35">
        <v>17166</v>
      </c>
      <c r="C291" s="36" t="s">
        <v>453</v>
      </c>
      <c r="D291" s="36" t="s">
        <v>80</v>
      </c>
      <c r="E291" s="36" t="s">
        <v>366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155</v>
      </c>
      <c r="M291" s="38" t="s">
        <v>155</v>
      </c>
      <c r="N291" s="38">
        <v>10270</v>
      </c>
      <c r="O291" s="45">
        <v>829</v>
      </c>
      <c r="P291" s="45">
        <v>596</v>
      </c>
      <c r="Q291" s="45" t="s">
        <v>155</v>
      </c>
      <c r="R291" s="45" t="s">
        <v>155</v>
      </c>
      <c r="S291" s="45">
        <v>1425</v>
      </c>
      <c r="T291" s="46">
        <v>13.5</v>
      </c>
      <c r="U291" s="46">
        <v>3.1</v>
      </c>
      <c r="V291" s="46" t="s">
        <v>155</v>
      </c>
      <c r="W291" s="46" t="s">
        <v>155</v>
      </c>
      <c r="X291" s="46">
        <v>16.600000000000001</v>
      </c>
      <c r="Y291" s="47">
        <v>13</v>
      </c>
      <c r="Z291" s="47">
        <v>3.1</v>
      </c>
      <c r="AA291" s="47" t="s">
        <v>155</v>
      </c>
      <c r="AB291" s="47" t="s">
        <v>155</v>
      </c>
      <c r="AC291" s="47">
        <v>16.100000000000001</v>
      </c>
      <c r="AD291" s="48">
        <v>33</v>
      </c>
      <c r="AE291" s="48">
        <v>20.7</v>
      </c>
      <c r="AF291" s="48" t="s">
        <v>155</v>
      </c>
      <c r="AG291" s="48" t="s">
        <v>155</v>
      </c>
      <c r="AH291" s="48">
        <v>53.7</v>
      </c>
      <c r="AI291" s="49">
        <v>1625.5</v>
      </c>
      <c r="AJ291" s="49">
        <v>289</v>
      </c>
      <c r="AK291" s="49" t="s">
        <v>155</v>
      </c>
      <c r="AL291" s="49" t="s">
        <v>155</v>
      </c>
      <c r="AM291" s="49">
        <v>1914.5</v>
      </c>
      <c r="AN291" s="50" t="s">
        <v>155</v>
      </c>
    </row>
    <row r="292" spans="1:40" ht="15.75" customHeight="1" x14ac:dyDescent="0.25">
      <c r="A292" s="34">
        <v>2020</v>
      </c>
      <c r="B292" s="35">
        <v>17267</v>
      </c>
      <c r="C292" s="36" t="s">
        <v>454</v>
      </c>
      <c r="D292" s="36" t="s">
        <v>66</v>
      </c>
      <c r="E292" s="36" t="s">
        <v>175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155</v>
      </c>
      <c r="K292" s="38" t="s">
        <v>155</v>
      </c>
      <c r="L292" s="38" t="s">
        <v>155</v>
      </c>
      <c r="M292" s="38" t="s">
        <v>155</v>
      </c>
      <c r="N292" s="38" t="s">
        <v>155</v>
      </c>
      <c r="O292" s="45" t="s">
        <v>155</v>
      </c>
      <c r="P292" s="45" t="s">
        <v>155</v>
      </c>
      <c r="Q292" s="45" t="s">
        <v>155</v>
      </c>
      <c r="R292" s="45" t="s">
        <v>155</v>
      </c>
      <c r="S292" s="45" t="s">
        <v>155</v>
      </c>
      <c r="T292" s="46" t="s">
        <v>155</v>
      </c>
      <c r="U292" s="46" t="s">
        <v>155</v>
      </c>
      <c r="V292" s="46" t="s">
        <v>155</v>
      </c>
      <c r="W292" s="46" t="s">
        <v>155</v>
      </c>
      <c r="X292" s="46" t="s">
        <v>155</v>
      </c>
      <c r="Y292" s="47" t="s">
        <v>155</v>
      </c>
      <c r="Z292" s="47" t="s">
        <v>155</v>
      </c>
      <c r="AA292" s="47" t="s">
        <v>155</v>
      </c>
      <c r="AB292" s="47" t="s">
        <v>155</v>
      </c>
      <c r="AC292" s="47" t="s">
        <v>155</v>
      </c>
      <c r="AD292" s="48" t="s">
        <v>155</v>
      </c>
      <c r="AE292" s="48" t="s">
        <v>155</v>
      </c>
      <c r="AF292" s="48" t="s">
        <v>155</v>
      </c>
      <c r="AG292" s="48" t="s">
        <v>155</v>
      </c>
      <c r="AH292" s="48" t="s">
        <v>155</v>
      </c>
      <c r="AI292" s="49" t="s">
        <v>155</v>
      </c>
      <c r="AJ292" s="49" t="s">
        <v>155</v>
      </c>
      <c r="AK292" s="49" t="s">
        <v>155</v>
      </c>
      <c r="AL292" s="49" t="s">
        <v>155</v>
      </c>
      <c r="AM292" s="49" t="s">
        <v>155</v>
      </c>
      <c r="AN292" s="50" t="s">
        <v>155</v>
      </c>
    </row>
    <row r="293" spans="1:40" ht="15.75" customHeight="1" x14ac:dyDescent="0.25">
      <c r="A293" s="34">
        <v>2020</v>
      </c>
      <c r="B293" s="35">
        <v>17267</v>
      </c>
      <c r="C293" s="36" t="s">
        <v>454</v>
      </c>
      <c r="D293" s="36" t="s">
        <v>108</v>
      </c>
      <c r="E293" s="36" t="s">
        <v>175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155</v>
      </c>
      <c r="K293" s="38" t="s">
        <v>155</v>
      </c>
      <c r="L293" s="38" t="s">
        <v>155</v>
      </c>
      <c r="M293" s="38" t="s">
        <v>155</v>
      </c>
      <c r="N293" s="38" t="s">
        <v>155</v>
      </c>
      <c r="O293" s="45" t="s">
        <v>155</v>
      </c>
      <c r="P293" s="45" t="s">
        <v>155</v>
      </c>
      <c r="Q293" s="45" t="s">
        <v>155</v>
      </c>
      <c r="R293" s="45" t="s">
        <v>155</v>
      </c>
      <c r="S293" s="45" t="s">
        <v>155</v>
      </c>
      <c r="T293" s="46" t="s">
        <v>155</v>
      </c>
      <c r="U293" s="46" t="s">
        <v>155</v>
      </c>
      <c r="V293" s="46" t="s">
        <v>155</v>
      </c>
      <c r="W293" s="46" t="s">
        <v>155</v>
      </c>
      <c r="X293" s="46" t="s">
        <v>155</v>
      </c>
      <c r="Y293" s="47" t="s">
        <v>155</v>
      </c>
      <c r="Z293" s="47" t="s">
        <v>155</v>
      </c>
      <c r="AA293" s="47" t="s">
        <v>155</v>
      </c>
      <c r="AB293" s="47" t="s">
        <v>155</v>
      </c>
      <c r="AC293" s="47" t="s">
        <v>155</v>
      </c>
      <c r="AD293" s="48" t="s">
        <v>155</v>
      </c>
      <c r="AE293" s="48" t="s">
        <v>155</v>
      </c>
      <c r="AF293" s="48" t="s">
        <v>155</v>
      </c>
      <c r="AG293" s="48" t="s">
        <v>155</v>
      </c>
      <c r="AH293" s="48" t="s">
        <v>155</v>
      </c>
      <c r="AI293" s="49" t="s">
        <v>155</v>
      </c>
      <c r="AJ293" s="49" t="s">
        <v>155</v>
      </c>
      <c r="AK293" s="49" t="s">
        <v>155</v>
      </c>
      <c r="AL293" s="49" t="s">
        <v>155</v>
      </c>
      <c r="AM293" s="49" t="s">
        <v>155</v>
      </c>
      <c r="AN293" s="50">
        <v>360</v>
      </c>
    </row>
    <row r="294" spans="1:40" ht="15.75" customHeight="1" x14ac:dyDescent="0.25">
      <c r="A294" s="34">
        <v>2020</v>
      </c>
      <c r="B294" s="35">
        <v>17539</v>
      </c>
      <c r="C294" s="36" t="s">
        <v>455</v>
      </c>
      <c r="D294" s="36" t="s">
        <v>106</v>
      </c>
      <c r="E294" s="36" t="s">
        <v>456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155</v>
      </c>
      <c r="K294" s="38">
        <v>12</v>
      </c>
      <c r="L294" s="38">
        <v>24</v>
      </c>
      <c r="M294" s="38" t="s">
        <v>155</v>
      </c>
      <c r="N294" s="38">
        <v>36</v>
      </c>
      <c r="O294" s="45" t="s">
        <v>155</v>
      </c>
      <c r="P294" s="45">
        <v>0</v>
      </c>
      <c r="Q294" s="45">
        <v>0</v>
      </c>
      <c r="R294" s="45" t="s">
        <v>155</v>
      </c>
      <c r="S294" s="45">
        <v>0</v>
      </c>
      <c r="T294" s="46" t="s">
        <v>155</v>
      </c>
      <c r="U294" s="46">
        <v>34</v>
      </c>
      <c r="V294" s="46">
        <v>134</v>
      </c>
      <c r="W294" s="46" t="s">
        <v>155</v>
      </c>
      <c r="X294" s="46">
        <v>168</v>
      </c>
      <c r="Y294" s="47" t="s">
        <v>155</v>
      </c>
      <c r="Z294" s="47">
        <v>0</v>
      </c>
      <c r="AA294" s="47">
        <v>0</v>
      </c>
      <c r="AB294" s="47" t="s">
        <v>155</v>
      </c>
      <c r="AC294" s="47">
        <v>0</v>
      </c>
      <c r="AD294" s="48" t="s">
        <v>155</v>
      </c>
      <c r="AE294" s="48">
        <v>301</v>
      </c>
      <c r="AF294" s="48">
        <v>5941</v>
      </c>
      <c r="AG294" s="48" t="s">
        <v>155</v>
      </c>
      <c r="AH294" s="48">
        <v>6242</v>
      </c>
      <c r="AI294" s="49" t="s">
        <v>155</v>
      </c>
      <c r="AJ294" s="49" t="s">
        <v>155</v>
      </c>
      <c r="AK294" s="49" t="s">
        <v>155</v>
      </c>
      <c r="AL294" s="49" t="s">
        <v>155</v>
      </c>
      <c r="AM294" s="49" t="s">
        <v>155</v>
      </c>
      <c r="AN294" s="50" t="s">
        <v>155</v>
      </c>
    </row>
    <row r="295" spans="1:40" ht="15.75" customHeight="1" x14ac:dyDescent="0.25">
      <c r="A295" s="34">
        <v>2020</v>
      </c>
      <c r="B295" s="35">
        <v>17543</v>
      </c>
      <c r="C295" s="36" t="s">
        <v>457</v>
      </c>
      <c r="D295" s="36" t="s">
        <v>106</v>
      </c>
      <c r="E295" s="36" t="s">
        <v>106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25">
      <c r="A296" s="34">
        <v>2020</v>
      </c>
      <c r="B296" s="35">
        <v>17561</v>
      </c>
      <c r="C296" s="36" t="s">
        <v>458</v>
      </c>
      <c r="D296" s="36" t="s">
        <v>112</v>
      </c>
      <c r="E296" s="36" t="s">
        <v>180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155</v>
      </c>
      <c r="K296" s="38" t="s">
        <v>155</v>
      </c>
      <c r="L296" s="38" t="s">
        <v>155</v>
      </c>
      <c r="M296" s="38" t="s">
        <v>155</v>
      </c>
      <c r="N296" s="38" t="s">
        <v>155</v>
      </c>
      <c r="O296" s="45" t="s">
        <v>155</v>
      </c>
      <c r="P296" s="45" t="s">
        <v>155</v>
      </c>
      <c r="Q296" s="45" t="s">
        <v>155</v>
      </c>
      <c r="R296" s="45" t="s">
        <v>155</v>
      </c>
      <c r="S296" s="45" t="s">
        <v>155</v>
      </c>
      <c r="T296" s="46" t="s">
        <v>155</v>
      </c>
      <c r="U296" s="46" t="s">
        <v>155</v>
      </c>
      <c r="V296" s="46" t="s">
        <v>155</v>
      </c>
      <c r="W296" s="46" t="s">
        <v>155</v>
      </c>
      <c r="X296" s="46" t="s">
        <v>155</v>
      </c>
      <c r="Y296" s="47" t="s">
        <v>155</v>
      </c>
      <c r="Z296" s="47" t="s">
        <v>155</v>
      </c>
      <c r="AA296" s="47" t="s">
        <v>155</v>
      </c>
      <c r="AB296" s="47" t="s">
        <v>155</v>
      </c>
      <c r="AC296" s="47" t="s">
        <v>155</v>
      </c>
      <c r="AD296" s="48" t="s">
        <v>155</v>
      </c>
      <c r="AE296" s="48" t="s">
        <v>155</v>
      </c>
      <c r="AF296" s="48" t="s">
        <v>155</v>
      </c>
      <c r="AG296" s="48" t="s">
        <v>155</v>
      </c>
      <c r="AH296" s="48" t="s">
        <v>155</v>
      </c>
      <c r="AI296" s="49" t="s">
        <v>155</v>
      </c>
      <c r="AJ296" s="49" t="s">
        <v>155</v>
      </c>
      <c r="AK296" s="49" t="s">
        <v>155</v>
      </c>
      <c r="AL296" s="49" t="s">
        <v>155</v>
      </c>
      <c r="AM296" s="49" t="s">
        <v>155</v>
      </c>
      <c r="AN296" s="50" t="s">
        <v>155</v>
      </c>
    </row>
    <row r="297" spans="1:40" ht="15.75" customHeight="1" x14ac:dyDescent="0.25">
      <c r="A297" s="34">
        <v>2020</v>
      </c>
      <c r="B297" s="35">
        <v>17572</v>
      </c>
      <c r="C297" s="36" t="s">
        <v>459</v>
      </c>
      <c r="D297" s="36" t="s">
        <v>92</v>
      </c>
      <c r="E297" s="36" t="s">
        <v>202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155</v>
      </c>
      <c r="L297" s="38" t="s">
        <v>155</v>
      </c>
      <c r="M297" s="38" t="s">
        <v>155</v>
      </c>
      <c r="N297" s="38">
        <v>276</v>
      </c>
      <c r="O297" s="45">
        <v>3.1</v>
      </c>
      <c r="P297" s="45" t="s">
        <v>155</v>
      </c>
      <c r="Q297" s="45" t="s">
        <v>155</v>
      </c>
      <c r="R297" s="45" t="s">
        <v>155</v>
      </c>
      <c r="S297" s="45">
        <v>3.1</v>
      </c>
      <c r="T297" s="46" t="s">
        <v>155</v>
      </c>
      <c r="U297" s="46" t="s">
        <v>155</v>
      </c>
      <c r="V297" s="46" t="s">
        <v>155</v>
      </c>
      <c r="W297" s="46" t="s">
        <v>155</v>
      </c>
      <c r="X297" s="46" t="s">
        <v>155</v>
      </c>
      <c r="Y297" s="47" t="s">
        <v>155</v>
      </c>
      <c r="Z297" s="47" t="s">
        <v>155</v>
      </c>
      <c r="AA297" s="47" t="s">
        <v>155</v>
      </c>
      <c r="AB297" s="47" t="s">
        <v>155</v>
      </c>
      <c r="AC297" s="47" t="s">
        <v>155</v>
      </c>
      <c r="AD297" s="48" t="s">
        <v>155</v>
      </c>
      <c r="AE297" s="48" t="s">
        <v>155</v>
      </c>
      <c r="AF297" s="48" t="s">
        <v>155</v>
      </c>
      <c r="AG297" s="48" t="s">
        <v>155</v>
      </c>
      <c r="AH297" s="48" t="s">
        <v>155</v>
      </c>
      <c r="AI297" s="49" t="s">
        <v>155</v>
      </c>
      <c r="AJ297" s="49" t="s">
        <v>155</v>
      </c>
      <c r="AK297" s="49" t="s">
        <v>155</v>
      </c>
      <c r="AL297" s="49" t="s">
        <v>155</v>
      </c>
      <c r="AM297" s="49" t="s">
        <v>155</v>
      </c>
      <c r="AN297" s="50" t="s">
        <v>155</v>
      </c>
    </row>
    <row r="298" spans="1:40" ht="15.75" customHeight="1" x14ac:dyDescent="0.25">
      <c r="A298" s="34">
        <v>2020</v>
      </c>
      <c r="B298" s="35">
        <v>17577</v>
      </c>
      <c r="C298" s="36" t="s">
        <v>460</v>
      </c>
      <c r="D298" s="36" t="s">
        <v>77</v>
      </c>
      <c r="E298" s="36" t="s">
        <v>175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155</v>
      </c>
      <c r="K298" s="38" t="s">
        <v>155</v>
      </c>
      <c r="L298" s="38" t="s">
        <v>155</v>
      </c>
      <c r="M298" s="38" t="s">
        <v>155</v>
      </c>
      <c r="N298" s="38" t="s">
        <v>155</v>
      </c>
      <c r="O298" s="45" t="s">
        <v>155</v>
      </c>
      <c r="P298" s="45" t="s">
        <v>155</v>
      </c>
      <c r="Q298" s="45" t="s">
        <v>155</v>
      </c>
      <c r="R298" s="45" t="s">
        <v>155</v>
      </c>
      <c r="S298" s="45" t="s">
        <v>155</v>
      </c>
      <c r="T298" s="46" t="s">
        <v>155</v>
      </c>
      <c r="U298" s="46" t="s">
        <v>155</v>
      </c>
      <c r="V298" s="46" t="s">
        <v>155</v>
      </c>
      <c r="W298" s="46" t="s">
        <v>155</v>
      </c>
      <c r="X298" s="46" t="s">
        <v>155</v>
      </c>
      <c r="Y298" s="47" t="s">
        <v>155</v>
      </c>
      <c r="Z298" s="47" t="s">
        <v>155</v>
      </c>
      <c r="AA298" s="47" t="s">
        <v>155</v>
      </c>
      <c r="AB298" s="47" t="s">
        <v>155</v>
      </c>
      <c r="AC298" s="47" t="s">
        <v>155</v>
      </c>
      <c r="AD298" s="48" t="s">
        <v>155</v>
      </c>
      <c r="AE298" s="48" t="s">
        <v>155</v>
      </c>
      <c r="AF298" s="48" t="s">
        <v>155</v>
      </c>
      <c r="AG298" s="48" t="s">
        <v>155</v>
      </c>
      <c r="AH298" s="48" t="s">
        <v>155</v>
      </c>
      <c r="AI298" s="49" t="s">
        <v>155</v>
      </c>
      <c r="AJ298" s="49" t="s">
        <v>155</v>
      </c>
      <c r="AK298" s="49" t="s">
        <v>155</v>
      </c>
      <c r="AL298" s="49" t="s">
        <v>155</v>
      </c>
      <c r="AM298" s="49" t="s">
        <v>155</v>
      </c>
      <c r="AN298" s="50" t="s">
        <v>155</v>
      </c>
    </row>
    <row r="299" spans="1:40" ht="15.75" customHeight="1" x14ac:dyDescent="0.25">
      <c r="A299" s="34">
        <v>2020</v>
      </c>
      <c r="B299" s="35">
        <v>17599</v>
      </c>
      <c r="C299" s="36" t="s">
        <v>461</v>
      </c>
      <c r="D299" s="36" t="s">
        <v>41</v>
      </c>
      <c r="E299" s="36" t="s">
        <v>154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155</v>
      </c>
      <c r="M299" s="38" t="s">
        <v>155</v>
      </c>
      <c r="N299" s="38">
        <v>1370</v>
      </c>
      <c r="O299" s="45">
        <v>548</v>
      </c>
      <c r="P299" s="45">
        <v>0</v>
      </c>
      <c r="Q299" s="45" t="s">
        <v>155</v>
      </c>
      <c r="R299" s="45" t="s">
        <v>155</v>
      </c>
      <c r="S299" s="45">
        <v>548</v>
      </c>
      <c r="T299" s="46">
        <v>0.56000000000000005</v>
      </c>
      <c r="U299" s="46">
        <v>0.04</v>
      </c>
      <c r="V299" s="46" t="s">
        <v>155</v>
      </c>
      <c r="W299" s="46" t="s">
        <v>155</v>
      </c>
      <c r="X299" s="46">
        <v>0.6</v>
      </c>
      <c r="Y299" s="47">
        <v>1.7000000000000001E-2</v>
      </c>
      <c r="Z299" s="47" t="s">
        <v>155</v>
      </c>
      <c r="AA299" s="47" t="s">
        <v>155</v>
      </c>
      <c r="AB299" s="47" t="s">
        <v>155</v>
      </c>
      <c r="AC299" s="47">
        <v>1.7000000000000001E-2</v>
      </c>
      <c r="AD299" s="48">
        <v>97.3</v>
      </c>
      <c r="AE299" s="48">
        <v>5</v>
      </c>
      <c r="AF299" s="48" t="s">
        <v>155</v>
      </c>
      <c r="AG299" s="48" t="s">
        <v>155</v>
      </c>
      <c r="AH299" s="48">
        <v>102.3</v>
      </c>
      <c r="AI299" s="49">
        <v>10.8</v>
      </c>
      <c r="AJ299" s="49" t="s">
        <v>155</v>
      </c>
      <c r="AK299" s="49" t="s">
        <v>155</v>
      </c>
      <c r="AL299" s="49" t="s">
        <v>155</v>
      </c>
      <c r="AM299" s="49">
        <v>10.8</v>
      </c>
      <c r="AN299" s="50">
        <v>25</v>
      </c>
    </row>
    <row r="300" spans="1:40" ht="15.75" customHeight="1" x14ac:dyDescent="0.25">
      <c r="A300" s="34">
        <v>2020</v>
      </c>
      <c r="B300" s="35">
        <v>17609</v>
      </c>
      <c r="C300" s="36" t="s">
        <v>462</v>
      </c>
      <c r="D300" s="36" t="s">
        <v>17</v>
      </c>
      <c r="E300" s="36" t="s">
        <v>162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155</v>
      </c>
      <c r="N300" s="38">
        <v>262317</v>
      </c>
      <c r="O300" s="45" t="s">
        <v>155</v>
      </c>
      <c r="P300" s="45" t="s">
        <v>155</v>
      </c>
      <c r="Q300" s="45" t="s">
        <v>155</v>
      </c>
      <c r="R300" s="45" t="s">
        <v>155</v>
      </c>
      <c r="S300" s="45" t="s">
        <v>155</v>
      </c>
      <c r="T300" s="46">
        <v>186</v>
      </c>
      <c r="U300" s="46">
        <v>165</v>
      </c>
      <c r="V300" s="46">
        <v>453</v>
      </c>
      <c r="W300" s="46" t="s">
        <v>155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155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155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155</v>
      </c>
      <c r="AM300" s="49">
        <v>7478</v>
      </c>
      <c r="AN300" s="50" t="s">
        <v>155</v>
      </c>
    </row>
    <row r="301" spans="1:40" ht="15.75" customHeight="1" x14ac:dyDescent="0.25">
      <c r="A301" s="34">
        <v>2020</v>
      </c>
      <c r="B301" s="35">
        <v>17612</v>
      </c>
      <c r="C301" s="36" t="s">
        <v>463</v>
      </c>
      <c r="D301" s="36" t="s">
        <v>17</v>
      </c>
      <c r="E301" s="36" t="s">
        <v>162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155</v>
      </c>
    </row>
    <row r="302" spans="1:40" ht="15.75" customHeight="1" x14ac:dyDescent="0.25">
      <c r="A302" s="34">
        <v>2020</v>
      </c>
      <c r="B302" s="35">
        <v>17633</v>
      </c>
      <c r="C302" s="36" t="s">
        <v>464</v>
      </c>
      <c r="D302" s="36" t="s">
        <v>41</v>
      </c>
      <c r="E302" s="36" t="s">
        <v>154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155</v>
      </c>
    </row>
    <row r="303" spans="1:40" ht="15.75" customHeight="1" x14ac:dyDescent="0.25">
      <c r="A303" s="34">
        <v>2020</v>
      </c>
      <c r="B303" s="35">
        <v>17637</v>
      </c>
      <c r="C303" s="36" t="s">
        <v>465</v>
      </c>
      <c r="D303" s="36" t="s">
        <v>58</v>
      </c>
      <c r="E303" s="36" t="s">
        <v>167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155</v>
      </c>
      <c r="M303" s="38" t="s">
        <v>155</v>
      </c>
      <c r="N303" s="38">
        <v>43416</v>
      </c>
      <c r="O303" s="45">
        <v>0</v>
      </c>
      <c r="P303" s="45">
        <v>0</v>
      </c>
      <c r="Q303" s="45" t="s">
        <v>155</v>
      </c>
      <c r="R303" s="45" t="s">
        <v>155</v>
      </c>
      <c r="S303" s="45">
        <v>0</v>
      </c>
      <c r="T303" s="46">
        <v>35.299999999999997</v>
      </c>
      <c r="U303" s="46">
        <v>14.7</v>
      </c>
      <c r="V303" s="46" t="s">
        <v>155</v>
      </c>
      <c r="W303" s="46" t="s">
        <v>155</v>
      </c>
      <c r="X303" s="46">
        <v>50</v>
      </c>
      <c r="Y303" s="47">
        <v>35.299999999999997</v>
      </c>
      <c r="Z303" s="47">
        <v>14.7</v>
      </c>
      <c r="AA303" s="47" t="s">
        <v>155</v>
      </c>
      <c r="AB303" s="47" t="s">
        <v>155</v>
      </c>
      <c r="AC303" s="47">
        <v>50</v>
      </c>
      <c r="AD303" s="48">
        <v>1745</v>
      </c>
      <c r="AE303" s="48">
        <v>170</v>
      </c>
      <c r="AF303" s="48" t="s">
        <v>155</v>
      </c>
      <c r="AG303" s="48" t="s">
        <v>155</v>
      </c>
      <c r="AH303" s="48">
        <v>1915</v>
      </c>
      <c r="AI303" s="49">
        <v>2821</v>
      </c>
      <c r="AJ303" s="49">
        <v>924</v>
      </c>
      <c r="AK303" s="49" t="s">
        <v>155</v>
      </c>
      <c r="AL303" s="49" t="s">
        <v>155</v>
      </c>
      <c r="AM303" s="49">
        <v>3745</v>
      </c>
      <c r="AN303" s="50">
        <v>0</v>
      </c>
    </row>
    <row r="304" spans="1:40" ht="15.75" customHeight="1" x14ac:dyDescent="0.25">
      <c r="A304" s="34">
        <v>2020</v>
      </c>
      <c r="B304" s="35">
        <v>17671</v>
      </c>
      <c r="C304" s="36" t="s">
        <v>466</v>
      </c>
      <c r="D304" s="36" t="s">
        <v>14</v>
      </c>
      <c r="E304" s="36" t="s">
        <v>154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155</v>
      </c>
    </row>
    <row r="305" spans="1:40" ht="15.75" customHeight="1" x14ac:dyDescent="0.25">
      <c r="A305" s="34">
        <v>2020</v>
      </c>
      <c r="B305" s="35">
        <v>17684</v>
      </c>
      <c r="C305" s="36" t="s">
        <v>467</v>
      </c>
      <c r="D305" s="36" t="s">
        <v>52</v>
      </c>
      <c r="E305" s="36" t="s">
        <v>154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155</v>
      </c>
      <c r="K305" s="38">
        <v>5</v>
      </c>
      <c r="L305" s="38" t="s">
        <v>155</v>
      </c>
      <c r="M305" s="38" t="s">
        <v>155</v>
      </c>
      <c r="N305" s="38">
        <v>5</v>
      </c>
      <c r="O305" s="45" t="s">
        <v>155</v>
      </c>
      <c r="P305" s="45">
        <v>16</v>
      </c>
      <c r="Q305" s="45" t="s">
        <v>155</v>
      </c>
      <c r="R305" s="45" t="s">
        <v>155</v>
      </c>
      <c r="S305" s="45">
        <v>16</v>
      </c>
      <c r="T305" s="46" t="s">
        <v>155</v>
      </c>
      <c r="U305" s="46">
        <v>0.3</v>
      </c>
      <c r="V305" s="46" t="s">
        <v>155</v>
      </c>
      <c r="W305" s="46" t="s">
        <v>155</v>
      </c>
      <c r="X305" s="46">
        <v>0.3</v>
      </c>
      <c r="Y305" s="47" t="s">
        <v>155</v>
      </c>
      <c r="Z305" s="47">
        <v>0.3</v>
      </c>
      <c r="AA305" s="47" t="s">
        <v>155</v>
      </c>
      <c r="AB305" s="47" t="s">
        <v>155</v>
      </c>
      <c r="AC305" s="47">
        <v>0.3</v>
      </c>
      <c r="AD305" s="48" t="s">
        <v>155</v>
      </c>
      <c r="AE305" s="48">
        <v>3.2</v>
      </c>
      <c r="AF305" s="48" t="s">
        <v>155</v>
      </c>
      <c r="AG305" s="48" t="s">
        <v>155</v>
      </c>
      <c r="AH305" s="48">
        <v>3.2</v>
      </c>
      <c r="AI305" s="49" t="s">
        <v>155</v>
      </c>
      <c r="AJ305" s="49" t="s">
        <v>155</v>
      </c>
      <c r="AK305" s="49" t="s">
        <v>155</v>
      </c>
      <c r="AL305" s="49" t="s">
        <v>155</v>
      </c>
      <c r="AM305" s="49" t="s">
        <v>155</v>
      </c>
      <c r="AN305" s="50" t="s">
        <v>155</v>
      </c>
    </row>
    <row r="306" spans="1:40" ht="15.75" customHeight="1" x14ac:dyDescent="0.25">
      <c r="A306" s="34">
        <v>2020</v>
      </c>
      <c r="B306" s="35">
        <v>17692</v>
      </c>
      <c r="C306" s="36" t="s">
        <v>468</v>
      </c>
      <c r="D306" s="36" t="s">
        <v>77</v>
      </c>
      <c r="E306" s="36" t="s">
        <v>175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155</v>
      </c>
      <c r="K306" s="38" t="s">
        <v>155</v>
      </c>
      <c r="L306" s="38">
        <v>1135</v>
      </c>
      <c r="M306" s="38" t="s">
        <v>155</v>
      </c>
      <c r="N306" s="38">
        <v>1135</v>
      </c>
      <c r="O306" s="45" t="s">
        <v>155</v>
      </c>
      <c r="P306" s="45" t="s">
        <v>155</v>
      </c>
      <c r="Q306" s="45" t="s">
        <v>155</v>
      </c>
      <c r="R306" s="45" t="s">
        <v>155</v>
      </c>
      <c r="S306" s="45" t="s">
        <v>155</v>
      </c>
      <c r="T306" s="46" t="s">
        <v>155</v>
      </c>
      <c r="U306" s="46" t="s">
        <v>155</v>
      </c>
      <c r="V306" s="46">
        <v>24.9</v>
      </c>
      <c r="W306" s="46" t="s">
        <v>155</v>
      </c>
      <c r="X306" s="46">
        <v>24.9</v>
      </c>
      <c r="Y306" s="47" t="s">
        <v>155</v>
      </c>
      <c r="Z306" s="47" t="s">
        <v>155</v>
      </c>
      <c r="AA306" s="47">
        <v>16.600000000000001</v>
      </c>
      <c r="AB306" s="47" t="s">
        <v>155</v>
      </c>
      <c r="AC306" s="47">
        <v>16.600000000000001</v>
      </c>
      <c r="AD306" s="48" t="s">
        <v>155</v>
      </c>
      <c r="AE306" s="48" t="s">
        <v>155</v>
      </c>
      <c r="AF306" s="48" t="s">
        <v>155</v>
      </c>
      <c r="AG306" s="48" t="s">
        <v>155</v>
      </c>
      <c r="AH306" s="48" t="s">
        <v>155</v>
      </c>
      <c r="AI306" s="49" t="s">
        <v>155</v>
      </c>
      <c r="AJ306" s="49" t="s">
        <v>155</v>
      </c>
      <c r="AK306" s="49">
        <v>55.79</v>
      </c>
      <c r="AL306" s="49" t="s">
        <v>155</v>
      </c>
      <c r="AM306" s="49">
        <v>55.79</v>
      </c>
      <c r="AN306" s="50" t="s">
        <v>155</v>
      </c>
    </row>
    <row r="307" spans="1:40" ht="15.75" customHeight="1" x14ac:dyDescent="0.25">
      <c r="A307" s="34">
        <v>2020</v>
      </c>
      <c r="B307" s="35">
        <v>17698</v>
      </c>
      <c r="C307" s="36" t="s">
        <v>469</v>
      </c>
      <c r="D307" s="36" t="s">
        <v>14</v>
      </c>
      <c r="E307" s="36" t="s">
        <v>175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155</v>
      </c>
      <c r="K307" s="38">
        <v>5</v>
      </c>
      <c r="L307" s="38">
        <v>3</v>
      </c>
      <c r="M307" s="38" t="s">
        <v>155</v>
      </c>
      <c r="N307" s="38">
        <v>8</v>
      </c>
      <c r="O307" s="45" t="s">
        <v>155</v>
      </c>
      <c r="P307" s="45">
        <v>20</v>
      </c>
      <c r="Q307" s="45">
        <v>38</v>
      </c>
      <c r="R307" s="45" t="s">
        <v>155</v>
      </c>
      <c r="S307" s="45">
        <v>58</v>
      </c>
      <c r="T307" s="46" t="s">
        <v>155</v>
      </c>
      <c r="U307" s="46">
        <v>6.5</v>
      </c>
      <c r="V307" s="46">
        <v>3.5</v>
      </c>
      <c r="W307" s="46" t="s">
        <v>155</v>
      </c>
      <c r="X307" s="46">
        <v>10</v>
      </c>
      <c r="Y307" s="47" t="s">
        <v>155</v>
      </c>
      <c r="Z307" s="47">
        <v>4.2</v>
      </c>
      <c r="AA307" s="47">
        <v>2.2999999999999998</v>
      </c>
      <c r="AB307" s="47" t="s">
        <v>155</v>
      </c>
      <c r="AC307" s="47">
        <v>6.5</v>
      </c>
      <c r="AD307" s="48" t="s">
        <v>155</v>
      </c>
      <c r="AE307" s="48">
        <v>93</v>
      </c>
      <c r="AF307" s="48">
        <v>50</v>
      </c>
      <c r="AG307" s="48" t="s">
        <v>155</v>
      </c>
      <c r="AH307" s="48">
        <v>143</v>
      </c>
      <c r="AI307" s="49" t="s">
        <v>155</v>
      </c>
      <c r="AJ307" s="49">
        <v>22</v>
      </c>
      <c r="AK307" s="49">
        <v>12</v>
      </c>
      <c r="AL307" s="49" t="s">
        <v>155</v>
      </c>
      <c r="AM307" s="49">
        <v>34</v>
      </c>
      <c r="AN307" s="50">
        <v>0</v>
      </c>
    </row>
    <row r="308" spans="1:40" ht="15.75" customHeight="1" x14ac:dyDescent="0.25">
      <c r="A308" s="34">
        <v>2020</v>
      </c>
      <c r="B308" s="35">
        <v>17698</v>
      </c>
      <c r="C308" s="36" t="s">
        <v>469</v>
      </c>
      <c r="D308" s="36" t="s">
        <v>112</v>
      </c>
      <c r="E308" s="36" t="s">
        <v>175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25">
      <c r="A309" s="34">
        <v>2020</v>
      </c>
      <c r="B309" s="35">
        <v>17718</v>
      </c>
      <c r="C309" s="36" t="s">
        <v>470</v>
      </c>
      <c r="D309" s="36" t="s">
        <v>88</v>
      </c>
      <c r="E309" s="36" t="s">
        <v>175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155</v>
      </c>
      <c r="K309" s="38" t="s">
        <v>155</v>
      </c>
      <c r="L309" s="38" t="s">
        <v>155</v>
      </c>
      <c r="M309" s="38" t="s">
        <v>155</v>
      </c>
      <c r="N309" s="38" t="s">
        <v>155</v>
      </c>
      <c r="O309" s="45" t="s">
        <v>155</v>
      </c>
      <c r="P309" s="45" t="s">
        <v>155</v>
      </c>
      <c r="Q309" s="45" t="s">
        <v>155</v>
      </c>
      <c r="R309" s="45" t="s">
        <v>155</v>
      </c>
      <c r="S309" s="45" t="s">
        <v>155</v>
      </c>
      <c r="T309" s="46" t="s">
        <v>155</v>
      </c>
      <c r="U309" s="46" t="s">
        <v>155</v>
      </c>
      <c r="V309" s="46" t="s">
        <v>155</v>
      </c>
      <c r="W309" s="46" t="s">
        <v>155</v>
      </c>
      <c r="X309" s="46" t="s">
        <v>155</v>
      </c>
      <c r="Y309" s="47" t="s">
        <v>155</v>
      </c>
      <c r="Z309" s="47" t="s">
        <v>155</v>
      </c>
      <c r="AA309" s="47" t="s">
        <v>155</v>
      </c>
      <c r="AB309" s="47" t="s">
        <v>155</v>
      </c>
      <c r="AC309" s="47" t="s">
        <v>155</v>
      </c>
      <c r="AD309" s="48" t="s">
        <v>155</v>
      </c>
      <c r="AE309" s="48" t="s">
        <v>155</v>
      </c>
      <c r="AF309" s="48" t="s">
        <v>155</v>
      </c>
      <c r="AG309" s="48" t="s">
        <v>155</v>
      </c>
      <c r="AH309" s="48" t="s">
        <v>155</v>
      </c>
      <c r="AI309" s="49" t="s">
        <v>155</v>
      </c>
      <c r="AJ309" s="49" t="s">
        <v>155</v>
      </c>
      <c r="AK309" s="49" t="s">
        <v>155</v>
      </c>
      <c r="AL309" s="49" t="s">
        <v>155</v>
      </c>
      <c r="AM309" s="49" t="s">
        <v>155</v>
      </c>
      <c r="AN309" s="50" t="s">
        <v>155</v>
      </c>
    </row>
    <row r="310" spans="1:40" ht="15.75" customHeight="1" x14ac:dyDescent="0.25">
      <c r="A310" s="34">
        <v>2020</v>
      </c>
      <c r="B310" s="35">
        <v>17718</v>
      </c>
      <c r="C310" s="36" t="s">
        <v>470</v>
      </c>
      <c r="D310" s="36" t="s">
        <v>112</v>
      </c>
      <c r="E310" s="36" t="s">
        <v>175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155</v>
      </c>
      <c r="M310" s="38" t="s">
        <v>155</v>
      </c>
      <c r="N310" s="38">
        <v>7558</v>
      </c>
      <c r="O310" s="45">
        <v>0</v>
      </c>
      <c r="P310" s="45">
        <v>78.72</v>
      </c>
      <c r="Q310" s="45" t="s">
        <v>155</v>
      </c>
      <c r="R310" s="45" t="s">
        <v>155</v>
      </c>
      <c r="S310" s="45">
        <v>78.72</v>
      </c>
      <c r="T310" s="46">
        <v>9.032</v>
      </c>
      <c r="U310" s="46">
        <v>9.4949999999999992</v>
      </c>
      <c r="V310" s="46" t="s">
        <v>155</v>
      </c>
      <c r="W310" s="46" t="s">
        <v>155</v>
      </c>
      <c r="X310" s="46">
        <v>18.527000000000001</v>
      </c>
      <c r="Y310" s="47">
        <v>0</v>
      </c>
      <c r="Z310" s="47">
        <v>0</v>
      </c>
      <c r="AA310" s="47" t="s">
        <v>155</v>
      </c>
      <c r="AB310" s="47" t="s">
        <v>155</v>
      </c>
      <c r="AC310" s="47">
        <v>0</v>
      </c>
      <c r="AD310" s="48">
        <v>390.41</v>
      </c>
      <c r="AE310" s="48">
        <v>104.94</v>
      </c>
      <c r="AF310" s="48" t="s">
        <v>155</v>
      </c>
      <c r="AG310" s="48" t="s">
        <v>155</v>
      </c>
      <c r="AH310" s="48">
        <v>495.35</v>
      </c>
      <c r="AI310" s="49">
        <v>97.153999999999996</v>
      </c>
      <c r="AJ310" s="49">
        <v>28.562000000000001</v>
      </c>
      <c r="AK310" s="49" t="s">
        <v>155</v>
      </c>
      <c r="AL310" s="49" t="s">
        <v>155</v>
      </c>
      <c r="AM310" s="49">
        <v>125.71599999999999</v>
      </c>
      <c r="AN310" s="50" t="s">
        <v>155</v>
      </c>
    </row>
    <row r="311" spans="1:40" ht="15.75" customHeight="1" x14ac:dyDescent="0.25">
      <c r="A311" s="34">
        <v>2020</v>
      </c>
      <c r="B311" s="35">
        <v>17832</v>
      </c>
      <c r="C311" s="36" t="s">
        <v>471</v>
      </c>
      <c r="D311" s="36" t="s">
        <v>31</v>
      </c>
      <c r="E311" s="36" t="s">
        <v>160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155</v>
      </c>
      <c r="N311" s="38">
        <v>102518</v>
      </c>
      <c r="O311" s="45" t="s">
        <v>155</v>
      </c>
      <c r="P311" s="45" t="s">
        <v>155</v>
      </c>
      <c r="Q311" s="45" t="s">
        <v>155</v>
      </c>
      <c r="R311" s="45" t="s">
        <v>155</v>
      </c>
      <c r="S311" s="45" t="s">
        <v>155</v>
      </c>
      <c r="T311" s="46" t="s">
        <v>155</v>
      </c>
      <c r="U311" s="46" t="s">
        <v>155</v>
      </c>
      <c r="V311" s="46" t="s">
        <v>155</v>
      </c>
      <c r="W311" s="46" t="s">
        <v>155</v>
      </c>
      <c r="X311" s="46" t="s">
        <v>155</v>
      </c>
      <c r="Y311" s="47" t="s">
        <v>155</v>
      </c>
      <c r="Z311" s="47" t="s">
        <v>155</v>
      </c>
      <c r="AA311" s="47" t="s">
        <v>155</v>
      </c>
      <c r="AB311" s="47" t="s">
        <v>155</v>
      </c>
      <c r="AC311" s="47" t="s">
        <v>155</v>
      </c>
      <c r="AD311" s="48" t="s">
        <v>155</v>
      </c>
      <c r="AE311" s="48" t="s">
        <v>155</v>
      </c>
      <c r="AF311" s="48" t="s">
        <v>155</v>
      </c>
      <c r="AG311" s="48" t="s">
        <v>155</v>
      </c>
      <c r="AH311" s="48" t="s">
        <v>155</v>
      </c>
      <c r="AI311" s="49" t="s">
        <v>155</v>
      </c>
      <c r="AJ311" s="49" t="s">
        <v>155</v>
      </c>
      <c r="AK311" s="49" t="s">
        <v>155</v>
      </c>
      <c r="AL311" s="49" t="s">
        <v>155</v>
      </c>
      <c r="AM311" s="49" t="s">
        <v>155</v>
      </c>
      <c r="AN311" s="50" t="s">
        <v>155</v>
      </c>
    </row>
    <row r="312" spans="1:40" ht="15.75" customHeight="1" x14ac:dyDescent="0.25">
      <c r="A312" s="34">
        <v>2020</v>
      </c>
      <c r="B312" s="35">
        <v>17860</v>
      </c>
      <c r="C312" s="36" t="s">
        <v>472</v>
      </c>
      <c r="D312" s="36" t="s">
        <v>38</v>
      </c>
      <c r="E312" s="36" t="s">
        <v>167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155</v>
      </c>
      <c r="K312" s="38" t="s">
        <v>155</v>
      </c>
      <c r="L312" s="38" t="s">
        <v>155</v>
      </c>
      <c r="M312" s="38" t="s">
        <v>155</v>
      </c>
      <c r="N312" s="38" t="s">
        <v>155</v>
      </c>
      <c r="O312" s="45" t="s">
        <v>155</v>
      </c>
      <c r="P312" s="45" t="s">
        <v>155</v>
      </c>
      <c r="Q312" s="45" t="s">
        <v>155</v>
      </c>
      <c r="R312" s="45" t="s">
        <v>155</v>
      </c>
      <c r="S312" s="45" t="s">
        <v>155</v>
      </c>
      <c r="T312" s="46" t="s">
        <v>155</v>
      </c>
      <c r="U312" s="46" t="s">
        <v>155</v>
      </c>
      <c r="V312" s="46" t="s">
        <v>155</v>
      </c>
      <c r="W312" s="46" t="s">
        <v>155</v>
      </c>
      <c r="X312" s="46" t="s">
        <v>155</v>
      </c>
      <c r="Y312" s="47" t="s">
        <v>155</v>
      </c>
      <c r="Z312" s="47" t="s">
        <v>155</v>
      </c>
      <c r="AA312" s="47" t="s">
        <v>155</v>
      </c>
      <c r="AB312" s="47" t="s">
        <v>155</v>
      </c>
      <c r="AC312" s="47" t="s">
        <v>155</v>
      </c>
      <c r="AD312" s="48" t="s">
        <v>155</v>
      </c>
      <c r="AE312" s="48" t="s">
        <v>155</v>
      </c>
      <c r="AF312" s="48" t="s">
        <v>155</v>
      </c>
      <c r="AG312" s="48" t="s">
        <v>155</v>
      </c>
      <c r="AH312" s="48" t="s">
        <v>155</v>
      </c>
      <c r="AI312" s="49" t="s">
        <v>155</v>
      </c>
      <c r="AJ312" s="49" t="s">
        <v>155</v>
      </c>
      <c r="AK312" s="49" t="s">
        <v>155</v>
      </c>
      <c r="AL312" s="49" t="s">
        <v>155</v>
      </c>
      <c r="AM312" s="49" t="s">
        <v>155</v>
      </c>
      <c r="AN312" s="50" t="s">
        <v>155</v>
      </c>
    </row>
    <row r="313" spans="1:40" ht="15.75" customHeight="1" x14ac:dyDescent="0.25">
      <c r="A313" s="34">
        <v>2020</v>
      </c>
      <c r="B313" s="35">
        <v>18087</v>
      </c>
      <c r="C313" s="36" t="s">
        <v>473</v>
      </c>
      <c r="D313" s="36" t="s">
        <v>60</v>
      </c>
      <c r="E313" s="36" t="s">
        <v>226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155</v>
      </c>
      <c r="M313" s="38" t="s">
        <v>155</v>
      </c>
      <c r="N313" s="38">
        <v>172</v>
      </c>
      <c r="O313" s="45">
        <v>3.83</v>
      </c>
      <c r="P313" s="45">
        <v>32</v>
      </c>
      <c r="Q313" s="45" t="s">
        <v>155</v>
      </c>
      <c r="R313" s="45" t="s">
        <v>155</v>
      </c>
      <c r="S313" s="45">
        <v>35.83</v>
      </c>
      <c r="T313" s="46">
        <v>0.16900000000000001</v>
      </c>
      <c r="U313" s="46">
        <v>1.9</v>
      </c>
      <c r="V313" s="46" t="s">
        <v>155</v>
      </c>
      <c r="W313" s="46" t="s">
        <v>155</v>
      </c>
      <c r="X313" s="46">
        <v>2.069</v>
      </c>
      <c r="Y313" s="47">
        <v>0.153</v>
      </c>
      <c r="Z313" s="47">
        <v>1.6</v>
      </c>
      <c r="AA313" s="47" t="s">
        <v>155</v>
      </c>
      <c r="AB313" s="47" t="s">
        <v>155</v>
      </c>
      <c r="AC313" s="47">
        <v>1.7529999999999999</v>
      </c>
      <c r="AD313" s="48" t="s">
        <v>155</v>
      </c>
      <c r="AE313" s="48" t="s">
        <v>155</v>
      </c>
      <c r="AF313" s="48" t="s">
        <v>155</v>
      </c>
      <c r="AG313" s="48" t="s">
        <v>155</v>
      </c>
      <c r="AH313" s="48" t="s">
        <v>155</v>
      </c>
      <c r="AI313" s="49" t="s">
        <v>155</v>
      </c>
      <c r="AJ313" s="49" t="s">
        <v>155</v>
      </c>
      <c r="AK313" s="49" t="s">
        <v>155</v>
      </c>
      <c r="AL313" s="49" t="s">
        <v>155</v>
      </c>
      <c r="AM313" s="49" t="s">
        <v>155</v>
      </c>
      <c r="AN313" s="50" t="s">
        <v>155</v>
      </c>
    </row>
    <row r="314" spans="1:40" ht="15.75" customHeight="1" x14ac:dyDescent="0.25">
      <c r="A314" s="34">
        <v>2020</v>
      </c>
      <c r="B314" s="35">
        <v>18125</v>
      </c>
      <c r="C314" s="36" t="s">
        <v>474</v>
      </c>
      <c r="D314" s="36" t="s">
        <v>98</v>
      </c>
      <c r="E314" s="36" t="s">
        <v>175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155</v>
      </c>
      <c r="K314" s="38">
        <v>1</v>
      </c>
      <c r="L314" s="38" t="s">
        <v>155</v>
      </c>
      <c r="M314" s="38" t="s">
        <v>155</v>
      </c>
      <c r="N314" s="38">
        <v>1</v>
      </c>
      <c r="O314" s="45" t="s">
        <v>155</v>
      </c>
      <c r="P314" s="45">
        <v>71</v>
      </c>
      <c r="Q314" s="45" t="s">
        <v>155</v>
      </c>
      <c r="R314" s="45" t="s">
        <v>155</v>
      </c>
      <c r="S314" s="45">
        <v>71</v>
      </c>
      <c r="T314" s="46" t="s">
        <v>155</v>
      </c>
      <c r="U314" s="46">
        <v>2</v>
      </c>
      <c r="V314" s="46" t="s">
        <v>155</v>
      </c>
      <c r="W314" s="46" t="s">
        <v>155</v>
      </c>
      <c r="X314" s="46">
        <v>2</v>
      </c>
      <c r="Y314" s="47" t="s">
        <v>155</v>
      </c>
      <c r="Z314" s="47">
        <v>0</v>
      </c>
      <c r="AA314" s="47" t="s">
        <v>155</v>
      </c>
      <c r="AB314" s="47" t="s">
        <v>155</v>
      </c>
      <c r="AC314" s="47">
        <v>0</v>
      </c>
      <c r="AD314" s="48" t="s">
        <v>155</v>
      </c>
      <c r="AE314" s="48">
        <v>3.41</v>
      </c>
      <c r="AF314" s="48" t="s">
        <v>155</v>
      </c>
      <c r="AG314" s="48" t="s">
        <v>155</v>
      </c>
      <c r="AH314" s="48">
        <v>3.41</v>
      </c>
      <c r="AI314" s="49" t="s">
        <v>155</v>
      </c>
      <c r="AJ314" s="49" t="s">
        <v>155</v>
      </c>
      <c r="AK314" s="49" t="s">
        <v>155</v>
      </c>
      <c r="AL314" s="49" t="s">
        <v>155</v>
      </c>
      <c r="AM314" s="49" t="s">
        <v>155</v>
      </c>
      <c r="AN314" s="50" t="s">
        <v>155</v>
      </c>
    </row>
    <row r="315" spans="1:40" ht="15.75" customHeight="1" x14ac:dyDescent="0.25">
      <c r="A315" s="34">
        <v>2020</v>
      </c>
      <c r="B315" s="35">
        <v>18203</v>
      </c>
      <c r="C315" s="36" t="s">
        <v>475</v>
      </c>
      <c r="D315" s="36" t="s">
        <v>5</v>
      </c>
      <c r="E315" s="36" t="s">
        <v>158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155</v>
      </c>
      <c r="K315" s="38" t="s">
        <v>155</v>
      </c>
      <c r="L315" s="38">
        <v>1</v>
      </c>
      <c r="M315" s="38" t="s">
        <v>155</v>
      </c>
      <c r="N315" s="38">
        <v>1</v>
      </c>
      <c r="O315" s="45" t="s">
        <v>155</v>
      </c>
      <c r="P315" s="45" t="s">
        <v>155</v>
      </c>
      <c r="Q315" s="45">
        <v>0</v>
      </c>
      <c r="R315" s="45" t="s">
        <v>155</v>
      </c>
      <c r="S315" s="45">
        <v>0</v>
      </c>
      <c r="T315" s="46" t="s">
        <v>155</v>
      </c>
      <c r="U315" s="46" t="s">
        <v>155</v>
      </c>
      <c r="V315" s="46">
        <v>3.2</v>
      </c>
      <c r="W315" s="46" t="s">
        <v>155</v>
      </c>
      <c r="X315" s="46">
        <v>3.2</v>
      </c>
      <c r="Y315" s="47" t="s">
        <v>155</v>
      </c>
      <c r="Z315" s="47" t="s">
        <v>155</v>
      </c>
      <c r="AA315" s="47">
        <v>0</v>
      </c>
      <c r="AB315" s="47" t="s">
        <v>155</v>
      </c>
      <c r="AC315" s="47">
        <v>0</v>
      </c>
      <c r="AD315" s="48" t="s">
        <v>155</v>
      </c>
      <c r="AE315" s="48" t="s">
        <v>155</v>
      </c>
      <c r="AF315" s="48">
        <v>170.5</v>
      </c>
      <c r="AG315" s="48" t="s">
        <v>155</v>
      </c>
      <c r="AH315" s="48">
        <v>170.5</v>
      </c>
      <c r="AI315" s="49" t="s">
        <v>155</v>
      </c>
      <c r="AJ315" s="49" t="s">
        <v>155</v>
      </c>
      <c r="AK315" s="49">
        <v>0</v>
      </c>
      <c r="AL315" s="49" t="s">
        <v>155</v>
      </c>
      <c r="AM315" s="49">
        <v>0</v>
      </c>
      <c r="AN315" s="50" t="s">
        <v>155</v>
      </c>
    </row>
    <row r="316" spans="1:40" ht="15.75" customHeight="1" x14ac:dyDescent="0.25">
      <c r="A316" s="34">
        <v>2020</v>
      </c>
      <c r="B316" s="35">
        <v>18280</v>
      </c>
      <c r="C316" s="36" t="s">
        <v>476</v>
      </c>
      <c r="D316" s="36" t="s">
        <v>11</v>
      </c>
      <c r="E316" s="36" t="s">
        <v>477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155</v>
      </c>
      <c r="K316" s="38">
        <v>767</v>
      </c>
      <c r="L316" s="38" t="s">
        <v>155</v>
      </c>
      <c r="M316" s="38" t="s">
        <v>155</v>
      </c>
      <c r="N316" s="38">
        <v>767</v>
      </c>
      <c r="O316" s="45" t="s">
        <v>155</v>
      </c>
      <c r="P316" s="45">
        <v>47.6</v>
      </c>
      <c r="Q316" s="45" t="s">
        <v>155</v>
      </c>
      <c r="R316" s="45" t="s">
        <v>155</v>
      </c>
      <c r="S316" s="45">
        <v>47.6</v>
      </c>
      <c r="T316" s="46" t="s">
        <v>155</v>
      </c>
      <c r="U316" s="46">
        <v>78.400000000000006</v>
      </c>
      <c r="V316" s="46" t="s">
        <v>155</v>
      </c>
      <c r="W316" s="46" t="s">
        <v>155</v>
      </c>
      <c r="X316" s="46">
        <v>78.400000000000006</v>
      </c>
      <c r="Y316" s="47" t="s">
        <v>155</v>
      </c>
      <c r="Z316" s="47">
        <v>11.9</v>
      </c>
      <c r="AA316" s="47" t="s">
        <v>155</v>
      </c>
      <c r="AB316" s="47" t="s">
        <v>155</v>
      </c>
      <c r="AC316" s="47">
        <v>11.9</v>
      </c>
      <c r="AD316" s="48" t="s">
        <v>155</v>
      </c>
      <c r="AE316" s="48">
        <v>0</v>
      </c>
      <c r="AF316" s="48" t="s">
        <v>155</v>
      </c>
      <c r="AG316" s="48" t="s">
        <v>155</v>
      </c>
      <c r="AH316" s="48">
        <v>0</v>
      </c>
      <c r="AI316" s="49" t="s">
        <v>155</v>
      </c>
      <c r="AJ316" s="49">
        <v>1</v>
      </c>
      <c r="AK316" s="49" t="s">
        <v>155</v>
      </c>
      <c r="AL316" s="49" t="s">
        <v>155</v>
      </c>
      <c r="AM316" s="49">
        <v>1</v>
      </c>
      <c r="AN316" s="50">
        <v>0</v>
      </c>
    </row>
    <row r="317" spans="1:40" ht="15.75" customHeight="1" x14ac:dyDescent="0.25">
      <c r="A317" s="34">
        <v>2020</v>
      </c>
      <c r="B317" s="35">
        <v>18304</v>
      </c>
      <c r="C317" s="36" t="s">
        <v>478</v>
      </c>
      <c r="D317" s="36" t="s">
        <v>28</v>
      </c>
      <c r="E317" s="36" t="s">
        <v>218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155</v>
      </c>
      <c r="K317" s="38" t="s">
        <v>155</v>
      </c>
      <c r="L317" s="38">
        <v>13</v>
      </c>
      <c r="M317" s="38" t="s">
        <v>155</v>
      </c>
      <c r="N317" s="38">
        <v>13</v>
      </c>
      <c r="O317" s="45" t="s">
        <v>155</v>
      </c>
      <c r="P317" s="45" t="s">
        <v>155</v>
      </c>
      <c r="Q317" s="45">
        <v>120</v>
      </c>
      <c r="R317" s="45" t="s">
        <v>155</v>
      </c>
      <c r="S317" s="45">
        <v>120</v>
      </c>
      <c r="T317" s="46" t="s">
        <v>155</v>
      </c>
      <c r="U317" s="46" t="s">
        <v>155</v>
      </c>
      <c r="V317" s="46">
        <v>12</v>
      </c>
      <c r="W317" s="46" t="s">
        <v>155</v>
      </c>
      <c r="X317" s="46">
        <v>12</v>
      </c>
      <c r="Y317" s="47" t="s">
        <v>155</v>
      </c>
      <c r="Z317" s="47" t="s">
        <v>155</v>
      </c>
      <c r="AA317" s="47">
        <v>11</v>
      </c>
      <c r="AB317" s="47" t="s">
        <v>155</v>
      </c>
      <c r="AC317" s="47">
        <v>11</v>
      </c>
      <c r="AD317" s="48" t="s">
        <v>155</v>
      </c>
      <c r="AE317" s="48" t="s">
        <v>155</v>
      </c>
      <c r="AF317" s="48" t="s">
        <v>155</v>
      </c>
      <c r="AG317" s="48" t="s">
        <v>155</v>
      </c>
      <c r="AH317" s="48" t="s">
        <v>155</v>
      </c>
      <c r="AI317" s="49" t="s">
        <v>155</v>
      </c>
      <c r="AJ317" s="49" t="s">
        <v>155</v>
      </c>
      <c r="AK317" s="49">
        <v>187</v>
      </c>
      <c r="AL317" s="49" t="s">
        <v>155</v>
      </c>
      <c r="AM317" s="49">
        <v>187</v>
      </c>
      <c r="AN317" s="50" t="s">
        <v>155</v>
      </c>
    </row>
    <row r="318" spans="1:40" ht="15.75" customHeight="1" x14ac:dyDescent="0.25">
      <c r="A318" s="34">
        <v>2020</v>
      </c>
      <c r="B318" s="35">
        <v>18336</v>
      </c>
      <c r="C318" s="36" t="s">
        <v>479</v>
      </c>
      <c r="D318" s="36" t="s">
        <v>124</v>
      </c>
      <c r="E318" s="36" t="s">
        <v>154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155</v>
      </c>
      <c r="K318" s="38" t="s">
        <v>155</v>
      </c>
      <c r="L318" s="38" t="s">
        <v>155</v>
      </c>
      <c r="M318" s="38" t="s">
        <v>155</v>
      </c>
      <c r="N318" s="38" t="s">
        <v>155</v>
      </c>
      <c r="O318" s="45" t="s">
        <v>155</v>
      </c>
      <c r="P318" s="45" t="s">
        <v>155</v>
      </c>
      <c r="Q318" s="45" t="s">
        <v>155</v>
      </c>
      <c r="R318" s="45" t="s">
        <v>155</v>
      </c>
      <c r="S318" s="45" t="s">
        <v>155</v>
      </c>
      <c r="T318" s="46" t="s">
        <v>155</v>
      </c>
      <c r="U318" s="46" t="s">
        <v>155</v>
      </c>
      <c r="V318" s="46" t="s">
        <v>155</v>
      </c>
      <c r="W318" s="46" t="s">
        <v>155</v>
      </c>
      <c r="X318" s="46" t="s">
        <v>155</v>
      </c>
      <c r="Y318" s="47" t="s">
        <v>155</v>
      </c>
      <c r="Z318" s="47" t="s">
        <v>155</v>
      </c>
      <c r="AA318" s="47" t="s">
        <v>155</v>
      </c>
      <c r="AB318" s="47" t="s">
        <v>155</v>
      </c>
      <c r="AC318" s="47" t="s">
        <v>155</v>
      </c>
      <c r="AD318" s="48" t="s">
        <v>155</v>
      </c>
      <c r="AE318" s="48" t="s">
        <v>155</v>
      </c>
      <c r="AF318" s="48" t="s">
        <v>155</v>
      </c>
      <c r="AG318" s="48" t="s">
        <v>155</v>
      </c>
      <c r="AH318" s="48" t="s">
        <v>155</v>
      </c>
      <c r="AI318" s="49" t="s">
        <v>155</v>
      </c>
      <c r="AJ318" s="49" t="s">
        <v>155</v>
      </c>
      <c r="AK318" s="49" t="s">
        <v>155</v>
      </c>
      <c r="AL318" s="49" t="s">
        <v>155</v>
      </c>
      <c r="AM318" s="49" t="s">
        <v>155</v>
      </c>
      <c r="AN318" s="50" t="s">
        <v>155</v>
      </c>
    </row>
    <row r="319" spans="1:40" ht="15.75" customHeight="1" x14ac:dyDescent="0.25">
      <c r="A319" s="34">
        <v>2020</v>
      </c>
      <c r="B319" s="35">
        <v>18429</v>
      </c>
      <c r="C319" s="36" t="s">
        <v>480</v>
      </c>
      <c r="D319" s="36" t="s">
        <v>120</v>
      </c>
      <c r="E319" s="36" t="s">
        <v>481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155</v>
      </c>
      <c r="N319" s="38">
        <v>0</v>
      </c>
      <c r="O319" s="45" t="s">
        <v>155</v>
      </c>
      <c r="P319" s="45" t="s">
        <v>155</v>
      </c>
      <c r="Q319" s="45" t="s">
        <v>155</v>
      </c>
      <c r="R319" s="45" t="s">
        <v>155</v>
      </c>
      <c r="S319" s="45" t="s">
        <v>155</v>
      </c>
      <c r="T319" s="46" t="s">
        <v>155</v>
      </c>
      <c r="U319" s="46" t="s">
        <v>155</v>
      </c>
      <c r="V319" s="46" t="s">
        <v>155</v>
      </c>
      <c r="W319" s="46" t="s">
        <v>155</v>
      </c>
      <c r="X319" s="46" t="s">
        <v>155</v>
      </c>
      <c r="Y319" s="47" t="s">
        <v>155</v>
      </c>
      <c r="Z319" s="47" t="s">
        <v>155</v>
      </c>
      <c r="AA319" s="47" t="s">
        <v>155</v>
      </c>
      <c r="AB319" s="47" t="s">
        <v>155</v>
      </c>
      <c r="AC319" s="47" t="s">
        <v>155</v>
      </c>
      <c r="AD319" s="48" t="s">
        <v>155</v>
      </c>
      <c r="AE319" s="48" t="s">
        <v>155</v>
      </c>
      <c r="AF319" s="48" t="s">
        <v>155</v>
      </c>
      <c r="AG319" s="48" t="s">
        <v>155</v>
      </c>
      <c r="AH319" s="48" t="s">
        <v>155</v>
      </c>
      <c r="AI319" s="49" t="s">
        <v>155</v>
      </c>
      <c r="AJ319" s="49" t="s">
        <v>155</v>
      </c>
      <c r="AK319" s="49" t="s">
        <v>155</v>
      </c>
      <c r="AL319" s="49" t="s">
        <v>155</v>
      </c>
      <c r="AM319" s="49" t="s">
        <v>155</v>
      </c>
      <c r="AN319" s="50" t="s">
        <v>155</v>
      </c>
    </row>
    <row r="320" spans="1:40" ht="15.75" customHeight="1" x14ac:dyDescent="0.25">
      <c r="A320" s="34">
        <v>2020</v>
      </c>
      <c r="B320" s="35">
        <v>18445</v>
      </c>
      <c r="C320" s="36" t="s">
        <v>482</v>
      </c>
      <c r="D320" s="36" t="s">
        <v>28</v>
      </c>
      <c r="E320" s="36" t="s">
        <v>483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155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155</v>
      </c>
    </row>
    <row r="321" spans="1:40" ht="15.75" customHeight="1" x14ac:dyDescent="0.25">
      <c r="A321" s="34">
        <v>2020</v>
      </c>
      <c r="B321" s="35">
        <v>18454</v>
      </c>
      <c r="C321" s="36" t="s">
        <v>484</v>
      </c>
      <c r="D321" s="36" t="s">
        <v>28</v>
      </c>
      <c r="E321" s="36" t="s">
        <v>485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155</v>
      </c>
      <c r="K321" s="38">
        <v>211</v>
      </c>
      <c r="L321" s="38">
        <v>35</v>
      </c>
      <c r="M321" s="38" t="s">
        <v>155</v>
      </c>
      <c r="N321" s="38">
        <v>246</v>
      </c>
      <c r="O321" s="45" t="s">
        <v>155</v>
      </c>
      <c r="P321" s="45">
        <v>8728.7199999999993</v>
      </c>
      <c r="Q321" s="45">
        <v>26117</v>
      </c>
      <c r="R321" s="45" t="s">
        <v>155</v>
      </c>
      <c r="S321" s="45">
        <v>34845.72</v>
      </c>
      <c r="T321" s="46" t="s">
        <v>155</v>
      </c>
      <c r="U321" s="46">
        <v>89.911000000000001</v>
      </c>
      <c r="V321" s="46">
        <v>87</v>
      </c>
      <c r="W321" s="46" t="s">
        <v>155</v>
      </c>
      <c r="X321" s="46">
        <v>176.911</v>
      </c>
      <c r="Y321" s="47" t="s">
        <v>155</v>
      </c>
      <c r="Z321" s="47" t="s">
        <v>155</v>
      </c>
      <c r="AA321" s="47" t="s">
        <v>155</v>
      </c>
      <c r="AB321" s="47" t="s">
        <v>155</v>
      </c>
      <c r="AC321" s="47" t="s">
        <v>155</v>
      </c>
      <c r="AD321" s="48" t="s">
        <v>155</v>
      </c>
      <c r="AE321" s="48">
        <v>6073.0609999999997</v>
      </c>
      <c r="AF321" s="48">
        <v>17023.649000000001</v>
      </c>
      <c r="AG321" s="48" t="s">
        <v>155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155</v>
      </c>
      <c r="AM321" s="49">
        <v>326.90800000000002</v>
      </c>
      <c r="AN321" s="50" t="s">
        <v>155</v>
      </c>
    </row>
    <row r="322" spans="1:40" ht="15.75" customHeight="1" x14ac:dyDescent="0.25">
      <c r="A322" s="34">
        <v>2020</v>
      </c>
      <c r="B322" s="35">
        <v>18488</v>
      </c>
      <c r="C322" s="36" t="s">
        <v>486</v>
      </c>
      <c r="D322" s="36" t="s">
        <v>60</v>
      </c>
      <c r="E322" s="36" t="s">
        <v>226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155</v>
      </c>
      <c r="K322" s="38">
        <v>10</v>
      </c>
      <c r="L322" s="38" t="s">
        <v>155</v>
      </c>
      <c r="M322" s="38" t="s">
        <v>155</v>
      </c>
      <c r="N322" s="38">
        <v>10</v>
      </c>
      <c r="O322" s="45" t="s">
        <v>155</v>
      </c>
      <c r="P322" s="45">
        <v>28</v>
      </c>
      <c r="Q322" s="45" t="s">
        <v>155</v>
      </c>
      <c r="R322" s="45" t="s">
        <v>155</v>
      </c>
      <c r="S322" s="45">
        <v>28</v>
      </c>
      <c r="T322" s="46" t="s">
        <v>155</v>
      </c>
      <c r="U322" s="46">
        <v>10</v>
      </c>
      <c r="V322" s="46" t="s">
        <v>155</v>
      </c>
      <c r="W322" s="46" t="s">
        <v>155</v>
      </c>
      <c r="X322" s="46">
        <v>10</v>
      </c>
      <c r="Y322" s="47" t="s">
        <v>155</v>
      </c>
      <c r="Z322" s="47">
        <v>7</v>
      </c>
      <c r="AA322" s="47" t="s">
        <v>155</v>
      </c>
      <c r="AB322" s="47" t="s">
        <v>155</v>
      </c>
      <c r="AC322" s="47">
        <v>7</v>
      </c>
      <c r="AD322" s="48" t="s">
        <v>155</v>
      </c>
      <c r="AE322" s="48">
        <v>10</v>
      </c>
      <c r="AF322" s="48" t="s">
        <v>155</v>
      </c>
      <c r="AG322" s="48" t="s">
        <v>155</v>
      </c>
      <c r="AH322" s="48">
        <v>10</v>
      </c>
      <c r="AI322" s="49" t="s">
        <v>155</v>
      </c>
      <c r="AJ322" s="49" t="s">
        <v>155</v>
      </c>
      <c r="AK322" s="49" t="s">
        <v>155</v>
      </c>
      <c r="AL322" s="49" t="s">
        <v>155</v>
      </c>
      <c r="AM322" s="49" t="s">
        <v>155</v>
      </c>
      <c r="AN322" s="50" t="s">
        <v>155</v>
      </c>
    </row>
    <row r="323" spans="1:40" ht="15.75" customHeight="1" x14ac:dyDescent="0.25">
      <c r="A323" s="34">
        <v>2020</v>
      </c>
      <c r="B323" s="35">
        <v>18642</v>
      </c>
      <c r="C323" s="36" t="s">
        <v>487</v>
      </c>
      <c r="D323" s="36" t="s">
        <v>5</v>
      </c>
      <c r="E323" s="36" t="s">
        <v>488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155</v>
      </c>
    </row>
    <row r="324" spans="1:40" ht="15.75" customHeight="1" x14ac:dyDescent="0.25">
      <c r="A324" s="34">
        <v>2020</v>
      </c>
      <c r="B324" s="35">
        <v>18642</v>
      </c>
      <c r="C324" s="36" t="s">
        <v>487</v>
      </c>
      <c r="D324" s="36" t="s">
        <v>31</v>
      </c>
      <c r="E324" s="36" t="s">
        <v>488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155</v>
      </c>
    </row>
    <row r="325" spans="1:40" ht="15.75" customHeight="1" x14ac:dyDescent="0.25">
      <c r="A325" s="34">
        <v>2020</v>
      </c>
      <c r="B325" s="35">
        <v>18642</v>
      </c>
      <c r="C325" s="36" t="s">
        <v>487</v>
      </c>
      <c r="D325" s="36" t="s">
        <v>50</v>
      </c>
      <c r="E325" s="36" t="s">
        <v>488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155</v>
      </c>
    </row>
    <row r="326" spans="1:40" ht="15.75" customHeight="1" x14ac:dyDescent="0.25">
      <c r="A326" s="34">
        <v>2020</v>
      </c>
      <c r="B326" s="35">
        <v>18642</v>
      </c>
      <c r="C326" s="36" t="s">
        <v>487</v>
      </c>
      <c r="D326" s="36" t="s">
        <v>69</v>
      </c>
      <c r="E326" s="36" t="s">
        <v>488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155</v>
      </c>
    </row>
    <row r="327" spans="1:40" ht="15.75" customHeight="1" x14ac:dyDescent="0.25">
      <c r="A327" s="34">
        <v>2020</v>
      </c>
      <c r="B327" s="35">
        <v>18642</v>
      </c>
      <c r="C327" s="36" t="s">
        <v>487</v>
      </c>
      <c r="D327" s="36" t="s">
        <v>92</v>
      </c>
      <c r="E327" s="36" t="s">
        <v>488</v>
      </c>
      <c r="F327" s="14" t="str">
        <f t="shared" ref="F327:F395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155</v>
      </c>
    </row>
    <row r="328" spans="1:40" ht="15.75" customHeight="1" x14ac:dyDescent="0.25">
      <c r="A328" s="34">
        <v>2020</v>
      </c>
      <c r="B328" s="35">
        <v>18642</v>
      </c>
      <c r="C328" s="36" t="s">
        <v>487</v>
      </c>
      <c r="D328" s="36" t="s">
        <v>110</v>
      </c>
      <c r="E328" s="36" t="s">
        <v>488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155</v>
      </c>
    </row>
    <row r="329" spans="1:40" ht="15.75" customHeight="1" x14ac:dyDescent="0.25">
      <c r="A329" s="34">
        <v>2020</v>
      </c>
      <c r="B329" s="35">
        <v>18642</v>
      </c>
      <c r="C329" s="36" t="s">
        <v>487</v>
      </c>
      <c r="D329" s="36" t="s">
        <v>118</v>
      </c>
      <c r="E329" s="36" t="s">
        <v>488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155</v>
      </c>
    </row>
    <row r="330" spans="1:40" ht="15.75" customHeight="1" x14ac:dyDescent="0.25">
      <c r="A330" s="34">
        <v>2020</v>
      </c>
      <c r="B330" s="35">
        <v>18997</v>
      </c>
      <c r="C330" s="36" t="s">
        <v>489</v>
      </c>
      <c r="D330" s="36" t="s">
        <v>96</v>
      </c>
      <c r="E330" s="36" t="s">
        <v>167</v>
      </c>
      <c r="F330" s="14" t="str">
        <f t="shared" si="20"/>
        <v/>
      </c>
      <c r="G330" s="14" t="str">
        <f t="shared" ref="G330:G395" si="21">IFERROR(SUM(AE330,AJ330)*10^3/U330,"")</f>
        <v/>
      </c>
      <c r="H330" s="14">
        <f t="shared" ref="H330:H395" si="22">IFERROR(SUM(AF330,AK330)*10^3/V330,"")</f>
        <v>51272.476038669345</v>
      </c>
      <c r="I330" s="14" t="str">
        <f t="shared" ref="I330:I395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155</v>
      </c>
    </row>
    <row r="331" spans="1:40" ht="15.75" customHeight="1" x14ac:dyDescent="0.25">
      <c r="A331" s="34">
        <v>2020</v>
      </c>
      <c r="B331" s="35">
        <v>19126</v>
      </c>
      <c r="C331" s="36" t="s">
        <v>490</v>
      </c>
      <c r="D331" s="36" t="s">
        <v>112</v>
      </c>
      <c r="E331" s="36" t="s">
        <v>180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25">
      <c r="A332" s="34">
        <v>2020</v>
      </c>
      <c r="B332" s="35">
        <v>19157</v>
      </c>
      <c r="C332" s="36" t="s">
        <v>491</v>
      </c>
      <c r="D332" s="36" t="s">
        <v>44</v>
      </c>
      <c r="E332" s="36" t="s">
        <v>154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155</v>
      </c>
      <c r="M332" s="38" t="s">
        <v>155</v>
      </c>
      <c r="N332" s="38">
        <v>2976</v>
      </c>
      <c r="O332" s="45">
        <v>0</v>
      </c>
      <c r="P332" s="45">
        <v>0</v>
      </c>
      <c r="Q332" s="45" t="s">
        <v>155</v>
      </c>
      <c r="R332" s="45" t="s">
        <v>155</v>
      </c>
      <c r="S332" s="45">
        <v>0</v>
      </c>
      <c r="T332" s="46">
        <v>1.4019999999999999</v>
      </c>
      <c r="U332" s="46">
        <v>4.7290000000000001</v>
      </c>
      <c r="V332" s="46" t="s">
        <v>155</v>
      </c>
      <c r="W332" s="46" t="s">
        <v>155</v>
      </c>
      <c r="X332" s="46">
        <v>6.1310000000000002</v>
      </c>
      <c r="Y332" s="47">
        <v>1.258</v>
      </c>
      <c r="Z332" s="47">
        <v>4.2439999999999998</v>
      </c>
      <c r="AA332" s="47" t="s">
        <v>155</v>
      </c>
      <c r="AB332" s="47" t="s">
        <v>155</v>
      </c>
      <c r="AC332" s="47">
        <v>5.5019999999999998</v>
      </c>
      <c r="AD332" s="48">
        <v>232.67599999999999</v>
      </c>
      <c r="AE332" s="48">
        <v>15.327999999999999</v>
      </c>
      <c r="AF332" s="48" t="s">
        <v>155</v>
      </c>
      <c r="AG332" s="48" t="s">
        <v>155</v>
      </c>
      <c r="AH332" s="48">
        <v>248.00399999999999</v>
      </c>
      <c r="AI332" s="49">
        <v>150.51900000000001</v>
      </c>
      <c r="AJ332" s="49">
        <v>9.81</v>
      </c>
      <c r="AK332" s="49" t="s">
        <v>155</v>
      </c>
      <c r="AL332" s="49" t="s">
        <v>155</v>
      </c>
      <c r="AM332" s="49">
        <v>160.32900000000001</v>
      </c>
      <c r="AN332" s="50">
        <v>47</v>
      </c>
    </row>
    <row r="333" spans="1:40" ht="15.75" customHeight="1" x14ac:dyDescent="0.25">
      <c r="A333" s="34">
        <v>2020</v>
      </c>
      <c r="B333" s="35">
        <v>19157</v>
      </c>
      <c r="C333" s="36" t="s">
        <v>491</v>
      </c>
      <c r="D333" s="36" t="s">
        <v>66</v>
      </c>
      <c r="E333" s="36" t="s">
        <v>154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155</v>
      </c>
      <c r="M333" s="38" t="s">
        <v>155</v>
      </c>
      <c r="N333" s="38">
        <v>6730</v>
      </c>
      <c r="O333" s="45">
        <v>0</v>
      </c>
      <c r="P333" s="45">
        <v>0</v>
      </c>
      <c r="Q333" s="45" t="s">
        <v>155</v>
      </c>
      <c r="R333" s="45" t="s">
        <v>155</v>
      </c>
      <c r="S333" s="45">
        <v>0</v>
      </c>
      <c r="T333" s="46">
        <v>3.17</v>
      </c>
      <c r="U333" s="46">
        <v>10.696999999999999</v>
      </c>
      <c r="V333" s="46" t="s">
        <v>155</v>
      </c>
      <c r="W333" s="46" t="s">
        <v>155</v>
      </c>
      <c r="X333" s="46">
        <v>13.867000000000001</v>
      </c>
      <c r="Y333" s="47">
        <v>2.8450000000000002</v>
      </c>
      <c r="Z333" s="47">
        <v>9.5990000000000002</v>
      </c>
      <c r="AA333" s="47" t="s">
        <v>155</v>
      </c>
      <c r="AB333" s="47" t="s">
        <v>155</v>
      </c>
      <c r="AC333" s="47">
        <v>12.444000000000001</v>
      </c>
      <c r="AD333" s="48">
        <v>526.32399999999996</v>
      </c>
      <c r="AE333" s="48">
        <v>34.671999999999997</v>
      </c>
      <c r="AF333" s="48" t="s">
        <v>155</v>
      </c>
      <c r="AG333" s="48" t="s">
        <v>155</v>
      </c>
      <c r="AH333" s="48">
        <v>560.99599999999998</v>
      </c>
      <c r="AI333" s="49">
        <v>340.48099999999999</v>
      </c>
      <c r="AJ333" s="49">
        <v>22.19</v>
      </c>
      <c r="AK333" s="49" t="s">
        <v>155</v>
      </c>
      <c r="AL333" s="49" t="s">
        <v>155</v>
      </c>
      <c r="AM333" s="49">
        <v>362.67099999999999</v>
      </c>
      <c r="AN333" s="50">
        <v>124</v>
      </c>
    </row>
    <row r="334" spans="1:40" ht="15.75" customHeight="1" x14ac:dyDescent="0.25">
      <c r="A334" s="34">
        <v>2020</v>
      </c>
      <c r="B334" s="35">
        <v>19160</v>
      </c>
      <c r="C334" s="36" t="s">
        <v>492</v>
      </c>
      <c r="D334" s="36" t="s">
        <v>98</v>
      </c>
      <c r="E334" s="36" t="s">
        <v>175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155</v>
      </c>
      <c r="K334" s="38" t="s">
        <v>155</v>
      </c>
      <c r="L334" s="38">
        <v>13</v>
      </c>
      <c r="M334" s="38" t="s">
        <v>155</v>
      </c>
      <c r="N334" s="38">
        <v>13</v>
      </c>
      <c r="O334" s="45" t="s">
        <v>155</v>
      </c>
      <c r="P334" s="45" t="s">
        <v>155</v>
      </c>
      <c r="Q334" s="45">
        <v>257</v>
      </c>
      <c r="R334" s="45" t="s">
        <v>155</v>
      </c>
      <c r="S334" s="45">
        <v>257</v>
      </c>
      <c r="T334" s="46" t="s">
        <v>155</v>
      </c>
      <c r="U334" s="46" t="s">
        <v>155</v>
      </c>
      <c r="V334" s="46">
        <v>0.70499999999999996</v>
      </c>
      <c r="W334" s="46" t="s">
        <v>155</v>
      </c>
      <c r="X334" s="46">
        <v>0.70499999999999996</v>
      </c>
      <c r="Y334" s="47" t="s">
        <v>155</v>
      </c>
      <c r="Z334" s="47" t="s">
        <v>155</v>
      </c>
      <c r="AA334" s="47">
        <v>0.66800000000000004</v>
      </c>
      <c r="AB334" s="47" t="s">
        <v>155</v>
      </c>
      <c r="AC334" s="47">
        <v>0.66800000000000004</v>
      </c>
      <c r="AD334" s="48" t="s">
        <v>155</v>
      </c>
      <c r="AE334" s="48" t="s">
        <v>155</v>
      </c>
      <c r="AF334" s="48">
        <v>4.03</v>
      </c>
      <c r="AG334" s="48" t="s">
        <v>155</v>
      </c>
      <c r="AH334" s="48">
        <v>4.03</v>
      </c>
      <c r="AI334" s="49" t="s">
        <v>155</v>
      </c>
      <c r="AJ334" s="49" t="s">
        <v>155</v>
      </c>
      <c r="AK334" s="49">
        <v>1.5</v>
      </c>
      <c r="AL334" s="49" t="s">
        <v>155</v>
      </c>
      <c r="AM334" s="49">
        <v>1.5</v>
      </c>
      <c r="AN334" s="50" t="s">
        <v>155</v>
      </c>
    </row>
    <row r="335" spans="1:40" ht="15.75" customHeight="1" x14ac:dyDescent="0.25">
      <c r="A335" s="34">
        <v>2020</v>
      </c>
      <c r="B335" s="35">
        <v>19189</v>
      </c>
      <c r="C335" s="36" t="s">
        <v>493</v>
      </c>
      <c r="D335" s="36" t="s">
        <v>11</v>
      </c>
      <c r="E335" s="36" t="s">
        <v>477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155</v>
      </c>
      <c r="K335" s="38">
        <v>19</v>
      </c>
      <c r="L335" s="38">
        <v>2</v>
      </c>
      <c r="M335" s="38" t="s">
        <v>155</v>
      </c>
      <c r="N335" s="38">
        <v>21</v>
      </c>
      <c r="O335" s="45" t="s">
        <v>155</v>
      </c>
      <c r="P335" s="45" t="s">
        <v>155</v>
      </c>
      <c r="Q335" s="45" t="s">
        <v>155</v>
      </c>
      <c r="R335" s="45" t="s">
        <v>155</v>
      </c>
      <c r="S335" s="45" t="s">
        <v>155</v>
      </c>
      <c r="T335" s="46" t="s">
        <v>155</v>
      </c>
      <c r="U335" s="46">
        <v>1.2</v>
      </c>
      <c r="V335" s="46">
        <v>2.5999999999999999E-2</v>
      </c>
      <c r="W335" s="46" t="s">
        <v>155</v>
      </c>
      <c r="X335" s="46">
        <v>1.226</v>
      </c>
      <c r="Y335" s="47" t="s">
        <v>155</v>
      </c>
      <c r="Z335" s="47">
        <v>5.2999999999999999E-2</v>
      </c>
      <c r="AA335" s="47">
        <v>2.3E-2</v>
      </c>
      <c r="AB335" s="47" t="s">
        <v>155</v>
      </c>
      <c r="AC335" s="47">
        <v>7.5999999999999998E-2</v>
      </c>
      <c r="AD335" s="48" t="s">
        <v>155</v>
      </c>
      <c r="AE335" s="48" t="s">
        <v>155</v>
      </c>
      <c r="AF335" s="48" t="s">
        <v>155</v>
      </c>
      <c r="AG335" s="48" t="s">
        <v>155</v>
      </c>
      <c r="AH335" s="48" t="s">
        <v>155</v>
      </c>
      <c r="AI335" s="49" t="s">
        <v>155</v>
      </c>
      <c r="AJ335" s="49" t="s">
        <v>155</v>
      </c>
      <c r="AK335" s="49" t="s">
        <v>155</v>
      </c>
      <c r="AL335" s="49" t="s">
        <v>155</v>
      </c>
      <c r="AM335" s="49" t="s">
        <v>155</v>
      </c>
      <c r="AN335" s="50" t="s">
        <v>155</v>
      </c>
    </row>
    <row r="336" spans="1:40" ht="15.75" customHeight="1" x14ac:dyDescent="0.25">
      <c r="A336" s="34">
        <v>2020</v>
      </c>
      <c r="B336" s="35">
        <v>19327</v>
      </c>
      <c r="C336" s="36" t="s">
        <v>494</v>
      </c>
      <c r="D336" s="36" t="s">
        <v>112</v>
      </c>
      <c r="E336" s="36" t="s">
        <v>180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155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25">
      <c r="A337" s="34">
        <v>2020</v>
      </c>
      <c r="B337" s="35">
        <v>19396</v>
      </c>
      <c r="C337" s="36" t="s">
        <v>495</v>
      </c>
      <c r="D337" s="36" t="s">
        <v>63</v>
      </c>
      <c r="E337" s="36" t="s">
        <v>154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155</v>
      </c>
      <c r="L337" s="38" t="s">
        <v>155</v>
      </c>
      <c r="M337" s="38" t="s">
        <v>155</v>
      </c>
      <c r="N337" s="38">
        <v>6010</v>
      </c>
      <c r="O337" s="45">
        <v>0</v>
      </c>
      <c r="P337" s="45" t="s">
        <v>155</v>
      </c>
      <c r="Q337" s="45" t="s">
        <v>155</v>
      </c>
      <c r="R337" s="45" t="s">
        <v>155</v>
      </c>
      <c r="S337" s="45">
        <v>0</v>
      </c>
      <c r="T337" s="46">
        <v>25.3</v>
      </c>
      <c r="U337" s="46" t="s">
        <v>155</v>
      </c>
      <c r="V337" s="46" t="s">
        <v>155</v>
      </c>
      <c r="W337" s="46" t="s">
        <v>155</v>
      </c>
      <c r="X337" s="46">
        <v>25.3</v>
      </c>
      <c r="Y337" s="47">
        <v>14</v>
      </c>
      <c r="Z337" s="47" t="s">
        <v>155</v>
      </c>
      <c r="AA337" s="47" t="s">
        <v>155</v>
      </c>
      <c r="AB337" s="47" t="s">
        <v>155</v>
      </c>
      <c r="AC337" s="47">
        <v>14</v>
      </c>
      <c r="AD337" s="48">
        <v>524.48</v>
      </c>
      <c r="AE337" s="48" t="s">
        <v>155</v>
      </c>
      <c r="AF337" s="48" t="s">
        <v>155</v>
      </c>
      <c r="AG337" s="48" t="s">
        <v>155</v>
      </c>
      <c r="AH337" s="48">
        <v>524.48</v>
      </c>
      <c r="AI337" s="49">
        <v>0</v>
      </c>
      <c r="AJ337" s="49" t="s">
        <v>155</v>
      </c>
      <c r="AK337" s="49" t="s">
        <v>155</v>
      </c>
      <c r="AL337" s="49" t="s">
        <v>155</v>
      </c>
      <c r="AM337" s="49">
        <v>0</v>
      </c>
      <c r="AN337" s="50">
        <v>28</v>
      </c>
    </row>
    <row r="338" spans="1:40" ht="15.75" customHeight="1" x14ac:dyDescent="0.25">
      <c r="A338" s="34">
        <v>2020</v>
      </c>
      <c r="B338" s="35">
        <v>19436</v>
      </c>
      <c r="C338" s="36" t="s">
        <v>496</v>
      </c>
      <c r="D338" s="36" t="s">
        <v>71</v>
      </c>
      <c r="E338" s="36" t="s">
        <v>154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155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155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155</v>
      </c>
      <c r="X338" s="46">
        <v>89.215999999999994</v>
      </c>
      <c r="Y338" s="47" t="s">
        <v>155</v>
      </c>
      <c r="Z338" s="47" t="s">
        <v>155</v>
      </c>
      <c r="AA338" s="47" t="s">
        <v>155</v>
      </c>
      <c r="AB338" s="47" t="s">
        <v>155</v>
      </c>
      <c r="AC338" s="47" t="s">
        <v>155</v>
      </c>
      <c r="AD338" s="48">
        <v>1050.3499999999999</v>
      </c>
      <c r="AE338" s="48">
        <v>0</v>
      </c>
      <c r="AF338" s="48">
        <v>0</v>
      </c>
      <c r="AG338" s="48" t="s">
        <v>155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155</v>
      </c>
      <c r="AM338" s="49">
        <v>6520.4350000000004</v>
      </c>
      <c r="AN338" s="50" t="s">
        <v>155</v>
      </c>
    </row>
    <row r="339" spans="1:40" ht="15.75" customHeight="1" x14ac:dyDescent="0.25">
      <c r="A339" s="34">
        <v>2020</v>
      </c>
      <c r="B339" s="35">
        <v>19446</v>
      </c>
      <c r="C339" s="36" t="s">
        <v>497</v>
      </c>
      <c r="D339" s="36" t="s">
        <v>50</v>
      </c>
      <c r="E339" s="36" t="s">
        <v>167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155</v>
      </c>
      <c r="M339" s="38" t="s">
        <v>155</v>
      </c>
      <c r="N339" s="38">
        <v>12093</v>
      </c>
      <c r="O339" s="45" t="s">
        <v>155</v>
      </c>
      <c r="P339" s="45" t="s">
        <v>155</v>
      </c>
      <c r="Q339" s="45" t="s">
        <v>155</v>
      </c>
      <c r="R339" s="45" t="s">
        <v>155</v>
      </c>
      <c r="S339" s="45" t="s">
        <v>155</v>
      </c>
      <c r="T339" s="46">
        <v>12.8</v>
      </c>
      <c r="U339" s="46">
        <v>15.44</v>
      </c>
      <c r="V339" s="46" t="s">
        <v>155</v>
      </c>
      <c r="W339" s="46" t="s">
        <v>155</v>
      </c>
      <c r="X339" s="46">
        <v>28.24</v>
      </c>
      <c r="Y339" s="47" t="s">
        <v>155</v>
      </c>
      <c r="Z339" s="47" t="s">
        <v>155</v>
      </c>
      <c r="AA339" s="47" t="s">
        <v>155</v>
      </c>
      <c r="AB339" s="47" t="s">
        <v>155</v>
      </c>
      <c r="AC339" s="47" t="s">
        <v>155</v>
      </c>
      <c r="AD339" s="48">
        <v>185.65600000000001</v>
      </c>
      <c r="AE339" s="48">
        <v>383.18299999999999</v>
      </c>
      <c r="AF339" s="48" t="s">
        <v>155</v>
      </c>
      <c r="AG339" s="48" t="s">
        <v>155</v>
      </c>
      <c r="AH339" s="48">
        <v>568.83900000000006</v>
      </c>
      <c r="AI339" s="49">
        <v>431.74200000000002</v>
      </c>
      <c r="AJ339" s="49">
        <v>191.02799999999999</v>
      </c>
      <c r="AK339" s="49" t="s">
        <v>155</v>
      </c>
      <c r="AL339" s="49" t="s">
        <v>155</v>
      </c>
      <c r="AM339" s="49">
        <v>622.77</v>
      </c>
      <c r="AN339" s="50" t="s">
        <v>155</v>
      </c>
    </row>
    <row r="340" spans="1:40" ht="15.75" customHeight="1" x14ac:dyDescent="0.25">
      <c r="A340" s="34">
        <v>2020</v>
      </c>
      <c r="B340" s="35">
        <v>19490</v>
      </c>
      <c r="C340" s="36" t="s">
        <v>498</v>
      </c>
      <c r="D340" s="36" t="s">
        <v>112</v>
      </c>
      <c r="E340" s="36" t="s">
        <v>180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155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155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155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155</v>
      </c>
      <c r="AC340" s="47">
        <v>4.83</v>
      </c>
      <c r="AD340" s="48">
        <v>96.144999999999996</v>
      </c>
      <c r="AE340" s="48" t="s">
        <v>155</v>
      </c>
      <c r="AF340" s="48" t="s">
        <v>155</v>
      </c>
      <c r="AG340" s="48" t="s">
        <v>155</v>
      </c>
      <c r="AH340" s="48">
        <v>96.144999999999996</v>
      </c>
      <c r="AI340" s="49" t="s">
        <v>155</v>
      </c>
      <c r="AJ340" s="49" t="s">
        <v>155</v>
      </c>
      <c r="AK340" s="49" t="s">
        <v>155</v>
      </c>
      <c r="AL340" s="49" t="s">
        <v>155</v>
      </c>
      <c r="AM340" s="49" t="s">
        <v>155</v>
      </c>
      <c r="AN340" s="50" t="s">
        <v>155</v>
      </c>
    </row>
    <row r="341" spans="1:40" ht="15.75" customHeight="1" x14ac:dyDescent="0.25">
      <c r="A341" s="34">
        <v>2020</v>
      </c>
      <c r="B341" s="35">
        <v>19499</v>
      </c>
      <c r="C341" s="36" t="s">
        <v>499</v>
      </c>
      <c r="D341" s="36" t="s">
        <v>20</v>
      </c>
      <c r="E341" s="36" t="s">
        <v>292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155</v>
      </c>
    </row>
    <row r="342" spans="1:40" ht="15.75" customHeight="1" x14ac:dyDescent="0.25">
      <c r="A342" s="34">
        <v>2020</v>
      </c>
      <c r="B342" s="35">
        <v>19547</v>
      </c>
      <c r="C342" s="36" t="s">
        <v>500</v>
      </c>
      <c r="D342" s="36" t="s">
        <v>34</v>
      </c>
      <c r="E342" s="36" t="s">
        <v>501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155</v>
      </c>
      <c r="M342" s="38" t="s">
        <v>155</v>
      </c>
      <c r="N342" s="38">
        <v>34131</v>
      </c>
      <c r="O342" s="45">
        <v>212.12200000000001</v>
      </c>
      <c r="P342" s="45">
        <v>355.92</v>
      </c>
      <c r="Q342" s="45" t="s">
        <v>155</v>
      </c>
      <c r="R342" s="45" t="s">
        <v>155</v>
      </c>
      <c r="S342" s="45">
        <v>568.04200000000003</v>
      </c>
      <c r="T342" s="46">
        <v>14.813000000000001</v>
      </c>
      <c r="U342" s="46">
        <v>16.2</v>
      </c>
      <c r="V342" s="46" t="s">
        <v>155</v>
      </c>
      <c r="W342" s="46" t="s">
        <v>155</v>
      </c>
      <c r="X342" s="46">
        <v>31.013000000000002</v>
      </c>
      <c r="Y342" s="47" t="s">
        <v>155</v>
      </c>
      <c r="Z342" s="47" t="s">
        <v>155</v>
      </c>
      <c r="AA342" s="47" t="s">
        <v>155</v>
      </c>
      <c r="AB342" s="47" t="s">
        <v>155</v>
      </c>
      <c r="AC342" s="47" t="s">
        <v>155</v>
      </c>
      <c r="AD342" s="48">
        <v>1289.21</v>
      </c>
      <c r="AE342" s="48">
        <v>2004.9590000000001</v>
      </c>
      <c r="AF342" s="48" t="s">
        <v>155</v>
      </c>
      <c r="AG342" s="48" t="s">
        <v>155</v>
      </c>
      <c r="AH342" s="48">
        <v>3294.1689999999999</v>
      </c>
      <c r="AI342" s="49">
        <v>431.90100000000001</v>
      </c>
      <c r="AJ342" s="49">
        <v>652.39400000000001</v>
      </c>
      <c r="AK342" s="49" t="s">
        <v>155</v>
      </c>
      <c r="AL342" s="49" t="s">
        <v>155</v>
      </c>
      <c r="AM342" s="49">
        <v>1084.2950000000001</v>
      </c>
      <c r="AN342" s="50" t="s">
        <v>155</v>
      </c>
    </row>
    <row r="343" spans="1:40" ht="15.75" customHeight="1" x14ac:dyDescent="0.25">
      <c r="A343" s="34">
        <v>2020</v>
      </c>
      <c r="B343" s="35">
        <v>19728</v>
      </c>
      <c r="C343" s="36" t="s">
        <v>502</v>
      </c>
      <c r="D343" s="36" t="s">
        <v>11</v>
      </c>
      <c r="E343" s="36" t="s">
        <v>503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155</v>
      </c>
      <c r="K343" s="38">
        <v>29</v>
      </c>
      <c r="L343" s="38" t="s">
        <v>155</v>
      </c>
      <c r="M343" s="38" t="s">
        <v>155</v>
      </c>
      <c r="N343" s="38">
        <v>29</v>
      </c>
      <c r="O343" s="45" t="s">
        <v>155</v>
      </c>
      <c r="P343" s="45">
        <v>0</v>
      </c>
      <c r="Q343" s="45" t="s">
        <v>155</v>
      </c>
      <c r="R343" s="45" t="s">
        <v>155</v>
      </c>
      <c r="S343" s="45">
        <v>0</v>
      </c>
      <c r="T343" s="46" t="s">
        <v>155</v>
      </c>
      <c r="U343" s="46">
        <v>5.53</v>
      </c>
      <c r="V343" s="46" t="s">
        <v>155</v>
      </c>
      <c r="W343" s="46" t="s">
        <v>155</v>
      </c>
      <c r="X343" s="46">
        <v>5.53</v>
      </c>
      <c r="Y343" s="47" t="s">
        <v>155</v>
      </c>
      <c r="Z343" s="47">
        <v>5.53</v>
      </c>
      <c r="AA343" s="47" t="s">
        <v>155</v>
      </c>
      <c r="AB343" s="47" t="s">
        <v>155</v>
      </c>
      <c r="AC343" s="47">
        <v>5.53</v>
      </c>
      <c r="AD343" s="48" t="s">
        <v>155</v>
      </c>
      <c r="AE343" s="48">
        <v>0</v>
      </c>
      <c r="AF343" s="48" t="s">
        <v>155</v>
      </c>
      <c r="AG343" s="48" t="s">
        <v>155</v>
      </c>
      <c r="AH343" s="48">
        <v>0</v>
      </c>
      <c r="AI343" s="49" t="s">
        <v>155</v>
      </c>
      <c r="AJ343" s="49">
        <v>0.17</v>
      </c>
      <c r="AK343" s="49" t="s">
        <v>155</v>
      </c>
      <c r="AL343" s="49" t="s">
        <v>155</v>
      </c>
      <c r="AM343" s="49">
        <v>0.17</v>
      </c>
      <c r="AN343" s="50" t="s">
        <v>155</v>
      </c>
    </row>
    <row r="344" spans="1:40" ht="15.75" customHeight="1" x14ac:dyDescent="0.25">
      <c r="A344" s="34">
        <v>2020</v>
      </c>
      <c r="B344" s="35">
        <v>19790</v>
      </c>
      <c r="C344" s="36" t="s">
        <v>504</v>
      </c>
      <c r="D344" s="36" t="s">
        <v>94</v>
      </c>
      <c r="E344" s="36" t="s">
        <v>154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155</v>
      </c>
      <c r="P344" s="45" t="s">
        <v>155</v>
      </c>
      <c r="Q344" s="45" t="s">
        <v>155</v>
      </c>
      <c r="R344" s="45" t="s">
        <v>155</v>
      </c>
      <c r="S344" s="45" t="s">
        <v>155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155</v>
      </c>
    </row>
    <row r="345" spans="1:40" ht="15.75" customHeight="1" x14ac:dyDescent="0.25">
      <c r="A345" s="34">
        <v>2020</v>
      </c>
      <c r="B345" s="35">
        <v>19798</v>
      </c>
      <c r="C345" s="36" t="s">
        <v>505</v>
      </c>
      <c r="D345" s="36" t="s">
        <v>17</v>
      </c>
      <c r="E345" s="36" t="s">
        <v>162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155</v>
      </c>
      <c r="K345" s="38" t="s">
        <v>155</v>
      </c>
      <c r="L345" s="38">
        <v>1</v>
      </c>
      <c r="M345" s="38" t="s">
        <v>155</v>
      </c>
      <c r="N345" s="38">
        <v>1</v>
      </c>
      <c r="O345" s="45" t="s">
        <v>155</v>
      </c>
      <c r="P345" s="45" t="s">
        <v>155</v>
      </c>
      <c r="Q345" s="45" t="s">
        <v>155</v>
      </c>
      <c r="R345" s="45" t="s">
        <v>155</v>
      </c>
      <c r="S345" s="45" t="s">
        <v>155</v>
      </c>
      <c r="T345" s="46" t="s">
        <v>155</v>
      </c>
      <c r="U345" s="46" t="s">
        <v>155</v>
      </c>
      <c r="V345" s="46">
        <v>12.65</v>
      </c>
      <c r="W345" s="46" t="s">
        <v>155</v>
      </c>
      <c r="X345" s="46">
        <v>12.65</v>
      </c>
      <c r="Y345" s="47" t="s">
        <v>155</v>
      </c>
      <c r="Z345" s="47" t="s">
        <v>155</v>
      </c>
      <c r="AA345" s="47">
        <v>0</v>
      </c>
      <c r="AB345" s="47" t="s">
        <v>155</v>
      </c>
      <c r="AC345" s="47">
        <v>0</v>
      </c>
      <c r="AD345" s="48" t="s">
        <v>155</v>
      </c>
      <c r="AE345" s="48" t="s">
        <v>155</v>
      </c>
      <c r="AF345" s="48">
        <v>2493.79</v>
      </c>
      <c r="AG345" s="48" t="s">
        <v>155</v>
      </c>
      <c r="AH345" s="48">
        <v>2493.79</v>
      </c>
      <c r="AI345" s="49" t="s">
        <v>155</v>
      </c>
      <c r="AJ345" s="49" t="s">
        <v>155</v>
      </c>
      <c r="AK345" s="49" t="s">
        <v>155</v>
      </c>
      <c r="AL345" s="49" t="s">
        <v>155</v>
      </c>
      <c r="AM345" s="49" t="s">
        <v>155</v>
      </c>
      <c r="AN345" s="50" t="s">
        <v>155</v>
      </c>
    </row>
    <row r="346" spans="1:40" ht="15.75" customHeight="1" x14ac:dyDescent="0.25">
      <c r="A346" s="34">
        <v>2020</v>
      </c>
      <c r="B346" s="35">
        <v>19820</v>
      </c>
      <c r="C346" s="36" t="s">
        <v>506</v>
      </c>
      <c r="D346" s="36" t="s">
        <v>47</v>
      </c>
      <c r="E346" s="36" t="s">
        <v>175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155</v>
      </c>
      <c r="K346" s="38" t="s">
        <v>155</v>
      </c>
      <c r="L346" s="38" t="s">
        <v>155</v>
      </c>
      <c r="M346" s="38" t="s">
        <v>155</v>
      </c>
      <c r="N346" s="38" t="s">
        <v>155</v>
      </c>
      <c r="O346" s="45" t="s">
        <v>155</v>
      </c>
      <c r="P346" s="45" t="s">
        <v>155</v>
      </c>
      <c r="Q346" s="45" t="s">
        <v>155</v>
      </c>
      <c r="R346" s="45" t="s">
        <v>155</v>
      </c>
      <c r="S346" s="45" t="s">
        <v>155</v>
      </c>
      <c r="T346" s="46" t="s">
        <v>155</v>
      </c>
      <c r="U346" s="46" t="s">
        <v>155</v>
      </c>
      <c r="V346" s="46" t="s">
        <v>155</v>
      </c>
      <c r="W346" s="46" t="s">
        <v>155</v>
      </c>
      <c r="X346" s="46" t="s">
        <v>155</v>
      </c>
      <c r="Y346" s="47" t="s">
        <v>155</v>
      </c>
      <c r="Z346" s="47" t="s">
        <v>155</v>
      </c>
      <c r="AA346" s="47" t="s">
        <v>155</v>
      </c>
      <c r="AB346" s="47" t="s">
        <v>155</v>
      </c>
      <c r="AC346" s="47" t="s">
        <v>155</v>
      </c>
      <c r="AD346" s="48" t="s">
        <v>155</v>
      </c>
      <c r="AE346" s="48" t="s">
        <v>155</v>
      </c>
      <c r="AF346" s="48" t="s">
        <v>155</v>
      </c>
      <c r="AG346" s="48" t="s">
        <v>155</v>
      </c>
      <c r="AH346" s="48" t="s">
        <v>155</v>
      </c>
      <c r="AI346" s="49" t="s">
        <v>155</v>
      </c>
      <c r="AJ346" s="49" t="s">
        <v>155</v>
      </c>
      <c r="AK346" s="49" t="s">
        <v>155</v>
      </c>
      <c r="AL346" s="49" t="s">
        <v>155</v>
      </c>
      <c r="AM346" s="49" t="s">
        <v>155</v>
      </c>
      <c r="AN346" s="50" t="s">
        <v>155</v>
      </c>
    </row>
    <row r="347" spans="1:40" ht="15.75" customHeight="1" x14ac:dyDescent="0.25">
      <c r="A347" s="34">
        <v>2020</v>
      </c>
      <c r="B347" s="35">
        <v>19876</v>
      </c>
      <c r="C347" s="36" t="s">
        <v>507</v>
      </c>
      <c r="D347" s="36" t="s">
        <v>92</v>
      </c>
      <c r="E347" s="36" t="s">
        <v>167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155</v>
      </c>
      <c r="L347" s="38" t="s">
        <v>155</v>
      </c>
      <c r="M347" s="38" t="s">
        <v>155</v>
      </c>
      <c r="N347" s="38">
        <v>2789</v>
      </c>
      <c r="O347" s="45">
        <v>0</v>
      </c>
      <c r="P347" s="45" t="s">
        <v>155</v>
      </c>
      <c r="Q347" s="45" t="s">
        <v>155</v>
      </c>
      <c r="R347" s="45" t="s">
        <v>155</v>
      </c>
      <c r="S347" s="45">
        <v>0</v>
      </c>
      <c r="T347" s="46">
        <v>2.2999999999999998</v>
      </c>
      <c r="U347" s="46" t="s">
        <v>155</v>
      </c>
      <c r="V347" s="46" t="s">
        <v>155</v>
      </c>
      <c r="W347" s="46" t="s">
        <v>155</v>
      </c>
      <c r="X347" s="46">
        <v>2.2999999999999998</v>
      </c>
      <c r="Y347" s="47">
        <v>2.2999999999999998</v>
      </c>
      <c r="Z347" s="47" t="s">
        <v>155</v>
      </c>
      <c r="AA347" s="47" t="s">
        <v>155</v>
      </c>
      <c r="AB347" s="47" t="s">
        <v>155</v>
      </c>
      <c r="AC347" s="47">
        <v>2.2999999999999998</v>
      </c>
      <c r="AD347" s="48">
        <v>115</v>
      </c>
      <c r="AE347" s="48" t="s">
        <v>155</v>
      </c>
      <c r="AF347" s="48" t="s">
        <v>155</v>
      </c>
      <c r="AG347" s="48" t="s">
        <v>155</v>
      </c>
      <c r="AH347" s="48">
        <v>115</v>
      </c>
      <c r="AI347" s="49">
        <v>109</v>
      </c>
      <c r="AJ347" s="49" t="s">
        <v>155</v>
      </c>
      <c r="AK347" s="49" t="s">
        <v>155</v>
      </c>
      <c r="AL347" s="49" t="s">
        <v>155</v>
      </c>
      <c r="AM347" s="49">
        <v>109</v>
      </c>
      <c r="AN347" s="50">
        <v>0</v>
      </c>
    </row>
    <row r="348" spans="1:40" ht="15.75" customHeight="1" x14ac:dyDescent="0.25">
      <c r="A348" s="34">
        <v>2020</v>
      </c>
      <c r="B348" s="35">
        <v>19876</v>
      </c>
      <c r="C348" s="36" t="s">
        <v>507</v>
      </c>
      <c r="D348" s="36" t="s">
        <v>118</v>
      </c>
      <c r="E348" s="36" t="s">
        <v>167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155</v>
      </c>
      <c r="M348" s="38" t="s">
        <v>155</v>
      </c>
      <c r="N348" s="38">
        <v>68484</v>
      </c>
      <c r="O348" s="45">
        <v>0</v>
      </c>
      <c r="P348" s="45">
        <v>0</v>
      </c>
      <c r="Q348" s="45" t="s">
        <v>155</v>
      </c>
      <c r="R348" s="45" t="s">
        <v>155</v>
      </c>
      <c r="S348" s="45">
        <v>0</v>
      </c>
      <c r="T348" s="46">
        <v>55.4</v>
      </c>
      <c r="U348" s="46">
        <v>6.6</v>
      </c>
      <c r="V348" s="46" t="s">
        <v>155</v>
      </c>
      <c r="W348" s="46" t="s">
        <v>155</v>
      </c>
      <c r="X348" s="46">
        <v>62</v>
      </c>
      <c r="Y348" s="47">
        <v>55.4</v>
      </c>
      <c r="Z348" s="47">
        <v>6.6</v>
      </c>
      <c r="AA348" s="47" t="s">
        <v>155</v>
      </c>
      <c r="AB348" s="47" t="s">
        <v>155</v>
      </c>
      <c r="AC348" s="47">
        <v>62</v>
      </c>
      <c r="AD348" s="48">
        <v>2686</v>
      </c>
      <c r="AE348" s="48">
        <v>473</v>
      </c>
      <c r="AF348" s="48" t="s">
        <v>155</v>
      </c>
      <c r="AG348" s="48" t="s">
        <v>155</v>
      </c>
      <c r="AH348" s="48">
        <v>3159</v>
      </c>
      <c r="AI348" s="49">
        <v>2602</v>
      </c>
      <c r="AJ348" s="49">
        <v>98</v>
      </c>
      <c r="AK348" s="49" t="s">
        <v>155</v>
      </c>
      <c r="AL348" s="49" t="s">
        <v>155</v>
      </c>
      <c r="AM348" s="49">
        <v>2700</v>
      </c>
      <c r="AN348" s="50">
        <v>0</v>
      </c>
    </row>
    <row r="349" spans="1:40" ht="15.75" customHeight="1" x14ac:dyDescent="0.25">
      <c r="A349" s="34">
        <v>2020</v>
      </c>
      <c r="B349" s="35">
        <v>19896</v>
      </c>
      <c r="C349" s="36" t="s">
        <v>508</v>
      </c>
      <c r="D349" s="36" t="s">
        <v>108</v>
      </c>
      <c r="E349" s="36" t="s">
        <v>175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155</v>
      </c>
      <c r="K349" s="38" t="s">
        <v>155</v>
      </c>
      <c r="L349" s="38" t="s">
        <v>155</v>
      </c>
      <c r="M349" s="38" t="s">
        <v>155</v>
      </c>
      <c r="N349" s="38" t="s">
        <v>155</v>
      </c>
      <c r="O349" s="45" t="s">
        <v>155</v>
      </c>
      <c r="P349" s="45" t="s">
        <v>155</v>
      </c>
      <c r="Q349" s="45" t="s">
        <v>155</v>
      </c>
      <c r="R349" s="45" t="s">
        <v>155</v>
      </c>
      <c r="S349" s="45" t="s">
        <v>155</v>
      </c>
      <c r="T349" s="46" t="s">
        <v>155</v>
      </c>
      <c r="U349" s="46" t="s">
        <v>155</v>
      </c>
      <c r="V349" s="46" t="s">
        <v>155</v>
      </c>
      <c r="W349" s="46" t="s">
        <v>155</v>
      </c>
      <c r="X349" s="46" t="s">
        <v>155</v>
      </c>
      <c r="Y349" s="47" t="s">
        <v>155</v>
      </c>
      <c r="Z349" s="47" t="s">
        <v>155</v>
      </c>
      <c r="AA349" s="47" t="s">
        <v>155</v>
      </c>
      <c r="AB349" s="47" t="s">
        <v>155</v>
      </c>
      <c r="AC349" s="47" t="s">
        <v>155</v>
      </c>
      <c r="AD349" s="48" t="s">
        <v>155</v>
      </c>
      <c r="AE349" s="48" t="s">
        <v>155</v>
      </c>
      <c r="AF349" s="48" t="s">
        <v>155</v>
      </c>
      <c r="AG349" s="48" t="s">
        <v>155</v>
      </c>
      <c r="AH349" s="48" t="s">
        <v>155</v>
      </c>
      <c r="AI349" s="49" t="s">
        <v>155</v>
      </c>
      <c r="AJ349" s="49" t="s">
        <v>155</v>
      </c>
      <c r="AK349" s="49" t="s">
        <v>155</v>
      </c>
      <c r="AL349" s="49" t="s">
        <v>155</v>
      </c>
      <c r="AM349" s="49" t="s">
        <v>155</v>
      </c>
      <c r="AN349" s="50" t="s">
        <v>155</v>
      </c>
    </row>
    <row r="350" spans="1:40" ht="15.75" customHeight="1" x14ac:dyDescent="0.25">
      <c r="A350" s="34">
        <v>2020</v>
      </c>
      <c r="B350" s="35">
        <v>19951</v>
      </c>
      <c r="C350" s="36" t="s">
        <v>509</v>
      </c>
      <c r="D350" s="36" t="s">
        <v>96</v>
      </c>
      <c r="E350" s="36" t="s">
        <v>167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155</v>
      </c>
      <c r="L350" s="38" t="s">
        <v>155</v>
      </c>
      <c r="M350" s="38" t="s">
        <v>155</v>
      </c>
      <c r="N350" s="38">
        <v>550</v>
      </c>
      <c r="O350" s="45" t="s">
        <v>155</v>
      </c>
      <c r="P350" s="45" t="s">
        <v>155</v>
      </c>
      <c r="Q350" s="45" t="s">
        <v>155</v>
      </c>
      <c r="R350" s="45" t="s">
        <v>155</v>
      </c>
      <c r="S350" s="45" t="s">
        <v>155</v>
      </c>
      <c r="T350" s="46">
        <v>0.5</v>
      </c>
      <c r="U350" s="46" t="s">
        <v>155</v>
      </c>
      <c r="V350" s="46" t="s">
        <v>155</v>
      </c>
      <c r="W350" s="46" t="s">
        <v>155</v>
      </c>
      <c r="X350" s="46">
        <v>0.5</v>
      </c>
      <c r="Y350" s="47" t="s">
        <v>155</v>
      </c>
      <c r="Z350" s="47" t="s">
        <v>155</v>
      </c>
      <c r="AA350" s="47" t="s">
        <v>155</v>
      </c>
      <c r="AB350" s="47" t="s">
        <v>155</v>
      </c>
      <c r="AC350" s="47" t="s">
        <v>155</v>
      </c>
      <c r="AD350" s="48">
        <v>22</v>
      </c>
      <c r="AE350" s="48" t="s">
        <v>155</v>
      </c>
      <c r="AF350" s="48" t="s">
        <v>155</v>
      </c>
      <c r="AG350" s="48" t="s">
        <v>155</v>
      </c>
      <c r="AH350" s="48">
        <v>22</v>
      </c>
      <c r="AI350" s="49">
        <v>52</v>
      </c>
      <c r="AJ350" s="49" t="s">
        <v>155</v>
      </c>
      <c r="AK350" s="49" t="s">
        <v>155</v>
      </c>
      <c r="AL350" s="49" t="s">
        <v>155</v>
      </c>
      <c r="AM350" s="49">
        <v>52</v>
      </c>
      <c r="AN350" s="50" t="s">
        <v>155</v>
      </c>
    </row>
    <row r="351" spans="1:40" ht="15.75" customHeight="1" x14ac:dyDescent="0.25">
      <c r="A351" s="34">
        <v>2020</v>
      </c>
      <c r="B351" s="35">
        <v>19981</v>
      </c>
      <c r="C351" s="36" t="s">
        <v>510</v>
      </c>
      <c r="D351" s="36" t="s">
        <v>92</v>
      </c>
      <c r="E351" s="36" t="s">
        <v>202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155</v>
      </c>
      <c r="K351" s="38">
        <v>5</v>
      </c>
      <c r="L351" s="38">
        <v>1</v>
      </c>
      <c r="M351" s="38" t="s">
        <v>155</v>
      </c>
      <c r="N351" s="38">
        <v>6</v>
      </c>
      <c r="O351" s="45" t="s">
        <v>155</v>
      </c>
      <c r="P351" s="45">
        <v>0.13200000000000001</v>
      </c>
      <c r="Q351" s="45">
        <v>0.317</v>
      </c>
      <c r="R351" s="45" t="s">
        <v>155</v>
      </c>
      <c r="S351" s="45">
        <v>0.44900000000000001</v>
      </c>
      <c r="T351" s="46" t="s">
        <v>155</v>
      </c>
      <c r="U351" s="46">
        <v>2.8450000000000002</v>
      </c>
      <c r="V351" s="46">
        <v>7.4560000000000004</v>
      </c>
      <c r="W351" s="46" t="s">
        <v>155</v>
      </c>
      <c r="X351" s="46">
        <v>10.301</v>
      </c>
      <c r="Y351" s="47" t="s">
        <v>155</v>
      </c>
      <c r="Z351" s="47">
        <v>2.8450000000000002</v>
      </c>
      <c r="AA351" s="47">
        <v>7.4560000000000004</v>
      </c>
      <c r="AB351" s="47" t="s">
        <v>155</v>
      </c>
      <c r="AC351" s="47">
        <v>10.301</v>
      </c>
      <c r="AD351" s="48" t="s">
        <v>155</v>
      </c>
      <c r="AE351" s="48" t="s">
        <v>155</v>
      </c>
      <c r="AF351" s="48" t="s">
        <v>155</v>
      </c>
      <c r="AG351" s="48" t="s">
        <v>155</v>
      </c>
      <c r="AH351" s="48" t="s">
        <v>155</v>
      </c>
      <c r="AI351" s="49" t="s">
        <v>155</v>
      </c>
      <c r="AJ351" s="49" t="s">
        <v>155</v>
      </c>
      <c r="AK351" s="49" t="s">
        <v>155</v>
      </c>
      <c r="AL351" s="49" t="s">
        <v>155</v>
      </c>
      <c r="AM351" s="49" t="s">
        <v>155</v>
      </c>
      <c r="AN351" s="50" t="s">
        <v>155</v>
      </c>
    </row>
    <row r="352" spans="1:40" ht="15.75" customHeight="1" x14ac:dyDescent="0.25">
      <c r="A352" s="34">
        <v>2020</v>
      </c>
      <c r="B352" s="35">
        <v>20387</v>
      </c>
      <c r="C352" s="36" t="s">
        <v>511</v>
      </c>
      <c r="D352" s="36" t="s">
        <v>102</v>
      </c>
      <c r="E352" s="36" t="s">
        <v>167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155</v>
      </c>
    </row>
    <row r="353" spans="1:40" ht="15.75" customHeight="1" x14ac:dyDescent="0.25">
      <c r="A353" s="34">
        <v>2020</v>
      </c>
      <c r="B353" s="35">
        <v>20401</v>
      </c>
      <c r="C353" s="36" t="s">
        <v>512</v>
      </c>
      <c r="D353" s="36" t="s">
        <v>108</v>
      </c>
      <c r="E353" s="36" t="s">
        <v>175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155</v>
      </c>
      <c r="L353" s="38" t="s">
        <v>155</v>
      </c>
      <c r="M353" s="38" t="s">
        <v>155</v>
      </c>
      <c r="N353" s="38">
        <v>3862</v>
      </c>
      <c r="O353" s="45" t="s">
        <v>155</v>
      </c>
      <c r="P353" s="45" t="s">
        <v>155</v>
      </c>
      <c r="Q353" s="45" t="s">
        <v>155</v>
      </c>
      <c r="R353" s="45" t="s">
        <v>155</v>
      </c>
      <c r="S353" s="45" t="s">
        <v>155</v>
      </c>
      <c r="T353" s="46">
        <v>35.67</v>
      </c>
      <c r="U353" s="46" t="s">
        <v>155</v>
      </c>
      <c r="V353" s="46" t="s">
        <v>155</v>
      </c>
      <c r="W353" s="46" t="s">
        <v>155</v>
      </c>
      <c r="X353" s="46">
        <v>35.67</v>
      </c>
      <c r="Y353" s="47">
        <v>23.49</v>
      </c>
      <c r="Z353" s="47" t="s">
        <v>155</v>
      </c>
      <c r="AA353" s="47" t="s">
        <v>155</v>
      </c>
      <c r="AB353" s="47" t="s">
        <v>155</v>
      </c>
      <c r="AC353" s="47">
        <v>23.49</v>
      </c>
      <c r="AD353" s="48">
        <v>36</v>
      </c>
      <c r="AE353" s="48" t="s">
        <v>155</v>
      </c>
      <c r="AF353" s="48" t="s">
        <v>155</v>
      </c>
      <c r="AG353" s="48" t="s">
        <v>155</v>
      </c>
      <c r="AH353" s="48">
        <v>36</v>
      </c>
      <c r="AI353" s="49">
        <v>57</v>
      </c>
      <c r="AJ353" s="49" t="s">
        <v>155</v>
      </c>
      <c r="AK353" s="49" t="s">
        <v>155</v>
      </c>
      <c r="AL353" s="49" t="s">
        <v>155</v>
      </c>
      <c r="AM353" s="49">
        <v>57</v>
      </c>
      <c r="AN353" s="50" t="s">
        <v>155</v>
      </c>
    </row>
    <row r="354" spans="1:40" ht="15.75" customHeight="1" x14ac:dyDescent="0.25">
      <c r="A354" s="34">
        <v>2020</v>
      </c>
      <c r="B354" s="35">
        <v>20404</v>
      </c>
      <c r="C354" s="36" t="s">
        <v>513</v>
      </c>
      <c r="D354" s="36" t="s">
        <v>112</v>
      </c>
      <c r="E354" s="36" t="s">
        <v>180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155</v>
      </c>
      <c r="K354" s="38" t="s">
        <v>155</v>
      </c>
      <c r="L354" s="38" t="s">
        <v>155</v>
      </c>
      <c r="M354" s="38" t="s">
        <v>155</v>
      </c>
      <c r="N354" s="38" t="s">
        <v>155</v>
      </c>
      <c r="O354" s="45" t="s">
        <v>155</v>
      </c>
      <c r="P354" s="45" t="s">
        <v>155</v>
      </c>
      <c r="Q354" s="45" t="s">
        <v>155</v>
      </c>
      <c r="R354" s="45" t="s">
        <v>155</v>
      </c>
      <c r="S354" s="45" t="s">
        <v>155</v>
      </c>
      <c r="T354" s="46" t="s">
        <v>155</v>
      </c>
      <c r="U354" s="46" t="s">
        <v>155</v>
      </c>
      <c r="V354" s="46" t="s">
        <v>155</v>
      </c>
      <c r="W354" s="46" t="s">
        <v>155</v>
      </c>
      <c r="X354" s="46" t="s">
        <v>155</v>
      </c>
      <c r="Y354" s="47" t="s">
        <v>155</v>
      </c>
      <c r="Z354" s="47" t="s">
        <v>155</v>
      </c>
      <c r="AA354" s="47" t="s">
        <v>155</v>
      </c>
      <c r="AB354" s="47" t="s">
        <v>155</v>
      </c>
      <c r="AC354" s="47" t="s">
        <v>155</v>
      </c>
      <c r="AD354" s="48" t="s">
        <v>155</v>
      </c>
      <c r="AE354" s="48" t="s">
        <v>155</v>
      </c>
      <c r="AF354" s="48" t="s">
        <v>155</v>
      </c>
      <c r="AG354" s="48" t="s">
        <v>155</v>
      </c>
      <c r="AH354" s="48" t="s">
        <v>155</v>
      </c>
      <c r="AI354" s="49" t="s">
        <v>155</v>
      </c>
      <c r="AJ354" s="49" t="s">
        <v>155</v>
      </c>
      <c r="AK354" s="49" t="s">
        <v>155</v>
      </c>
      <c r="AL354" s="49" t="s">
        <v>155</v>
      </c>
      <c r="AM354" s="49" t="s">
        <v>155</v>
      </c>
      <c r="AN354" s="50" t="s">
        <v>155</v>
      </c>
    </row>
    <row r="355" spans="1:40" ht="15.75" customHeight="1" x14ac:dyDescent="0.25">
      <c r="A355" s="34">
        <v>2020</v>
      </c>
      <c r="B355" s="35">
        <v>20472</v>
      </c>
      <c r="C355" s="36" t="s">
        <v>514</v>
      </c>
      <c r="D355" s="36" t="s">
        <v>112</v>
      </c>
      <c r="E355" s="36" t="s">
        <v>180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155</v>
      </c>
      <c r="N355" s="38">
        <v>845</v>
      </c>
      <c r="O355" s="45" t="s">
        <v>155</v>
      </c>
      <c r="P355" s="45" t="s">
        <v>155</v>
      </c>
      <c r="Q355" s="45" t="s">
        <v>155</v>
      </c>
      <c r="R355" s="45" t="s">
        <v>155</v>
      </c>
      <c r="S355" s="45" t="s">
        <v>155</v>
      </c>
      <c r="T355" s="46">
        <v>2.8570000000000002</v>
      </c>
      <c r="U355" s="46">
        <v>9.6999999999999993</v>
      </c>
      <c r="V355" s="46">
        <v>14.9</v>
      </c>
      <c r="W355" s="46" t="s">
        <v>155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155</v>
      </c>
      <c r="AC355" s="47">
        <v>17.356999999999999</v>
      </c>
      <c r="AD355" s="48">
        <v>158</v>
      </c>
      <c r="AE355" s="48">
        <v>120</v>
      </c>
      <c r="AF355" s="48" t="s">
        <v>155</v>
      </c>
      <c r="AG355" s="48" t="s">
        <v>155</v>
      </c>
      <c r="AH355" s="48">
        <v>278</v>
      </c>
      <c r="AI355" s="49">
        <v>73</v>
      </c>
      <c r="AJ355" s="49">
        <v>100</v>
      </c>
      <c r="AK355" s="49" t="s">
        <v>155</v>
      </c>
      <c r="AL355" s="49" t="s">
        <v>155</v>
      </c>
      <c r="AM355" s="49">
        <v>173</v>
      </c>
      <c r="AN355" s="50" t="s">
        <v>155</v>
      </c>
    </row>
    <row r="356" spans="1:40" ht="15.75" customHeight="1" x14ac:dyDescent="0.25">
      <c r="A356" s="34">
        <v>2020</v>
      </c>
      <c r="B356" s="35">
        <v>20477</v>
      </c>
      <c r="C356" s="36" t="s">
        <v>515</v>
      </c>
      <c r="D356" s="36" t="s">
        <v>96</v>
      </c>
      <c r="E356" s="36" t="s">
        <v>167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155</v>
      </c>
      <c r="L356" s="38" t="s">
        <v>155</v>
      </c>
      <c r="M356" s="38" t="s">
        <v>155</v>
      </c>
      <c r="N356" s="38">
        <v>623</v>
      </c>
      <c r="O356" s="45">
        <v>6.9189999999999996</v>
      </c>
      <c r="P356" s="45" t="s">
        <v>155</v>
      </c>
      <c r="Q356" s="45" t="s">
        <v>155</v>
      </c>
      <c r="R356" s="45" t="s">
        <v>155</v>
      </c>
      <c r="S356" s="45">
        <v>6.9189999999999996</v>
      </c>
      <c r="T356" s="46">
        <v>0.96499999999999997</v>
      </c>
      <c r="U356" s="46" t="s">
        <v>155</v>
      </c>
      <c r="V356" s="46" t="s">
        <v>155</v>
      </c>
      <c r="W356" s="46" t="s">
        <v>155</v>
      </c>
      <c r="X356" s="46">
        <v>0.96499999999999997</v>
      </c>
      <c r="Y356" s="47">
        <v>0.77900000000000003</v>
      </c>
      <c r="Z356" s="47" t="s">
        <v>155</v>
      </c>
      <c r="AA356" s="47" t="s">
        <v>155</v>
      </c>
      <c r="AB356" s="47" t="s">
        <v>155</v>
      </c>
      <c r="AC356" s="47">
        <v>0.77900000000000003</v>
      </c>
      <c r="AD356" s="48">
        <v>8.1999999999999993</v>
      </c>
      <c r="AE356" s="48" t="s">
        <v>155</v>
      </c>
      <c r="AF356" s="48" t="s">
        <v>155</v>
      </c>
      <c r="AG356" s="48" t="s">
        <v>155</v>
      </c>
      <c r="AH356" s="48">
        <v>8.1999999999999993</v>
      </c>
      <c r="AI356" s="49">
        <v>14.9</v>
      </c>
      <c r="AJ356" s="49" t="s">
        <v>155</v>
      </c>
      <c r="AK356" s="49" t="s">
        <v>155</v>
      </c>
      <c r="AL356" s="49" t="s">
        <v>155</v>
      </c>
      <c r="AM356" s="49">
        <v>14.9</v>
      </c>
      <c r="AN356" s="50" t="s">
        <v>155</v>
      </c>
    </row>
    <row r="357" spans="1:40" ht="15.75" customHeight="1" x14ac:dyDescent="0.25">
      <c r="A357" s="34">
        <v>2020</v>
      </c>
      <c r="B357" s="35">
        <v>20521</v>
      </c>
      <c r="C357" s="36" t="s">
        <v>516</v>
      </c>
      <c r="D357" s="36" t="s">
        <v>122</v>
      </c>
      <c r="E357" s="36" t="s">
        <v>167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155</v>
      </c>
    </row>
    <row r="358" spans="1:40" ht="15.75" customHeight="1" x14ac:dyDescent="0.25">
      <c r="A358" s="34">
        <v>2020</v>
      </c>
      <c r="B358" s="35">
        <v>20603</v>
      </c>
      <c r="C358" s="36" t="s">
        <v>517</v>
      </c>
      <c r="D358" s="36" t="s">
        <v>41</v>
      </c>
      <c r="E358" s="36" t="s">
        <v>167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155</v>
      </c>
      <c r="L358" s="38" t="s">
        <v>155</v>
      </c>
      <c r="M358" s="38" t="s">
        <v>155</v>
      </c>
      <c r="N358" s="38">
        <v>787</v>
      </c>
      <c r="O358" s="45" t="s">
        <v>155</v>
      </c>
      <c r="P358" s="45" t="s">
        <v>155</v>
      </c>
      <c r="Q358" s="45" t="s">
        <v>155</v>
      </c>
      <c r="R358" s="45" t="s">
        <v>155</v>
      </c>
      <c r="S358" s="45" t="s">
        <v>155</v>
      </c>
      <c r="T358" s="46">
        <v>1.18</v>
      </c>
      <c r="U358" s="46" t="s">
        <v>155</v>
      </c>
      <c r="V358" s="46" t="s">
        <v>155</v>
      </c>
      <c r="W358" s="46" t="s">
        <v>155</v>
      </c>
      <c r="X358" s="46">
        <v>1.18</v>
      </c>
      <c r="Y358" s="47">
        <v>0.25</v>
      </c>
      <c r="Z358" s="47" t="s">
        <v>155</v>
      </c>
      <c r="AA358" s="47" t="s">
        <v>155</v>
      </c>
      <c r="AB358" s="47" t="s">
        <v>155</v>
      </c>
      <c r="AC358" s="47">
        <v>0.25</v>
      </c>
      <c r="AD358" s="48">
        <v>141.70599999999999</v>
      </c>
      <c r="AE358" s="48" t="s">
        <v>155</v>
      </c>
      <c r="AF358" s="48" t="s">
        <v>155</v>
      </c>
      <c r="AG358" s="48" t="s">
        <v>155</v>
      </c>
      <c r="AH358" s="48">
        <v>141.70599999999999</v>
      </c>
      <c r="AI358" s="49">
        <v>84.847999999999999</v>
      </c>
      <c r="AJ358" s="49" t="s">
        <v>155</v>
      </c>
      <c r="AK358" s="49" t="s">
        <v>155</v>
      </c>
      <c r="AL358" s="49" t="s">
        <v>155</v>
      </c>
      <c r="AM358" s="49">
        <v>84.847999999999999</v>
      </c>
      <c r="AN358" s="50" t="s">
        <v>155</v>
      </c>
    </row>
    <row r="359" spans="1:40" ht="15.75" customHeight="1" x14ac:dyDescent="0.25">
      <c r="A359" s="34">
        <v>2020</v>
      </c>
      <c r="B359" s="35">
        <v>20639</v>
      </c>
      <c r="C359" s="36" t="s">
        <v>518</v>
      </c>
      <c r="D359" s="36" t="s">
        <v>66</v>
      </c>
      <c r="E359" s="36" t="s">
        <v>154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155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155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155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155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155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155</v>
      </c>
      <c r="AM359" s="49">
        <v>236.084</v>
      </c>
      <c r="AN359" s="50" t="s">
        <v>155</v>
      </c>
    </row>
    <row r="360" spans="1:40" ht="15.75" customHeight="1" x14ac:dyDescent="0.25">
      <c r="A360" s="34">
        <v>2020</v>
      </c>
      <c r="B360" s="35">
        <v>20737</v>
      </c>
      <c r="C360" s="36" t="s">
        <v>519</v>
      </c>
      <c r="D360" s="36" t="s">
        <v>66</v>
      </c>
      <c r="E360" s="36" t="s">
        <v>154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155</v>
      </c>
      <c r="N360" s="38">
        <v>2324</v>
      </c>
      <c r="O360" s="45">
        <v>2.91</v>
      </c>
      <c r="P360" s="45">
        <v>0.28000000000000003</v>
      </c>
      <c r="Q360" s="45" t="s">
        <v>155</v>
      </c>
      <c r="R360" s="45" t="s">
        <v>155</v>
      </c>
      <c r="S360" s="45">
        <v>3.19</v>
      </c>
      <c r="T360" s="46">
        <v>3.2</v>
      </c>
      <c r="U360" s="46">
        <v>0.3</v>
      </c>
      <c r="V360" s="46" t="s">
        <v>155</v>
      </c>
      <c r="W360" s="46" t="s">
        <v>155</v>
      </c>
      <c r="X360" s="46">
        <v>3.5</v>
      </c>
      <c r="Y360" s="47">
        <v>2.91</v>
      </c>
      <c r="Z360" s="47">
        <v>0.28000000000000003</v>
      </c>
      <c r="AA360" s="47" t="s">
        <v>155</v>
      </c>
      <c r="AB360" s="47" t="s">
        <v>155</v>
      </c>
      <c r="AC360" s="47">
        <v>3.19</v>
      </c>
      <c r="AD360" s="48">
        <v>5.5</v>
      </c>
      <c r="AE360" s="48">
        <v>0.5</v>
      </c>
      <c r="AF360" s="48" t="s">
        <v>155</v>
      </c>
      <c r="AG360" s="48" t="s">
        <v>155</v>
      </c>
      <c r="AH360" s="48">
        <v>6</v>
      </c>
      <c r="AI360" s="49">
        <v>35.6</v>
      </c>
      <c r="AJ360" s="49">
        <v>3.4</v>
      </c>
      <c r="AK360" s="49" t="s">
        <v>155</v>
      </c>
      <c r="AL360" s="49" t="s">
        <v>155</v>
      </c>
      <c r="AM360" s="49">
        <v>39</v>
      </c>
      <c r="AN360" s="50" t="s">
        <v>155</v>
      </c>
    </row>
    <row r="361" spans="1:40" ht="15.75" customHeight="1" x14ac:dyDescent="0.25">
      <c r="A361" s="34">
        <v>2020</v>
      </c>
      <c r="B361" s="35">
        <v>20841</v>
      </c>
      <c r="C361" s="36" t="s">
        <v>520</v>
      </c>
      <c r="D361" s="36" t="s">
        <v>5</v>
      </c>
      <c r="E361" s="36" t="s">
        <v>158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155</v>
      </c>
      <c r="L361" s="38" t="s">
        <v>155</v>
      </c>
      <c r="M361" s="38" t="s">
        <v>155</v>
      </c>
      <c r="N361" s="38">
        <v>3831</v>
      </c>
      <c r="O361" s="45" t="s">
        <v>155</v>
      </c>
      <c r="P361" s="45" t="s">
        <v>155</v>
      </c>
      <c r="Q361" s="45" t="s">
        <v>155</v>
      </c>
      <c r="R361" s="45" t="s">
        <v>155</v>
      </c>
      <c r="S361" s="45" t="s">
        <v>155</v>
      </c>
      <c r="T361" s="46">
        <v>4.6369999999999996</v>
      </c>
      <c r="U361" s="46" t="s">
        <v>155</v>
      </c>
      <c r="V361" s="46" t="s">
        <v>155</v>
      </c>
      <c r="W361" s="46" t="s">
        <v>155</v>
      </c>
      <c r="X361" s="46">
        <v>4.6369999999999996</v>
      </c>
      <c r="Y361" s="47">
        <v>4.6369999999999996</v>
      </c>
      <c r="Z361" s="47" t="s">
        <v>155</v>
      </c>
      <c r="AA361" s="47" t="s">
        <v>155</v>
      </c>
      <c r="AB361" s="47" t="s">
        <v>155</v>
      </c>
      <c r="AC361" s="47">
        <v>4.6369999999999996</v>
      </c>
      <c r="AD361" s="48" t="s">
        <v>155</v>
      </c>
      <c r="AE361" s="48" t="s">
        <v>155</v>
      </c>
      <c r="AF361" s="48" t="s">
        <v>155</v>
      </c>
      <c r="AG361" s="48" t="s">
        <v>155</v>
      </c>
      <c r="AH361" s="48" t="s">
        <v>155</v>
      </c>
      <c r="AI361" s="49">
        <v>137</v>
      </c>
      <c r="AJ361" s="49" t="s">
        <v>155</v>
      </c>
      <c r="AK361" s="49" t="s">
        <v>155</v>
      </c>
      <c r="AL361" s="49" t="s">
        <v>155</v>
      </c>
      <c r="AM361" s="49">
        <v>137</v>
      </c>
      <c r="AN361" s="50" t="s">
        <v>155</v>
      </c>
    </row>
    <row r="362" spans="1:40" ht="15.75" customHeight="1" x14ac:dyDescent="0.25">
      <c r="A362" s="34">
        <v>2020</v>
      </c>
      <c r="B362" s="35">
        <v>20847</v>
      </c>
      <c r="C362" s="36" t="s">
        <v>521</v>
      </c>
      <c r="D362" s="36" t="s">
        <v>124</v>
      </c>
      <c r="E362" s="36" t="s">
        <v>154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155</v>
      </c>
      <c r="K362" s="38">
        <v>29</v>
      </c>
      <c r="L362" s="38">
        <v>59</v>
      </c>
      <c r="M362" s="38" t="s">
        <v>155</v>
      </c>
      <c r="N362" s="38">
        <v>88</v>
      </c>
      <c r="O362" s="45" t="s">
        <v>155</v>
      </c>
      <c r="P362" s="45" t="s">
        <v>155</v>
      </c>
      <c r="Q362" s="45" t="s">
        <v>155</v>
      </c>
      <c r="R362" s="45" t="s">
        <v>155</v>
      </c>
      <c r="S362" s="45" t="s">
        <v>155</v>
      </c>
      <c r="T362" s="46" t="s">
        <v>155</v>
      </c>
      <c r="U362" s="46">
        <v>3.3</v>
      </c>
      <c r="V362" s="46">
        <v>129</v>
      </c>
      <c r="W362" s="46" t="s">
        <v>155</v>
      </c>
      <c r="X362" s="46">
        <v>132.30000000000001</v>
      </c>
      <c r="Y362" s="47" t="s">
        <v>155</v>
      </c>
      <c r="Z362" s="47" t="s">
        <v>155</v>
      </c>
      <c r="AA362" s="47" t="s">
        <v>155</v>
      </c>
      <c r="AB362" s="47" t="s">
        <v>155</v>
      </c>
      <c r="AC362" s="47" t="s">
        <v>155</v>
      </c>
      <c r="AD362" s="48" t="s">
        <v>155</v>
      </c>
      <c r="AE362" s="48" t="s">
        <v>155</v>
      </c>
      <c r="AF362" s="48" t="s">
        <v>155</v>
      </c>
      <c r="AG362" s="48" t="s">
        <v>155</v>
      </c>
      <c r="AH362" s="48" t="s">
        <v>155</v>
      </c>
      <c r="AI362" s="49" t="s">
        <v>155</v>
      </c>
      <c r="AJ362" s="49" t="s">
        <v>155</v>
      </c>
      <c r="AK362" s="49" t="s">
        <v>155</v>
      </c>
      <c r="AL362" s="49" t="s">
        <v>155</v>
      </c>
      <c r="AM362" s="49" t="s">
        <v>155</v>
      </c>
      <c r="AN362" s="50" t="s">
        <v>155</v>
      </c>
    </row>
    <row r="363" spans="1:40" ht="15.75" customHeight="1" x14ac:dyDescent="0.25">
      <c r="A363" s="34">
        <v>2020</v>
      </c>
      <c r="B363" s="35">
        <v>20856</v>
      </c>
      <c r="C363" s="36" t="s">
        <v>522</v>
      </c>
      <c r="D363" s="36" t="s">
        <v>124</v>
      </c>
      <c r="E363" s="36" t="s">
        <v>154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155</v>
      </c>
      <c r="K363" s="38" t="s">
        <v>155</v>
      </c>
      <c r="L363" s="38">
        <v>125</v>
      </c>
      <c r="M363" s="38" t="s">
        <v>155</v>
      </c>
      <c r="N363" s="38">
        <v>125</v>
      </c>
      <c r="O363" s="45" t="s">
        <v>155</v>
      </c>
      <c r="P363" s="45" t="s">
        <v>155</v>
      </c>
      <c r="Q363" s="45" t="s">
        <v>155</v>
      </c>
      <c r="R363" s="45" t="s">
        <v>155</v>
      </c>
      <c r="S363" s="45" t="s">
        <v>155</v>
      </c>
      <c r="T363" s="46" t="s">
        <v>155</v>
      </c>
      <c r="U363" s="46" t="s">
        <v>155</v>
      </c>
      <c r="V363" s="46">
        <v>146.315</v>
      </c>
      <c r="W363" s="46" t="s">
        <v>155</v>
      </c>
      <c r="X363" s="46">
        <v>146.315</v>
      </c>
      <c r="Y363" s="47" t="s">
        <v>155</v>
      </c>
      <c r="Z363" s="47" t="s">
        <v>155</v>
      </c>
      <c r="AA363" s="47" t="s">
        <v>155</v>
      </c>
      <c r="AB363" s="47" t="s">
        <v>155</v>
      </c>
      <c r="AC363" s="47" t="s">
        <v>155</v>
      </c>
      <c r="AD363" s="48" t="s">
        <v>155</v>
      </c>
      <c r="AE363" s="48" t="s">
        <v>155</v>
      </c>
      <c r="AF363" s="48">
        <v>11545.832</v>
      </c>
      <c r="AG363" s="48" t="s">
        <v>155</v>
      </c>
      <c r="AH363" s="48">
        <v>11545.832</v>
      </c>
      <c r="AI363" s="49" t="s">
        <v>155</v>
      </c>
      <c r="AJ363" s="49" t="s">
        <v>155</v>
      </c>
      <c r="AK363" s="49" t="s">
        <v>155</v>
      </c>
      <c r="AL363" s="49" t="s">
        <v>155</v>
      </c>
      <c r="AM363" s="49" t="s">
        <v>155</v>
      </c>
      <c r="AN363" s="50" t="s">
        <v>155</v>
      </c>
    </row>
    <row r="364" spans="1:40" ht="15.75" customHeight="1" x14ac:dyDescent="0.25">
      <c r="A364" s="34">
        <v>2020</v>
      </c>
      <c r="B364" s="35">
        <v>20858</v>
      </c>
      <c r="C364" s="36" t="s">
        <v>523</v>
      </c>
      <c r="D364" s="36" t="s">
        <v>124</v>
      </c>
      <c r="E364" s="36" t="s">
        <v>154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155</v>
      </c>
      <c r="K364" s="38" t="s">
        <v>155</v>
      </c>
      <c r="L364" s="38">
        <v>13</v>
      </c>
      <c r="M364" s="38" t="s">
        <v>155</v>
      </c>
      <c r="N364" s="38">
        <v>13</v>
      </c>
      <c r="O364" s="45" t="s">
        <v>155</v>
      </c>
      <c r="P364" s="45" t="s">
        <v>155</v>
      </c>
      <c r="Q364" s="45" t="s">
        <v>155</v>
      </c>
      <c r="R364" s="45" t="s">
        <v>155</v>
      </c>
      <c r="S364" s="45" t="s">
        <v>155</v>
      </c>
      <c r="T364" s="46" t="s">
        <v>155</v>
      </c>
      <c r="U364" s="46" t="s">
        <v>155</v>
      </c>
      <c r="V364" s="46">
        <v>51.014000000000003</v>
      </c>
      <c r="W364" s="46" t="s">
        <v>155</v>
      </c>
      <c r="X364" s="46">
        <v>51.014000000000003</v>
      </c>
      <c r="Y364" s="47" t="s">
        <v>155</v>
      </c>
      <c r="Z364" s="47" t="s">
        <v>155</v>
      </c>
      <c r="AA364" s="47" t="s">
        <v>155</v>
      </c>
      <c r="AB364" s="47" t="s">
        <v>155</v>
      </c>
      <c r="AC364" s="47" t="s">
        <v>155</v>
      </c>
      <c r="AD364" s="48" t="s">
        <v>155</v>
      </c>
      <c r="AE364" s="48" t="s">
        <v>155</v>
      </c>
      <c r="AF364" s="48">
        <v>2769.7550000000001</v>
      </c>
      <c r="AG364" s="48" t="s">
        <v>155</v>
      </c>
      <c r="AH364" s="48">
        <v>2769.7550000000001</v>
      </c>
      <c r="AI364" s="49" t="s">
        <v>155</v>
      </c>
      <c r="AJ364" s="49" t="s">
        <v>155</v>
      </c>
      <c r="AK364" s="49" t="s">
        <v>155</v>
      </c>
      <c r="AL364" s="49" t="s">
        <v>155</v>
      </c>
      <c r="AM364" s="49" t="s">
        <v>155</v>
      </c>
      <c r="AN364" s="50" t="s">
        <v>155</v>
      </c>
    </row>
    <row r="365" spans="1:40" ht="15.75" customHeight="1" x14ac:dyDescent="0.25">
      <c r="A365" s="34">
        <v>2020</v>
      </c>
      <c r="B365" s="35">
        <v>20860</v>
      </c>
      <c r="C365" s="36" t="s">
        <v>524</v>
      </c>
      <c r="D365" s="36" t="s">
        <v>124</v>
      </c>
      <c r="E365" s="36" t="s">
        <v>154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155</v>
      </c>
      <c r="K365" s="38" t="s">
        <v>155</v>
      </c>
      <c r="L365" s="38" t="s">
        <v>155</v>
      </c>
      <c r="M365" s="38" t="s">
        <v>155</v>
      </c>
      <c r="N365" s="38" t="s">
        <v>155</v>
      </c>
      <c r="O365" s="45" t="s">
        <v>155</v>
      </c>
      <c r="P365" s="45" t="s">
        <v>155</v>
      </c>
      <c r="Q365" s="45" t="s">
        <v>155</v>
      </c>
      <c r="R365" s="45" t="s">
        <v>155</v>
      </c>
      <c r="S365" s="45" t="s">
        <v>155</v>
      </c>
      <c r="T365" s="46" t="s">
        <v>155</v>
      </c>
      <c r="U365" s="46" t="s">
        <v>155</v>
      </c>
      <c r="V365" s="46" t="s">
        <v>155</v>
      </c>
      <c r="W365" s="46" t="s">
        <v>155</v>
      </c>
      <c r="X365" s="46" t="s">
        <v>155</v>
      </c>
      <c r="Y365" s="47" t="s">
        <v>155</v>
      </c>
      <c r="Z365" s="47" t="s">
        <v>155</v>
      </c>
      <c r="AA365" s="47" t="s">
        <v>155</v>
      </c>
      <c r="AB365" s="47" t="s">
        <v>155</v>
      </c>
      <c r="AC365" s="47" t="s">
        <v>155</v>
      </c>
      <c r="AD365" s="48" t="s">
        <v>155</v>
      </c>
      <c r="AE365" s="48" t="s">
        <v>155</v>
      </c>
      <c r="AF365" s="48" t="s">
        <v>155</v>
      </c>
      <c r="AG365" s="48" t="s">
        <v>155</v>
      </c>
      <c r="AH365" s="48" t="s">
        <v>155</v>
      </c>
      <c r="AI365" s="49" t="s">
        <v>155</v>
      </c>
      <c r="AJ365" s="49" t="s">
        <v>155</v>
      </c>
      <c r="AK365" s="49" t="s">
        <v>155</v>
      </c>
      <c r="AL365" s="49" t="s">
        <v>155</v>
      </c>
      <c r="AM365" s="49" t="s">
        <v>155</v>
      </c>
      <c r="AN365" s="50" t="s">
        <v>155</v>
      </c>
    </row>
    <row r="366" spans="1:40" ht="15.75" customHeight="1" x14ac:dyDescent="0.25">
      <c r="A366" s="34">
        <v>2020</v>
      </c>
      <c r="B366" s="35">
        <v>20885</v>
      </c>
      <c r="C366" s="36" t="s">
        <v>525</v>
      </c>
      <c r="D366" s="36" t="s">
        <v>28</v>
      </c>
      <c r="E366" s="36" t="s">
        <v>218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25">
      <c r="A367" s="34">
        <v>2020</v>
      </c>
      <c r="B367" s="35">
        <v>20963</v>
      </c>
      <c r="C367" s="36" t="s">
        <v>526</v>
      </c>
      <c r="D367" s="36" t="s">
        <v>14</v>
      </c>
      <c r="E367" s="36" t="s">
        <v>154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155</v>
      </c>
      <c r="K367" s="38" t="s">
        <v>155</v>
      </c>
      <c r="L367" s="38">
        <v>3200</v>
      </c>
      <c r="M367" s="38" t="s">
        <v>155</v>
      </c>
      <c r="N367" s="38">
        <v>3200</v>
      </c>
      <c r="O367" s="45" t="s">
        <v>155</v>
      </c>
      <c r="P367" s="45" t="s">
        <v>155</v>
      </c>
      <c r="Q367" s="45">
        <v>4000</v>
      </c>
      <c r="R367" s="45" t="s">
        <v>155</v>
      </c>
      <c r="S367" s="45">
        <v>4000</v>
      </c>
      <c r="T367" s="46" t="s">
        <v>155</v>
      </c>
      <c r="U367" s="46" t="s">
        <v>155</v>
      </c>
      <c r="V367" s="46">
        <v>70</v>
      </c>
      <c r="W367" s="46" t="s">
        <v>155</v>
      </c>
      <c r="X367" s="46">
        <v>70</v>
      </c>
      <c r="Y367" s="47" t="s">
        <v>155</v>
      </c>
      <c r="Z367" s="47" t="s">
        <v>155</v>
      </c>
      <c r="AA367" s="47">
        <v>63.5</v>
      </c>
      <c r="AB367" s="47" t="s">
        <v>155</v>
      </c>
      <c r="AC367" s="47">
        <v>63.5</v>
      </c>
      <c r="AD367" s="48" t="s">
        <v>155</v>
      </c>
      <c r="AE367" s="48" t="s">
        <v>155</v>
      </c>
      <c r="AF367" s="48">
        <v>4000</v>
      </c>
      <c r="AG367" s="48" t="s">
        <v>155</v>
      </c>
      <c r="AH367" s="48">
        <v>4000</v>
      </c>
      <c r="AI367" s="49" t="s">
        <v>155</v>
      </c>
      <c r="AJ367" s="49" t="s">
        <v>155</v>
      </c>
      <c r="AK367" s="49">
        <v>50</v>
      </c>
      <c r="AL367" s="49" t="s">
        <v>155</v>
      </c>
      <c r="AM367" s="49">
        <v>50</v>
      </c>
      <c r="AN367" s="50" t="s">
        <v>155</v>
      </c>
    </row>
    <row r="368" spans="1:40" ht="15.75" customHeight="1" x14ac:dyDescent="0.25">
      <c r="A368" s="34">
        <v>2020</v>
      </c>
      <c r="B368" s="35">
        <v>21002</v>
      </c>
      <c r="C368" s="36" t="s">
        <v>527</v>
      </c>
      <c r="D368" s="36" t="s">
        <v>106</v>
      </c>
      <c r="E368" s="36" t="s">
        <v>195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155</v>
      </c>
    </row>
    <row r="369" spans="1:40" ht="15.75" customHeight="1" x14ac:dyDescent="0.25">
      <c r="A369" s="34">
        <v>2020</v>
      </c>
      <c r="B369" s="35">
        <v>21013</v>
      </c>
      <c r="C369" s="36" t="s">
        <v>528</v>
      </c>
      <c r="D369" s="36" t="s">
        <v>66</v>
      </c>
      <c r="E369" s="36" t="s">
        <v>154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155</v>
      </c>
      <c r="L369" s="38" t="s">
        <v>155</v>
      </c>
      <c r="M369" s="38" t="s">
        <v>155</v>
      </c>
      <c r="N369" s="38">
        <v>2331</v>
      </c>
      <c r="O369" s="45" t="s">
        <v>155</v>
      </c>
      <c r="P369" s="45" t="s">
        <v>155</v>
      </c>
      <c r="Q369" s="45" t="s">
        <v>155</v>
      </c>
      <c r="R369" s="45" t="s">
        <v>155</v>
      </c>
      <c r="S369" s="45" t="s">
        <v>155</v>
      </c>
      <c r="T369" s="46">
        <v>6.9930000000000003</v>
      </c>
      <c r="U369" s="46" t="s">
        <v>155</v>
      </c>
      <c r="V369" s="46" t="s">
        <v>155</v>
      </c>
      <c r="W369" s="46" t="s">
        <v>155</v>
      </c>
      <c r="X369" s="46">
        <v>6.9930000000000003</v>
      </c>
      <c r="Y369" s="47">
        <v>2.331</v>
      </c>
      <c r="Z369" s="47" t="s">
        <v>155</v>
      </c>
      <c r="AA369" s="47" t="s">
        <v>155</v>
      </c>
      <c r="AB369" s="47" t="s">
        <v>155</v>
      </c>
      <c r="AC369" s="47">
        <v>2.331</v>
      </c>
      <c r="AD369" s="48" t="s">
        <v>155</v>
      </c>
      <c r="AE369" s="48" t="s">
        <v>155</v>
      </c>
      <c r="AF369" s="48" t="s">
        <v>155</v>
      </c>
      <c r="AG369" s="48" t="s">
        <v>155</v>
      </c>
      <c r="AH369" s="48" t="s">
        <v>155</v>
      </c>
      <c r="AI369" s="49">
        <v>6.9459999999999997</v>
      </c>
      <c r="AJ369" s="49" t="s">
        <v>155</v>
      </c>
      <c r="AK369" s="49" t="s">
        <v>155</v>
      </c>
      <c r="AL369" s="49" t="s">
        <v>155</v>
      </c>
      <c r="AM369" s="49">
        <v>6.9459999999999997</v>
      </c>
      <c r="AN369" s="50" t="s">
        <v>155</v>
      </c>
    </row>
    <row r="370" spans="1:40" ht="15.75" customHeight="1" x14ac:dyDescent="0.25">
      <c r="A370" s="34">
        <v>2020</v>
      </c>
      <c r="B370" s="35">
        <v>21111</v>
      </c>
      <c r="C370" s="36" t="s">
        <v>529</v>
      </c>
      <c r="D370" s="36" t="s">
        <v>77</v>
      </c>
      <c r="E370" s="36" t="s">
        <v>175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155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155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155</v>
      </c>
      <c r="X370" s="46">
        <v>0.111</v>
      </c>
      <c r="Y370" s="47" t="s">
        <v>155</v>
      </c>
      <c r="Z370" s="47" t="s">
        <v>155</v>
      </c>
      <c r="AA370" s="47" t="s">
        <v>155</v>
      </c>
      <c r="AB370" s="47" t="s">
        <v>155</v>
      </c>
      <c r="AC370" s="47" t="s">
        <v>155</v>
      </c>
      <c r="AD370" s="48">
        <v>34.963000000000001</v>
      </c>
      <c r="AE370" s="48">
        <v>21.795000000000002</v>
      </c>
      <c r="AF370" s="48">
        <v>13.42</v>
      </c>
      <c r="AG370" s="48" t="s">
        <v>155</v>
      </c>
      <c r="AH370" s="48">
        <v>70.177999999999997</v>
      </c>
      <c r="AI370" s="49" t="s">
        <v>155</v>
      </c>
      <c r="AJ370" s="49" t="s">
        <v>155</v>
      </c>
      <c r="AK370" s="49" t="s">
        <v>155</v>
      </c>
      <c r="AL370" s="49" t="s">
        <v>155</v>
      </c>
      <c r="AM370" s="49" t="s">
        <v>155</v>
      </c>
      <c r="AN370" s="50" t="s">
        <v>155</v>
      </c>
    </row>
    <row r="371" spans="1:40" ht="15.75" customHeight="1" x14ac:dyDescent="0.25">
      <c r="A371" s="34">
        <v>2020</v>
      </c>
      <c r="B371" s="35">
        <v>21244</v>
      </c>
      <c r="C371" s="36" t="s">
        <v>530</v>
      </c>
      <c r="D371" s="36" t="s">
        <v>118</v>
      </c>
      <c r="E371" s="36" t="s">
        <v>167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155</v>
      </c>
      <c r="L371" s="38" t="s">
        <v>155</v>
      </c>
      <c r="M371" s="38" t="s">
        <v>155</v>
      </c>
      <c r="N371" s="38">
        <v>1285</v>
      </c>
      <c r="O371" s="45">
        <v>4.5359999999999996</v>
      </c>
      <c r="P371" s="45" t="s">
        <v>155</v>
      </c>
      <c r="Q371" s="45" t="s">
        <v>155</v>
      </c>
      <c r="R371" s="45" t="s">
        <v>155</v>
      </c>
      <c r="S371" s="45">
        <v>4.5359999999999996</v>
      </c>
      <c r="T371" s="46">
        <v>4.5369999999999999</v>
      </c>
      <c r="U371" s="46" t="s">
        <v>155</v>
      </c>
      <c r="V371" s="46" t="s">
        <v>155</v>
      </c>
      <c r="W371" s="46" t="s">
        <v>155</v>
      </c>
      <c r="X371" s="46">
        <v>4.5369999999999999</v>
      </c>
      <c r="Y371" s="47">
        <v>4.5359999999999996</v>
      </c>
      <c r="Z371" s="47" t="s">
        <v>155</v>
      </c>
      <c r="AA371" s="47" t="s">
        <v>155</v>
      </c>
      <c r="AB371" s="47" t="s">
        <v>155</v>
      </c>
      <c r="AC371" s="47">
        <v>4.5359999999999996</v>
      </c>
      <c r="AD371" s="48">
        <v>0</v>
      </c>
      <c r="AE371" s="48" t="s">
        <v>155</v>
      </c>
      <c r="AF371" s="48" t="s">
        <v>155</v>
      </c>
      <c r="AG371" s="48" t="s">
        <v>155</v>
      </c>
      <c r="AH371" s="48">
        <v>0</v>
      </c>
      <c r="AI371" s="49">
        <v>13298</v>
      </c>
      <c r="AJ371" s="49" t="s">
        <v>155</v>
      </c>
      <c r="AK371" s="49" t="s">
        <v>155</v>
      </c>
      <c r="AL371" s="49" t="s">
        <v>155</v>
      </c>
      <c r="AM371" s="49">
        <v>13298</v>
      </c>
      <c r="AN371" s="50" t="s">
        <v>155</v>
      </c>
    </row>
    <row r="372" spans="1:40" ht="15.75" customHeight="1" x14ac:dyDescent="0.25">
      <c r="A372" s="34">
        <v>2020</v>
      </c>
      <c r="B372" s="35">
        <v>21554</v>
      </c>
      <c r="C372" s="36" t="s">
        <v>531</v>
      </c>
      <c r="D372" s="36" t="s">
        <v>28</v>
      </c>
      <c r="E372" s="36" t="s">
        <v>218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155</v>
      </c>
      <c r="K372" s="38" t="s">
        <v>155</v>
      </c>
      <c r="L372" s="38" t="s">
        <v>155</v>
      </c>
      <c r="M372" s="38" t="s">
        <v>155</v>
      </c>
      <c r="N372" s="38" t="s">
        <v>155</v>
      </c>
      <c r="O372" s="45" t="s">
        <v>155</v>
      </c>
      <c r="P372" s="45" t="s">
        <v>155</v>
      </c>
      <c r="Q372" s="45" t="s">
        <v>155</v>
      </c>
      <c r="R372" s="45" t="s">
        <v>155</v>
      </c>
      <c r="S372" s="45" t="s">
        <v>155</v>
      </c>
      <c r="T372" s="46" t="s">
        <v>155</v>
      </c>
      <c r="U372" s="46" t="s">
        <v>155</v>
      </c>
      <c r="V372" s="46" t="s">
        <v>155</v>
      </c>
      <c r="W372" s="46" t="s">
        <v>155</v>
      </c>
      <c r="X372" s="46" t="s">
        <v>155</v>
      </c>
      <c r="Y372" s="47" t="s">
        <v>155</v>
      </c>
      <c r="Z372" s="47" t="s">
        <v>155</v>
      </c>
      <c r="AA372" s="47" t="s">
        <v>155</v>
      </c>
      <c r="AB372" s="47" t="s">
        <v>155</v>
      </c>
      <c r="AC372" s="47" t="s">
        <v>155</v>
      </c>
      <c r="AD372" s="48" t="s">
        <v>155</v>
      </c>
      <c r="AE372" s="48" t="s">
        <v>155</v>
      </c>
      <c r="AF372" s="48" t="s">
        <v>155</v>
      </c>
      <c r="AG372" s="48" t="s">
        <v>155</v>
      </c>
      <c r="AH372" s="48" t="s">
        <v>155</v>
      </c>
      <c r="AI372" s="49" t="s">
        <v>155</v>
      </c>
      <c r="AJ372" s="49" t="s">
        <v>155</v>
      </c>
      <c r="AK372" s="49" t="s">
        <v>155</v>
      </c>
      <c r="AL372" s="49" t="s">
        <v>155</v>
      </c>
      <c r="AM372" s="49" t="s">
        <v>155</v>
      </c>
      <c r="AN372" s="50" t="s">
        <v>155</v>
      </c>
    </row>
    <row r="373" spans="1:40" ht="15.75" customHeight="1" x14ac:dyDescent="0.25">
      <c r="A373" s="34">
        <v>2020</v>
      </c>
      <c r="B373" s="35">
        <v>21632</v>
      </c>
      <c r="C373" s="36" t="s">
        <v>532</v>
      </c>
      <c r="D373" s="36" t="s">
        <v>92</v>
      </c>
      <c r="E373" s="36" t="s">
        <v>195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155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155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155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155</v>
      </c>
      <c r="AC373" s="47">
        <v>20</v>
      </c>
      <c r="AD373" s="48">
        <v>33.200000000000003</v>
      </c>
      <c r="AE373" s="48" t="s">
        <v>155</v>
      </c>
      <c r="AF373" s="48" t="s">
        <v>155</v>
      </c>
      <c r="AG373" s="48" t="s">
        <v>155</v>
      </c>
      <c r="AH373" s="48">
        <v>33.200000000000003</v>
      </c>
      <c r="AI373" s="49">
        <v>86.45</v>
      </c>
      <c r="AJ373" s="49" t="s">
        <v>155</v>
      </c>
      <c r="AK373" s="49" t="s">
        <v>155</v>
      </c>
      <c r="AL373" s="49" t="s">
        <v>155</v>
      </c>
      <c r="AM373" s="49">
        <v>86.45</v>
      </c>
      <c r="AN373" s="50" t="s">
        <v>155</v>
      </c>
    </row>
    <row r="374" spans="1:40" ht="15.75" customHeight="1" x14ac:dyDescent="0.25">
      <c r="A374" s="34">
        <v>2020</v>
      </c>
      <c r="B374" s="35">
        <v>22053</v>
      </c>
      <c r="C374" s="36" t="s">
        <v>533</v>
      </c>
      <c r="D374" s="36" t="s">
        <v>50</v>
      </c>
      <c r="E374" s="36" t="s">
        <v>167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25">
      <c r="A375" s="34">
        <v>2020</v>
      </c>
      <c r="B375" s="35">
        <v>22500</v>
      </c>
      <c r="C375" s="36" t="s">
        <v>534</v>
      </c>
      <c r="D375" s="36" t="s">
        <v>47</v>
      </c>
      <c r="E375" s="36" t="s">
        <v>175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155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155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155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155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155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155</v>
      </c>
      <c r="AM375" s="49">
        <v>205.31</v>
      </c>
      <c r="AN375" s="50">
        <v>0</v>
      </c>
    </row>
    <row r="376" spans="1:40" ht="15.75" customHeight="1" x14ac:dyDescent="0.25">
      <c r="A376" s="34">
        <v>2020</v>
      </c>
      <c r="B376" s="35">
        <v>24211</v>
      </c>
      <c r="C376" s="36" t="s">
        <v>535</v>
      </c>
      <c r="D376" s="36" t="s">
        <v>11</v>
      </c>
      <c r="E376" s="36" t="s">
        <v>503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155</v>
      </c>
      <c r="K376" s="38">
        <v>162</v>
      </c>
      <c r="L376" s="38" t="s">
        <v>155</v>
      </c>
      <c r="M376" s="38" t="s">
        <v>155</v>
      </c>
      <c r="N376" s="38">
        <v>162</v>
      </c>
      <c r="O376" s="45" t="s">
        <v>155</v>
      </c>
      <c r="P376" s="45">
        <v>16331.63</v>
      </c>
      <c r="Q376" s="45" t="s">
        <v>155</v>
      </c>
      <c r="R376" s="45" t="s">
        <v>155</v>
      </c>
      <c r="S376" s="45">
        <v>16331.63</v>
      </c>
      <c r="T376" s="46" t="s">
        <v>155</v>
      </c>
      <c r="U376" s="46">
        <v>40.950000000000003</v>
      </c>
      <c r="V376" s="46" t="s">
        <v>155</v>
      </c>
      <c r="W376" s="46" t="s">
        <v>155</v>
      </c>
      <c r="X376" s="46">
        <v>40.950000000000003</v>
      </c>
      <c r="Y376" s="47" t="s">
        <v>155</v>
      </c>
      <c r="Z376" s="47">
        <v>40.950000000000003</v>
      </c>
      <c r="AA376" s="47" t="s">
        <v>155</v>
      </c>
      <c r="AB376" s="47" t="s">
        <v>155</v>
      </c>
      <c r="AC376" s="47">
        <v>40.950000000000003</v>
      </c>
      <c r="AD376" s="48" t="s">
        <v>155</v>
      </c>
      <c r="AE376" s="48">
        <v>157</v>
      </c>
      <c r="AF376" s="48" t="s">
        <v>155</v>
      </c>
      <c r="AG376" s="48" t="s">
        <v>155</v>
      </c>
      <c r="AH376" s="48">
        <v>157</v>
      </c>
      <c r="AI376" s="49" t="s">
        <v>155</v>
      </c>
      <c r="AJ376" s="49">
        <v>20</v>
      </c>
      <c r="AK376" s="49" t="s">
        <v>155</v>
      </c>
      <c r="AL376" s="49" t="s">
        <v>155</v>
      </c>
      <c r="AM376" s="49">
        <v>20</v>
      </c>
      <c r="AN376" s="50" t="s">
        <v>155</v>
      </c>
    </row>
    <row r="377" spans="1:40" ht="15.75" customHeight="1" x14ac:dyDescent="0.25">
      <c r="A377" s="34">
        <v>2020</v>
      </c>
      <c r="B377" s="35">
        <v>24949</v>
      </c>
      <c r="C377" s="36" t="s">
        <v>536</v>
      </c>
      <c r="D377" s="36" t="s">
        <v>94</v>
      </c>
      <c r="E377" s="36" t="s">
        <v>154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155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155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155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155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155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155</v>
      </c>
      <c r="AM377" s="49">
        <v>624.4</v>
      </c>
      <c r="AN377" s="50">
        <v>40</v>
      </c>
    </row>
    <row r="378" spans="1:40" ht="15.75" customHeight="1" x14ac:dyDescent="0.25">
      <c r="A378" s="34">
        <v>2020</v>
      </c>
      <c r="B378" s="35">
        <v>25295</v>
      </c>
      <c r="C378" s="36" t="s">
        <v>537</v>
      </c>
      <c r="D378" s="36" t="s">
        <v>41</v>
      </c>
      <c r="E378" s="36" t="s">
        <v>154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155</v>
      </c>
      <c r="K378" s="38" t="s">
        <v>155</v>
      </c>
      <c r="L378" s="38" t="s">
        <v>155</v>
      </c>
      <c r="M378" s="38" t="s">
        <v>155</v>
      </c>
      <c r="N378" s="38" t="s">
        <v>155</v>
      </c>
      <c r="O378" s="45" t="s">
        <v>155</v>
      </c>
      <c r="P378" s="45" t="s">
        <v>155</v>
      </c>
      <c r="Q378" s="45" t="s">
        <v>155</v>
      </c>
      <c r="R378" s="45" t="s">
        <v>155</v>
      </c>
      <c r="S378" s="45" t="s">
        <v>155</v>
      </c>
      <c r="T378" s="46" t="s">
        <v>155</v>
      </c>
      <c r="U378" s="46" t="s">
        <v>155</v>
      </c>
      <c r="V378" s="46" t="s">
        <v>155</v>
      </c>
      <c r="W378" s="46" t="s">
        <v>155</v>
      </c>
      <c r="X378" s="46" t="s">
        <v>155</v>
      </c>
      <c r="Y378" s="47" t="s">
        <v>155</v>
      </c>
      <c r="Z378" s="47" t="s">
        <v>155</v>
      </c>
      <c r="AA378" s="47" t="s">
        <v>155</v>
      </c>
      <c r="AB378" s="47" t="s">
        <v>155</v>
      </c>
      <c r="AC378" s="47" t="s">
        <v>155</v>
      </c>
      <c r="AD378" s="48" t="s">
        <v>155</v>
      </c>
      <c r="AE378" s="48" t="s">
        <v>155</v>
      </c>
      <c r="AF378" s="48" t="s">
        <v>155</v>
      </c>
      <c r="AG378" s="48" t="s">
        <v>155</v>
      </c>
      <c r="AH378" s="48" t="s">
        <v>155</v>
      </c>
      <c r="AI378" s="49" t="s">
        <v>155</v>
      </c>
      <c r="AJ378" s="49" t="s">
        <v>155</v>
      </c>
      <c r="AK378" s="49" t="s">
        <v>155</v>
      </c>
      <c r="AL378" s="49" t="s">
        <v>155</v>
      </c>
      <c r="AM378" s="49" t="s">
        <v>155</v>
      </c>
      <c r="AN378" s="50" t="s">
        <v>155</v>
      </c>
    </row>
    <row r="379" spans="1:40" ht="15.75" customHeight="1" x14ac:dyDescent="0.25">
      <c r="A379" s="34">
        <v>2020</v>
      </c>
      <c r="B379" s="35">
        <v>30518</v>
      </c>
      <c r="C379" s="36" t="s">
        <v>538</v>
      </c>
      <c r="D379" s="36" t="s">
        <v>11</v>
      </c>
      <c r="E379" s="36" t="s">
        <v>477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155</v>
      </c>
      <c r="K379" s="38" t="s">
        <v>155</v>
      </c>
      <c r="L379" s="38" t="s">
        <v>155</v>
      </c>
      <c r="M379" s="38" t="s">
        <v>155</v>
      </c>
      <c r="N379" s="38" t="s">
        <v>155</v>
      </c>
      <c r="O379" s="45" t="s">
        <v>155</v>
      </c>
      <c r="P379" s="45" t="s">
        <v>155</v>
      </c>
      <c r="Q379" s="45" t="s">
        <v>155</v>
      </c>
      <c r="R379" s="45" t="s">
        <v>155</v>
      </c>
      <c r="S379" s="45" t="s">
        <v>155</v>
      </c>
      <c r="T379" s="46" t="s">
        <v>155</v>
      </c>
      <c r="U379" s="46" t="s">
        <v>155</v>
      </c>
      <c r="V379" s="46" t="s">
        <v>155</v>
      </c>
      <c r="W379" s="46" t="s">
        <v>155</v>
      </c>
      <c r="X379" s="46" t="s">
        <v>155</v>
      </c>
      <c r="Y379" s="47" t="s">
        <v>155</v>
      </c>
      <c r="Z379" s="47" t="s">
        <v>155</v>
      </c>
      <c r="AA379" s="47" t="s">
        <v>155</v>
      </c>
      <c r="AB379" s="47" t="s">
        <v>155</v>
      </c>
      <c r="AC379" s="47" t="s">
        <v>155</v>
      </c>
      <c r="AD379" s="48" t="s">
        <v>155</v>
      </c>
      <c r="AE379" s="48" t="s">
        <v>155</v>
      </c>
      <c r="AF379" s="48" t="s">
        <v>155</v>
      </c>
      <c r="AG379" s="48" t="s">
        <v>155</v>
      </c>
      <c r="AH379" s="48" t="s">
        <v>155</v>
      </c>
      <c r="AI379" s="49" t="s">
        <v>155</v>
      </c>
      <c r="AJ379" s="49" t="s">
        <v>155</v>
      </c>
      <c r="AK379" s="49" t="s">
        <v>155</v>
      </c>
      <c r="AL379" s="49" t="s">
        <v>155</v>
      </c>
      <c r="AM379" s="49" t="s">
        <v>155</v>
      </c>
      <c r="AN379" s="50" t="s">
        <v>155</v>
      </c>
    </row>
    <row r="380" spans="1:40" ht="15.75" customHeight="1" x14ac:dyDescent="0.25">
      <c r="A380" s="34">
        <v>2020</v>
      </c>
      <c r="B380" s="35">
        <v>40051</v>
      </c>
      <c r="C380" s="36" t="s">
        <v>539</v>
      </c>
      <c r="D380" s="36" t="s">
        <v>112</v>
      </c>
      <c r="E380" s="36" t="s">
        <v>180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155</v>
      </c>
      <c r="K380" s="38">
        <v>44</v>
      </c>
      <c r="L380" s="38" t="s">
        <v>155</v>
      </c>
      <c r="M380" s="38" t="s">
        <v>155</v>
      </c>
      <c r="N380" s="38">
        <v>44</v>
      </c>
      <c r="O380" s="45" t="s">
        <v>155</v>
      </c>
      <c r="P380" s="45">
        <v>5.0039999999999996</v>
      </c>
      <c r="Q380" s="45" t="s">
        <v>155</v>
      </c>
      <c r="R380" s="45" t="s">
        <v>155</v>
      </c>
      <c r="S380" s="45">
        <v>5.0039999999999996</v>
      </c>
      <c r="T380" s="46" t="s">
        <v>155</v>
      </c>
      <c r="U380" s="46">
        <v>6.9660000000000002</v>
      </c>
      <c r="V380" s="46" t="s">
        <v>155</v>
      </c>
      <c r="W380" s="46" t="s">
        <v>155</v>
      </c>
      <c r="X380" s="46">
        <v>6.9660000000000002</v>
      </c>
      <c r="Y380" s="47" t="s">
        <v>155</v>
      </c>
      <c r="Z380" s="47">
        <v>5.0039999999999996</v>
      </c>
      <c r="AA380" s="47" t="s">
        <v>155</v>
      </c>
      <c r="AB380" s="47" t="s">
        <v>155</v>
      </c>
      <c r="AC380" s="47">
        <v>5.0039999999999996</v>
      </c>
      <c r="AD380" s="48" t="s">
        <v>155</v>
      </c>
      <c r="AE380" s="48">
        <v>191.05699999999999</v>
      </c>
      <c r="AF380" s="48" t="s">
        <v>155</v>
      </c>
      <c r="AG380" s="48" t="s">
        <v>155</v>
      </c>
      <c r="AH380" s="48">
        <v>191.05699999999999</v>
      </c>
      <c r="AI380" s="49" t="s">
        <v>155</v>
      </c>
      <c r="AJ380" s="49">
        <v>17.937000000000001</v>
      </c>
      <c r="AK380" s="49" t="s">
        <v>155</v>
      </c>
      <c r="AL380" s="49" t="s">
        <v>155</v>
      </c>
      <c r="AM380" s="49">
        <v>17.937000000000001</v>
      </c>
      <c r="AN380" s="50" t="s">
        <v>155</v>
      </c>
    </row>
    <row r="381" spans="1:40" ht="15.75" customHeight="1" x14ac:dyDescent="0.25">
      <c r="A381" s="34">
        <v>2020</v>
      </c>
      <c r="B381" s="35">
        <v>40165</v>
      </c>
      <c r="C381" s="36" t="s">
        <v>540</v>
      </c>
      <c r="D381" s="36" t="s">
        <v>114</v>
      </c>
      <c r="E381" s="36" t="s">
        <v>297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155</v>
      </c>
      <c r="K381" s="38">
        <v>124</v>
      </c>
      <c r="L381" s="38" t="s">
        <v>155</v>
      </c>
      <c r="M381" s="38" t="s">
        <v>155</v>
      </c>
      <c r="N381" s="38">
        <v>124</v>
      </c>
      <c r="O381" s="45" t="s">
        <v>155</v>
      </c>
      <c r="P381" s="45">
        <v>261</v>
      </c>
      <c r="Q381" s="45" t="s">
        <v>155</v>
      </c>
      <c r="R381" s="45" t="s">
        <v>155</v>
      </c>
      <c r="S381" s="45">
        <v>261</v>
      </c>
      <c r="T381" s="46" t="s">
        <v>155</v>
      </c>
      <c r="U381" s="46">
        <v>11.6</v>
      </c>
      <c r="V381" s="46" t="s">
        <v>155</v>
      </c>
      <c r="W381" s="46" t="s">
        <v>155</v>
      </c>
      <c r="X381" s="46">
        <v>11.6</v>
      </c>
      <c r="Y381" s="47" t="s">
        <v>155</v>
      </c>
      <c r="Z381" s="47">
        <v>9.6</v>
      </c>
      <c r="AA381" s="47" t="s">
        <v>155</v>
      </c>
      <c r="AB381" s="47" t="s">
        <v>155</v>
      </c>
      <c r="AC381" s="47">
        <v>9.6</v>
      </c>
      <c r="AD381" s="48" t="s">
        <v>155</v>
      </c>
      <c r="AE381" s="48">
        <v>358</v>
      </c>
      <c r="AF381" s="48" t="s">
        <v>155</v>
      </c>
      <c r="AG381" s="48" t="s">
        <v>155</v>
      </c>
      <c r="AH381" s="48">
        <v>358</v>
      </c>
      <c r="AI381" s="49" t="s">
        <v>155</v>
      </c>
      <c r="AJ381" s="49">
        <v>34</v>
      </c>
      <c r="AK381" s="49" t="s">
        <v>155</v>
      </c>
      <c r="AL381" s="49" t="s">
        <v>155</v>
      </c>
      <c r="AM381" s="49">
        <v>34</v>
      </c>
      <c r="AN381" s="50" t="s">
        <v>155</v>
      </c>
    </row>
    <row r="382" spans="1:40" ht="15.75" customHeight="1" x14ac:dyDescent="0.25">
      <c r="A382" s="34">
        <v>2020</v>
      </c>
      <c r="B382" s="35">
        <v>40211</v>
      </c>
      <c r="C382" s="36" t="s">
        <v>541</v>
      </c>
      <c r="D382" s="36" t="s">
        <v>38</v>
      </c>
      <c r="E382" s="36" t="s">
        <v>154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155</v>
      </c>
      <c r="M382" s="38" t="s">
        <v>155</v>
      </c>
      <c r="N382" s="38">
        <v>4499</v>
      </c>
      <c r="O382" s="45" t="s">
        <v>155</v>
      </c>
      <c r="P382" s="45" t="s">
        <v>155</v>
      </c>
      <c r="Q382" s="45" t="s">
        <v>155</v>
      </c>
      <c r="R382" s="45" t="s">
        <v>155</v>
      </c>
      <c r="S382" s="45" t="s">
        <v>155</v>
      </c>
      <c r="T382" s="46">
        <v>9.1829999999999998</v>
      </c>
      <c r="U382" s="46">
        <v>0.113</v>
      </c>
      <c r="V382" s="46" t="s">
        <v>155</v>
      </c>
      <c r="W382" s="46" t="s">
        <v>155</v>
      </c>
      <c r="X382" s="46">
        <v>9.2959999999999994</v>
      </c>
      <c r="Y382" s="47">
        <v>8.2639999999999993</v>
      </c>
      <c r="Z382" s="47">
        <v>0.10100000000000001</v>
      </c>
      <c r="AA382" s="47" t="s">
        <v>155</v>
      </c>
      <c r="AB382" s="47" t="s">
        <v>155</v>
      </c>
      <c r="AC382" s="47">
        <v>8.3650000000000002</v>
      </c>
      <c r="AD382" s="48">
        <v>501.62799999999999</v>
      </c>
      <c r="AE382" s="48" t="s">
        <v>155</v>
      </c>
      <c r="AF382" s="48" t="s">
        <v>155</v>
      </c>
      <c r="AG382" s="48" t="s">
        <v>155</v>
      </c>
      <c r="AH382" s="48">
        <v>501.62799999999999</v>
      </c>
      <c r="AI382" s="49" t="s">
        <v>155</v>
      </c>
      <c r="AJ382" s="49" t="s">
        <v>155</v>
      </c>
      <c r="AK382" s="49" t="s">
        <v>155</v>
      </c>
      <c r="AL382" s="49" t="s">
        <v>155</v>
      </c>
      <c r="AM382" s="49" t="s">
        <v>155</v>
      </c>
      <c r="AN382" s="50" t="s">
        <v>155</v>
      </c>
    </row>
    <row r="383" spans="1:40" ht="15.75" customHeight="1" x14ac:dyDescent="0.25">
      <c r="A383" s="34">
        <v>2020</v>
      </c>
      <c r="B383" s="35">
        <v>40211</v>
      </c>
      <c r="C383" s="36" t="s">
        <v>541</v>
      </c>
      <c r="D383" s="36" t="s">
        <v>41</v>
      </c>
      <c r="E383" s="36" t="s">
        <v>167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155</v>
      </c>
      <c r="L383" s="38" t="s">
        <v>155</v>
      </c>
      <c r="M383" s="38" t="s">
        <v>155</v>
      </c>
      <c r="N383" s="38">
        <v>86</v>
      </c>
      <c r="O383" s="45" t="s">
        <v>155</v>
      </c>
      <c r="P383" s="45" t="s">
        <v>155</v>
      </c>
      <c r="Q383" s="45" t="s">
        <v>155</v>
      </c>
      <c r="R383" s="45" t="s">
        <v>155</v>
      </c>
      <c r="S383" s="45" t="s">
        <v>155</v>
      </c>
      <c r="T383" s="46">
        <v>3.2189999999999999</v>
      </c>
      <c r="U383" s="46" t="s">
        <v>155</v>
      </c>
      <c r="V383" s="46" t="s">
        <v>155</v>
      </c>
      <c r="W383" s="46" t="s">
        <v>155</v>
      </c>
      <c r="X383" s="46">
        <v>3.2189999999999999</v>
      </c>
      <c r="Y383" s="47">
        <v>2.8969999999999998</v>
      </c>
      <c r="Z383" s="47" t="s">
        <v>155</v>
      </c>
      <c r="AA383" s="47" t="s">
        <v>155</v>
      </c>
      <c r="AB383" s="47" t="s">
        <v>155</v>
      </c>
      <c r="AC383" s="47">
        <v>2.8969999999999998</v>
      </c>
      <c r="AD383" s="48">
        <v>173.726</v>
      </c>
      <c r="AE383" s="48" t="s">
        <v>155</v>
      </c>
      <c r="AF383" s="48" t="s">
        <v>155</v>
      </c>
      <c r="AG383" s="48" t="s">
        <v>155</v>
      </c>
      <c r="AH383" s="48">
        <v>173.726</v>
      </c>
      <c r="AI383" s="49" t="s">
        <v>155</v>
      </c>
      <c r="AJ383" s="49" t="s">
        <v>155</v>
      </c>
      <c r="AK383" s="49" t="s">
        <v>155</v>
      </c>
      <c r="AL383" s="49" t="s">
        <v>155</v>
      </c>
      <c r="AM383" s="49" t="s">
        <v>155</v>
      </c>
      <c r="AN383" s="50" t="s">
        <v>155</v>
      </c>
    </row>
    <row r="384" spans="1:40" ht="15.75" customHeight="1" x14ac:dyDescent="0.25">
      <c r="A384" s="34">
        <v>2020</v>
      </c>
      <c r="B384" s="35">
        <v>40211</v>
      </c>
      <c r="C384" s="36" t="s">
        <v>541</v>
      </c>
      <c r="D384" s="36" t="s">
        <v>41</v>
      </c>
      <c r="E384" s="36" t="s">
        <v>154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155</v>
      </c>
      <c r="M384" s="38" t="s">
        <v>155</v>
      </c>
      <c r="N384" s="38">
        <v>21090</v>
      </c>
      <c r="O384" s="45" t="s">
        <v>155</v>
      </c>
      <c r="P384" s="45" t="s">
        <v>155</v>
      </c>
      <c r="Q384" s="45" t="s">
        <v>155</v>
      </c>
      <c r="R384" s="45" t="s">
        <v>155</v>
      </c>
      <c r="S384" s="45" t="s">
        <v>155</v>
      </c>
      <c r="T384" s="46">
        <v>43.524000000000001</v>
      </c>
      <c r="U384" s="46">
        <v>7.9039999999999999</v>
      </c>
      <c r="V384" s="46" t="s">
        <v>155</v>
      </c>
      <c r="W384" s="46" t="s">
        <v>155</v>
      </c>
      <c r="X384" s="46">
        <v>51.427999999999997</v>
      </c>
      <c r="Y384" s="47">
        <v>39.170999999999999</v>
      </c>
      <c r="Z384" s="47">
        <v>7.1130000000000004</v>
      </c>
      <c r="AA384" s="47" t="s">
        <v>155</v>
      </c>
      <c r="AB384" s="47" t="s">
        <v>155</v>
      </c>
      <c r="AC384" s="47">
        <v>46.283999999999999</v>
      </c>
      <c r="AD384" s="48">
        <v>2774.567</v>
      </c>
      <c r="AE384" s="48" t="s">
        <v>155</v>
      </c>
      <c r="AF384" s="48" t="s">
        <v>155</v>
      </c>
      <c r="AG384" s="48" t="s">
        <v>155</v>
      </c>
      <c r="AH384" s="48">
        <v>2774.567</v>
      </c>
      <c r="AI384" s="49" t="s">
        <v>155</v>
      </c>
      <c r="AJ384" s="49" t="s">
        <v>155</v>
      </c>
      <c r="AK384" s="49" t="s">
        <v>155</v>
      </c>
      <c r="AL384" s="49" t="s">
        <v>155</v>
      </c>
      <c r="AM384" s="49" t="s">
        <v>155</v>
      </c>
      <c r="AN384" s="50" t="s">
        <v>155</v>
      </c>
    </row>
    <row r="385" spans="1:40" ht="15.75" customHeight="1" x14ac:dyDescent="0.25">
      <c r="A385" s="34">
        <v>2020</v>
      </c>
      <c r="B385" s="35">
        <v>40211</v>
      </c>
      <c r="C385" s="36" t="s">
        <v>541</v>
      </c>
      <c r="D385" s="36" t="s">
        <v>71</v>
      </c>
      <c r="E385" s="36" t="s">
        <v>154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155</v>
      </c>
      <c r="L385" s="38" t="s">
        <v>155</v>
      </c>
      <c r="M385" s="38" t="s">
        <v>155</v>
      </c>
      <c r="N385" s="38">
        <v>143</v>
      </c>
      <c r="O385" s="45" t="s">
        <v>155</v>
      </c>
      <c r="P385" s="45" t="s">
        <v>155</v>
      </c>
      <c r="Q385" s="45" t="s">
        <v>155</v>
      </c>
      <c r="R385" s="45" t="s">
        <v>155</v>
      </c>
      <c r="S385" s="45" t="s">
        <v>155</v>
      </c>
      <c r="T385" s="46">
        <v>0.11600000000000001</v>
      </c>
      <c r="U385" s="46" t="s">
        <v>155</v>
      </c>
      <c r="V385" s="46" t="s">
        <v>155</v>
      </c>
      <c r="W385" s="46" t="s">
        <v>155</v>
      </c>
      <c r="X385" s="46">
        <v>0.11600000000000001</v>
      </c>
      <c r="Y385" s="47">
        <v>0.104</v>
      </c>
      <c r="Z385" s="47" t="s">
        <v>155</v>
      </c>
      <c r="AA385" s="47" t="s">
        <v>155</v>
      </c>
      <c r="AB385" s="47" t="s">
        <v>155</v>
      </c>
      <c r="AC385" s="47">
        <v>0.104</v>
      </c>
      <c r="AD385" s="48">
        <v>6.27</v>
      </c>
      <c r="AE385" s="48" t="s">
        <v>155</v>
      </c>
      <c r="AF385" s="48" t="s">
        <v>155</v>
      </c>
      <c r="AG385" s="48" t="s">
        <v>155</v>
      </c>
      <c r="AH385" s="48">
        <v>6.27</v>
      </c>
      <c r="AI385" s="49" t="s">
        <v>155</v>
      </c>
      <c r="AJ385" s="49" t="s">
        <v>155</v>
      </c>
      <c r="AK385" s="49" t="s">
        <v>155</v>
      </c>
      <c r="AL385" s="49" t="s">
        <v>155</v>
      </c>
      <c r="AM385" s="49" t="s">
        <v>155</v>
      </c>
      <c r="AN385" s="50" t="s">
        <v>155</v>
      </c>
    </row>
    <row r="386" spans="1:40" ht="15.75" customHeight="1" x14ac:dyDescent="0.25">
      <c r="A386" s="34">
        <v>2020</v>
      </c>
      <c r="B386" s="35">
        <v>40212</v>
      </c>
      <c r="C386" s="36" t="s">
        <v>542</v>
      </c>
      <c r="D386" s="36" t="s">
        <v>31</v>
      </c>
      <c r="E386" s="36" t="s">
        <v>160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155</v>
      </c>
      <c r="K386" s="38">
        <v>5</v>
      </c>
      <c r="L386" s="38">
        <v>2198</v>
      </c>
      <c r="M386" s="38" t="s">
        <v>155</v>
      </c>
      <c r="N386" s="38">
        <v>2203</v>
      </c>
      <c r="O386" s="45" t="s">
        <v>155</v>
      </c>
      <c r="P386" s="45">
        <v>10</v>
      </c>
      <c r="Q386" s="45">
        <v>1093</v>
      </c>
      <c r="R386" s="45" t="s">
        <v>155</v>
      </c>
      <c r="S386" s="45">
        <v>1103</v>
      </c>
      <c r="T386" s="46" t="s">
        <v>155</v>
      </c>
      <c r="U386" s="46">
        <v>0.47099999999999997</v>
      </c>
      <c r="V386" s="46">
        <v>76.125</v>
      </c>
      <c r="W386" s="46" t="s">
        <v>155</v>
      </c>
      <c r="X386" s="46">
        <v>76.596000000000004</v>
      </c>
      <c r="Y386" s="47" t="s">
        <v>155</v>
      </c>
      <c r="Z386" s="47">
        <v>0.47099999999999997</v>
      </c>
      <c r="AA386" s="47">
        <v>76.125</v>
      </c>
      <c r="AB386" s="47" t="s">
        <v>155</v>
      </c>
      <c r="AC386" s="47">
        <v>76.596000000000004</v>
      </c>
      <c r="AD386" s="48" t="s">
        <v>155</v>
      </c>
      <c r="AE386" s="48" t="s">
        <v>155</v>
      </c>
      <c r="AF386" s="48" t="s">
        <v>155</v>
      </c>
      <c r="AG386" s="48" t="s">
        <v>155</v>
      </c>
      <c r="AH386" s="48" t="s">
        <v>155</v>
      </c>
      <c r="AI386" s="49" t="s">
        <v>155</v>
      </c>
      <c r="AJ386" s="49">
        <v>5</v>
      </c>
      <c r="AK386" s="49">
        <v>50</v>
      </c>
      <c r="AL386" s="49" t="s">
        <v>155</v>
      </c>
      <c r="AM386" s="49">
        <v>55</v>
      </c>
      <c r="AN386" s="50" t="s">
        <v>155</v>
      </c>
    </row>
    <row r="387" spans="1:40" ht="15.75" customHeight="1" x14ac:dyDescent="0.25">
      <c r="A387" s="34">
        <v>2020</v>
      </c>
      <c r="B387" s="35">
        <v>40228</v>
      </c>
      <c r="C387" s="36" t="s">
        <v>543</v>
      </c>
      <c r="D387" s="36" t="s">
        <v>118</v>
      </c>
      <c r="E387" s="36" t="s">
        <v>167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155</v>
      </c>
      <c r="M387" s="38" t="s">
        <v>155</v>
      </c>
      <c r="N387" s="38">
        <v>37436</v>
      </c>
      <c r="O387" s="45">
        <v>26.85</v>
      </c>
      <c r="P387" s="45">
        <v>5.8</v>
      </c>
      <c r="Q387" s="45" t="s">
        <v>155</v>
      </c>
      <c r="R387" s="45" t="s">
        <v>155</v>
      </c>
      <c r="S387" s="45">
        <v>32.65</v>
      </c>
      <c r="T387" s="46">
        <v>54</v>
      </c>
      <c r="U387" s="46">
        <v>19</v>
      </c>
      <c r="V387" s="46" t="s">
        <v>155</v>
      </c>
      <c r="W387" s="46" t="s">
        <v>155</v>
      </c>
      <c r="X387" s="46">
        <v>73</v>
      </c>
      <c r="Y387" s="47">
        <v>18.25</v>
      </c>
      <c r="Z387" s="47">
        <v>0</v>
      </c>
      <c r="AA387" s="47" t="s">
        <v>155</v>
      </c>
      <c r="AB387" s="47" t="s">
        <v>155</v>
      </c>
      <c r="AC387" s="47">
        <v>18.25</v>
      </c>
      <c r="AD387" s="48">
        <v>188.65</v>
      </c>
      <c r="AE387" s="48" t="s">
        <v>155</v>
      </c>
      <c r="AF387" s="48" t="s">
        <v>155</v>
      </c>
      <c r="AG387" s="48" t="s">
        <v>155</v>
      </c>
      <c r="AH387" s="48">
        <v>188.65</v>
      </c>
      <c r="AI387" s="49" t="s">
        <v>155</v>
      </c>
      <c r="AJ387" s="49" t="s">
        <v>155</v>
      </c>
      <c r="AK387" s="49" t="s">
        <v>155</v>
      </c>
      <c r="AL387" s="49" t="s">
        <v>155</v>
      </c>
      <c r="AM387" s="49" t="s">
        <v>155</v>
      </c>
      <c r="AN387" s="50" t="s">
        <v>155</v>
      </c>
    </row>
    <row r="388" spans="1:40" ht="15.75" customHeight="1" x14ac:dyDescent="0.25">
      <c r="A388" s="34">
        <v>2020</v>
      </c>
      <c r="B388" s="35">
        <v>40437</v>
      </c>
      <c r="C388" s="36" t="s">
        <v>544</v>
      </c>
      <c r="D388" s="36" t="s">
        <v>100</v>
      </c>
      <c r="E388" s="36" t="s">
        <v>402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155</v>
      </c>
    </row>
    <row r="389" spans="1:40" ht="15.75" customHeight="1" x14ac:dyDescent="0.25">
      <c r="A389" s="34">
        <v>2020</v>
      </c>
      <c r="B389" s="35">
        <v>44372</v>
      </c>
      <c r="C389" s="36" t="s">
        <v>545</v>
      </c>
      <c r="D389" s="36" t="s">
        <v>112</v>
      </c>
      <c r="E389" s="36" t="s">
        <v>180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155</v>
      </c>
      <c r="M389" s="38" t="s">
        <v>155</v>
      </c>
      <c r="N389" s="38">
        <v>34834</v>
      </c>
      <c r="O389" s="45">
        <v>105</v>
      </c>
      <c r="P389" s="45">
        <v>225</v>
      </c>
      <c r="Q389" s="45" t="s">
        <v>155</v>
      </c>
      <c r="R389" s="45" t="s">
        <v>155</v>
      </c>
      <c r="S389" s="45">
        <v>330</v>
      </c>
      <c r="T389" s="46">
        <v>35</v>
      </c>
      <c r="U389" s="46">
        <v>75</v>
      </c>
      <c r="V389" s="46" t="s">
        <v>155</v>
      </c>
      <c r="W389" s="46" t="s">
        <v>155</v>
      </c>
      <c r="X389" s="46">
        <v>110</v>
      </c>
      <c r="Y389" s="47">
        <v>35</v>
      </c>
      <c r="Z389" s="47">
        <v>75</v>
      </c>
      <c r="AA389" s="47" t="s">
        <v>155</v>
      </c>
      <c r="AB389" s="47" t="s">
        <v>155</v>
      </c>
      <c r="AC389" s="47">
        <v>110</v>
      </c>
      <c r="AD389" s="48">
        <v>1225</v>
      </c>
      <c r="AE389" s="48">
        <v>2625</v>
      </c>
      <c r="AF389" s="48" t="s">
        <v>155</v>
      </c>
      <c r="AG389" s="48" t="s">
        <v>155</v>
      </c>
      <c r="AH389" s="48">
        <v>3850</v>
      </c>
      <c r="AI389" s="49">
        <v>101.503</v>
      </c>
      <c r="AJ389" s="49">
        <v>233.44399999999999</v>
      </c>
      <c r="AK389" s="49" t="s">
        <v>155</v>
      </c>
      <c r="AL389" s="49" t="s">
        <v>155</v>
      </c>
      <c r="AM389" s="49">
        <v>334.947</v>
      </c>
      <c r="AN389" s="50" t="s">
        <v>155</v>
      </c>
    </row>
    <row r="390" spans="1:40" ht="15.75" customHeight="1" x14ac:dyDescent="0.25">
      <c r="A390" s="34">
        <v>2020</v>
      </c>
      <c r="B390" s="35">
        <v>54913</v>
      </c>
      <c r="C390" s="36" t="s">
        <v>546</v>
      </c>
      <c r="D390" s="36" t="s">
        <v>60</v>
      </c>
      <c r="E390" s="36" t="s">
        <v>226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155</v>
      </c>
      <c r="M390" s="38" t="s">
        <v>155</v>
      </c>
      <c r="N390" s="38">
        <v>17242</v>
      </c>
      <c r="O390" s="45" t="s">
        <v>155</v>
      </c>
      <c r="P390" s="45" t="s">
        <v>155</v>
      </c>
      <c r="Q390" s="45" t="s">
        <v>155</v>
      </c>
      <c r="R390" s="45" t="s">
        <v>155</v>
      </c>
      <c r="S390" s="45" t="s">
        <v>155</v>
      </c>
      <c r="T390" s="46">
        <v>14.66</v>
      </c>
      <c r="U390" s="46">
        <v>92.8</v>
      </c>
      <c r="V390" s="46" t="s">
        <v>155</v>
      </c>
      <c r="W390" s="46" t="s">
        <v>155</v>
      </c>
      <c r="X390" s="46">
        <v>107.46</v>
      </c>
      <c r="Y390" s="47">
        <v>14.66</v>
      </c>
      <c r="Z390" s="47">
        <v>46.36</v>
      </c>
      <c r="AA390" s="47" t="s">
        <v>155</v>
      </c>
      <c r="AB390" s="47" t="s">
        <v>155</v>
      </c>
      <c r="AC390" s="47">
        <v>61.02</v>
      </c>
      <c r="AD390" s="48">
        <v>719.99</v>
      </c>
      <c r="AE390" s="48">
        <v>3170.74</v>
      </c>
      <c r="AF390" s="48" t="s">
        <v>155</v>
      </c>
      <c r="AG390" s="48" t="s">
        <v>155</v>
      </c>
      <c r="AH390" s="48">
        <v>3890.73</v>
      </c>
      <c r="AI390" s="49">
        <v>1027.28</v>
      </c>
      <c r="AJ390" s="49">
        <v>694.71</v>
      </c>
      <c r="AK390" s="49" t="s">
        <v>155</v>
      </c>
      <c r="AL390" s="49" t="s">
        <v>155</v>
      </c>
      <c r="AM390" s="49">
        <v>1721.99</v>
      </c>
      <c r="AN390" s="50" t="s">
        <v>155</v>
      </c>
    </row>
    <row r="391" spans="1:40" ht="15.75" customHeight="1" x14ac:dyDescent="0.25">
      <c r="A391" s="34">
        <v>2020</v>
      </c>
      <c r="B391" s="35">
        <v>55787</v>
      </c>
      <c r="C391" s="36" t="s">
        <v>547</v>
      </c>
      <c r="D391" s="36" t="s">
        <v>17</v>
      </c>
      <c r="E391" s="36" t="s">
        <v>162</v>
      </c>
      <c r="F391" s="14" t="str">
        <f t="shared" si="20"/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155</v>
      </c>
      <c r="M391" s="38" t="s">
        <v>155</v>
      </c>
      <c r="N391" s="38">
        <v>15</v>
      </c>
      <c r="O391" s="45">
        <v>0</v>
      </c>
      <c r="P391" s="45">
        <v>41.445</v>
      </c>
      <c r="Q391" s="45" t="s">
        <v>155</v>
      </c>
      <c r="R391" s="45" t="s">
        <v>155</v>
      </c>
      <c r="S391" s="45">
        <v>41.445</v>
      </c>
      <c r="T391" s="46">
        <v>0</v>
      </c>
      <c r="U391" s="46">
        <v>0.80800000000000005</v>
      </c>
      <c r="V391" s="46" t="s">
        <v>155</v>
      </c>
      <c r="W391" s="46" t="s">
        <v>155</v>
      </c>
      <c r="X391" s="46">
        <v>0.80800000000000005</v>
      </c>
      <c r="Y391" s="47">
        <v>0</v>
      </c>
      <c r="Z391" s="47">
        <v>0.70099999999999996</v>
      </c>
      <c r="AA391" s="47" t="s">
        <v>155</v>
      </c>
      <c r="AB391" s="47" t="s">
        <v>155</v>
      </c>
      <c r="AC391" s="47">
        <v>0.70099999999999996</v>
      </c>
      <c r="AD391" s="48">
        <v>0</v>
      </c>
      <c r="AE391" s="48">
        <v>0.08</v>
      </c>
      <c r="AF391" s="48" t="s">
        <v>155</v>
      </c>
      <c r="AG391" s="48" t="s">
        <v>155</v>
      </c>
      <c r="AH391" s="48">
        <v>0.08</v>
      </c>
      <c r="AI391" s="49">
        <v>0</v>
      </c>
      <c r="AJ391" s="49">
        <v>7.5</v>
      </c>
      <c r="AK391" s="49" t="s">
        <v>155</v>
      </c>
      <c r="AL391" s="49" t="s">
        <v>155</v>
      </c>
      <c r="AM391" s="49">
        <v>7.5</v>
      </c>
      <c r="AN391" s="50">
        <v>0</v>
      </c>
    </row>
    <row r="392" spans="1:40" ht="15.75" customHeight="1" x14ac:dyDescent="0.25">
      <c r="A392" s="34">
        <v>2020</v>
      </c>
      <c r="B392" s="35">
        <v>55937</v>
      </c>
      <c r="C392" s="36" t="s">
        <v>548</v>
      </c>
      <c r="D392" s="36" t="s">
        <v>112</v>
      </c>
      <c r="E392" s="36" t="s">
        <v>154</v>
      </c>
      <c r="F392" s="14" t="str">
        <f t="shared" si="20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155</v>
      </c>
      <c r="K392" s="38">
        <v>8</v>
      </c>
      <c r="L392" s="38">
        <v>4</v>
      </c>
      <c r="M392" s="38" t="s">
        <v>155</v>
      </c>
      <c r="N392" s="38">
        <v>12</v>
      </c>
      <c r="O392" s="45" t="s">
        <v>155</v>
      </c>
      <c r="P392" s="45">
        <v>6.2240000000000002</v>
      </c>
      <c r="Q392" s="45" t="s">
        <v>155</v>
      </c>
      <c r="R392" s="45" t="s">
        <v>155</v>
      </c>
      <c r="S392" s="45">
        <v>6.2240000000000002</v>
      </c>
      <c r="T392" s="46" t="s">
        <v>155</v>
      </c>
      <c r="U392" s="46">
        <v>10.462999999999999</v>
      </c>
      <c r="V392" s="46">
        <v>95.5</v>
      </c>
      <c r="W392" s="46" t="s">
        <v>155</v>
      </c>
      <c r="X392" s="46">
        <v>105.96299999999999</v>
      </c>
      <c r="Y392" s="47" t="s">
        <v>155</v>
      </c>
      <c r="Z392" s="47">
        <v>6.2240000000000002</v>
      </c>
      <c r="AA392" s="47" t="s">
        <v>155</v>
      </c>
      <c r="AB392" s="47" t="s">
        <v>155</v>
      </c>
      <c r="AC392" s="47">
        <v>6.2240000000000002</v>
      </c>
      <c r="AD392" s="48" t="s">
        <v>155</v>
      </c>
      <c r="AE392" s="48">
        <v>151.87299999999999</v>
      </c>
      <c r="AF392" s="48" t="s">
        <v>155</v>
      </c>
      <c r="AG392" s="48" t="s">
        <v>155</v>
      </c>
      <c r="AH392" s="48">
        <v>151.87299999999999</v>
      </c>
      <c r="AI392" s="49" t="s">
        <v>155</v>
      </c>
      <c r="AJ392" s="49">
        <v>36.280999999999999</v>
      </c>
      <c r="AK392" s="49" t="s">
        <v>155</v>
      </c>
      <c r="AL392" s="49" t="s">
        <v>155</v>
      </c>
      <c r="AM392" s="49">
        <v>36.280999999999999</v>
      </c>
      <c r="AN392" s="50" t="s">
        <v>155</v>
      </c>
    </row>
    <row r="393" spans="1:40" ht="15.75" customHeight="1" x14ac:dyDescent="0.25">
      <c r="A393" s="34">
        <v>2020</v>
      </c>
      <c r="B393" s="35">
        <v>58127</v>
      </c>
      <c r="C393" s="36" t="s">
        <v>549</v>
      </c>
      <c r="D393" s="36" t="s">
        <v>60</v>
      </c>
      <c r="E393" s="36" t="s">
        <v>226</v>
      </c>
      <c r="F393" s="14">
        <f t="shared" si="20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155</v>
      </c>
      <c r="L393" s="38">
        <v>25</v>
      </c>
      <c r="M393" s="38" t="s">
        <v>155</v>
      </c>
      <c r="N393" s="38">
        <v>729</v>
      </c>
      <c r="O393" s="45" t="s">
        <v>155</v>
      </c>
      <c r="P393" s="45" t="s">
        <v>155</v>
      </c>
      <c r="Q393" s="45" t="s">
        <v>155</v>
      </c>
      <c r="R393" s="45" t="s">
        <v>155</v>
      </c>
      <c r="S393" s="45" t="s">
        <v>155</v>
      </c>
      <c r="T393" s="46">
        <v>0.71299999999999997</v>
      </c>
      <c r="U393" s="46" t="s">
        <v>155</v>
      </c>
      <c r="V393" s="46">
        <v>1.3680000000000001</v>
      </c>
      <c r="W393" s="46" t="s">
        <v>155</v>
      </c>
      <c r="X393" s="46">
        <v>2.081</v>
      </c>
      <c r="Y393" s="47" t="s">
        <v>155</v>
      </c>
      <c r="Z393" s="47" t="s">
        <v>155</v>
      </c>
      <c r="AA393" s="47">
        <v>0.96199999999999997</v>
      </c>
      <c r="AB393" s="47" t="s">
        <v>155</v>
      </c>
      <c r="AC393" s="47">
        <v>0.96199999999999997</v>
      </c>
      <c r="AD393" s="48">
        <v>30</v>
      </c>
      <c r="AE393" s="48" t="s">
        <v>155</v>
      </c>
      <c r="AF393" s="48">
        <v>50.561</v>
      </c>
      <c r="AG393" s="48" t="s">
        <v>155</v>
      </c>
      <c r="AH393" s="48">
        <v>80.561000000000007</v>
      </c>
      <c r="AI393" s="49">
        <v>114.027</v>
      </c>
      <c r="AJ393" s="49" t="s">
        <v>155</v>
      </c>
      <c r="AK393" s="49">
        <v>263.07600000000002</v>
      </c>
      <c r="AL393" s="49" t="s">
        <v>155</v>
      </c>
      <c r="AM393" s="49">
        <v>377.10300000000001</v>
      </c>
      <c r="AN393" s="50" t="s">
        <v>155</v>
      </c>
    </row>
    <row r="394" spans="1:40" ht="15.75" customHeight="1" x14ac:dyDescent="0.25">
      <c r="A394" s="34">
        <v>2020</v>
      </c>
      <c r="B394" s="35">
        <v>60482</v>
      </c>
      <c r="C394" s="36" t="s">
        <v>550</v>
      </c>
      <c r="D394" s="36" t="s">
        <v>98</v>
      </c>
      <c r="E394" s="36" t="s">
        <v>175</v>
      </c>
      <c r="F394" s="14">
        <f t="shared" si="20"/>
        <v>3200</v>
      </c>
      <c r="G394" s="14" t="str">
        <f t="shared" si="21"/>
        <v/>
      </c>
      <c r="H394" s="14">
        <f t="shared" si="22"/>
        <v>2577.7777777777778</v>
      </c>
      <c r="I394" s="14" t="str">
        <f t="shared" si="23"/>
        <v/>
      </c>
      <c r="J394" s="38">
        <v>434</v>
      </c>
      <c r="K394" s="38" t="s">
        <v>155</v>
      </c>
      <c r="L394" s="38">
        <v>23</v>
      </c>
      <c r="M394" s="38" t="s">
        <v>155</v>
      </c>
      <c r="N394" s="38">
        <v>457</v>
      </c>
      <c r="O394" s="45">
        <v>4.22</v>
      </c>
      <c r="P394" s="45" t="s">
        <v>155</v>
      </c>
      <c r="Q394" s="45">
        <v>6.1</v>
      </c>
      <c r="R394" s="45" t="s">
        <v>155</v>
      </c>
      <c r="S394" s="45">
        <v>10.32</v>
      </c>
      <c r="T394" s="46">
        <v>12.5</v>
      </c>
      <c r="U394" s="46" t="s">
        <v>155</v>
      </c>
      <c r="V394" s="46">
        <v>22.5</v>
      </c>
      <c r="W394" s="46" t="s">
        <v>155</v>
      </c>
      <c r="X394" s="46">
        <v>35</v>
      </c>
      <c r="Y394" s="47">
        <v>5.5</v>
      </c>
      <c r="Z394" s="47" t="s">
        <v>155</v>
      </c>
      <c r="AA394" s="47">
        <v>7.9</v>
      </c>
      <c r="AB394" s="47" t="s">
        <v>155</v>
      </c>
      <c r="AC394" s="47">
        <v>13.4</v>
      </c>
      <c r="AD394" s="48" t="s">
        <v>155</v>
      </c>
      <c r="AE394" s="48" t="s">
        <v>155</v>
      </c>
      <c r="AF394" s="48" t="s">
        <v>155</v>
      </c>
      <c r="AG394" s="48" t="s">
        <v>155</v>
      </c>
      <c r="AH394" s="48" t="s">
        <v>155</v>
      </c>
      <c r="AI394" s="49">
        <v>40</v>
      </c>
      <c r="AJ394" s="49" t="s">
        <v>155</v>
      </c>
      <c r="AK394" s="49">
        <v>58</v>
      </c>
      <c r="AL394" s="49" t="s">
        <v>155</v>
      </c>
      <c r="AM394" s="49">
        <v>98</v>
      </c>
      <c r="AN394" s="50" t="s">
        <v>155</v>
      </c>
    </row>
    <row r="395" spans="1:40" ht="15.75" customHeight="1" x14ac:dyDescent="0.25">
      <c r="A395" s="34">
        <v>2020</v>
      </c>
      <c r="B395" s="35">
        <v>60631</v>
      </c>
      <c r="C395" s="36" t="s">
        <v>551</v>
      </c>
      <c r="D395" s="36" t="s">
        <v>63</v>
      </c>
      <c r="E395" s="36" t="s">
        <v>154</v>
      </c>
      <c r="F395" s="14" t="str">
        <f t="shared" si="20"/>
        <v/>
      </c>
      <c r="G395" s="14" t="str">
        <f t="shared" si="21"/>
        <v/>
      </c>
      <c r="H395" s="14">
        <f t="shared" si="22"/>
        <v>0</v>
      </c>
      <c r="I395" s="14" t="str">
        <f t="shared" si="23"/>
        <v/>
      </c>
      <c r="J395" s="38" t="s">
        <v>155</v>
      </c>
      <c r="K395" s="38" t="s">
        <v>155</v>
      </c>
      <c r="L395" s="38">
        <v>4</v>
      </c>
      <c r="M395" s="38" t="s">
        <v>155</v>
      </c>
      <c r="N395" s="38">
        <v>4</v>
      </c>
      <c r="O395" s="45" t="s">
        <v>155</v>
      </c>
      <c r="P395" s="45" t="s">
        <v>155</v>
      </c>
      <c r="Q395" s="45" t="s">
        <v>155</v>
      </c>
      <c r="R395" s="45" t="s">
        <v>155</v>
      </c>
      <c r="S395" s="45" t="s">
        <v>155</v>
      </c>
      <c r="T395" s="46" t="s">
        <v>155</v>
      </c>
      <c r="U395" s="46" t="s">
        <v>155</v>
      </c>
      <c r="V395" s="46">
        <v>166.1</v>
      </c>
      <c r="W395" s="46" t="s">
        <v>155</v>
      </c>
      <c r="X395" s="46">
        <v>166.1</v>
      </c>
      <c r="Y395" s="47" t="s">
        <v>155</v>
      </c>
      <c r="Z395" s="47" t="s">
        <v>155</v>
      </c>
      <c r="AA395" s="47" t="s">
        <v>155</v>
      </c>
      <c r="AB395" s="47" t="s">
        <v>155</v>
      </c>
      <c r="AC395" s="47" t="s">
        <v>155</v>
      </c>
      <c r="AD395" s="48" t="s">
        <v>155</v>
      </c>
      <c r="AE395" s="48" t="s">
        <v>155</v>
      </c>
      <c r="AF395" s="48" t="s">
        <v>155</v>
      </c>
      <c r="AG395" s="48" t="s">
        <v>155</v>
      </c>
      <c r="AH395" s="48" t="s">
        <v>155</v>
      </c>
      <c r="AI395" s="49" t="s">
        <v>155</v>
      </c>
      <c r="AJ395" s="49" t="s">
        <v>155</v>
      </c>
      <c r="AK395" s="49" t="s">
        <v>155</v>
      </c>
      <c r="AL395" s="49" t="s">
        <v>155</v>
      </c>
      <c r="AM395" s="49" t="s">
        <v>155</v>
      </c>
      <c r="AN395" s="50" t="s">
        <v>155</v>
      </c>
    </row>
    <row r="396" spans="1:40" ht="15.75" customHeight="1" x14ac:dyDescent="0.2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2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2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2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2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2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2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2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2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2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2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2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2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2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2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2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2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2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2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2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2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2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2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2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2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2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2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2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2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2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2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2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2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2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2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2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2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2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2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2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2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2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2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2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2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2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2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2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2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2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2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2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2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2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2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2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2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2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2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2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2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2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2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2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2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2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2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2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2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2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2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2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2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2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2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2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2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2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2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2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2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2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2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2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2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2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2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2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2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2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2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2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2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2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2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2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2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2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2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2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2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2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2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2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2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2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2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2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2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2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2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2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2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2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2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2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2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2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2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2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2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2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2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2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2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2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2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2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2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2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2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2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2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2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2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2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2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2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2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2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2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2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2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2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2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2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2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2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2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2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2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2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2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2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2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2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2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2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2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2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2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2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2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2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2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2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2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2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2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2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2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2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2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2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2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2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2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2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2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2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2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2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2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2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2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2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2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2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2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2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2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2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2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2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2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2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2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2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2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2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2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2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2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2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2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2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2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2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2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2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2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2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2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2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2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2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2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2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2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2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2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2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2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2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2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2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2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2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2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2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2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2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2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2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2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2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2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2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2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2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2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2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2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2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2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2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2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2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2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2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2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2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2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2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2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2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2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2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2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2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2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2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2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2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2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2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2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2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2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2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2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2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2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2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2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2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2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2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2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2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2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2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2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2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2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2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2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2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2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2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2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2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2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2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2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2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2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2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2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2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2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2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2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2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2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2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2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2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2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2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2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2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2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2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2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2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2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2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2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2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2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2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2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2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2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2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2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2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2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2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2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2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2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2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2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2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2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2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2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2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2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2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2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2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2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2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2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2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2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2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2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2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2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2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2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2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2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2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2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2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2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2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2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2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2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2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2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2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2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2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2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2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2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2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2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2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2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2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2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2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2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2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2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2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2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2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2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2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2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2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2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2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2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2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2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2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2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2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2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2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2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2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2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2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2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2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2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2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2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2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2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2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2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2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2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2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2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2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2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2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2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2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2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2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2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2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2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2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2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2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2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2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2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2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2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2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2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2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2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2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2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2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2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2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2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2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2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2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2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2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2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2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2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2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2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2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2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2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2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2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2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2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2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2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2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2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2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2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2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2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2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2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2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2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2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2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2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2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2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2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2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2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2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2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2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2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2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2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2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2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2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2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2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2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2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2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2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2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2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2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2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2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2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2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2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2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2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2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2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2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2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2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2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2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2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2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2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2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2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2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2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2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2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2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2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2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2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2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2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2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2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2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2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2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2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2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2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2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2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2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2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2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2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2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2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2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2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2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2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2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2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2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2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2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2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2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2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2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2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2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2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2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2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2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2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2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2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2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2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2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2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2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2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2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2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2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2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2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2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2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2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2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2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2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2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2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2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2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2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2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2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2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2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2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2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2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2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2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2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2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2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2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2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2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2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2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85" customHeight="1" x14ac:dyDescent="0.25">
      <c r="A1" s="5" t="s">
        <v>552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85" customHeight="1" x14ac:dyDescent="0.25">
      <c r="A2" s="2" t="s">
        <v>553</v>
      </c>
      <c r="B2" s="28"/>
      <c r="C2" s="29"/>
    </row>
    <row r="3" spans="1:26" ht="14.85" customHeight="1" x14ac:dyDescent="0.25">
      <c r="A3" s="2" t="s">
        <v>554</v>
      </c>
      <c r="B3" s="28"/>
      <c r="C3" s="29"/>
    </row>
    <row r="4" spans="1:26" ht="14.85" customHeight="1" x14ac:dyDescent="0.25">
      <c r="A4" s="2" t="s">
        <v>555</v>
      </c>
      <c r="B4" s="28"/>
      <c r="C4" s="29"/>
      <c r="F4" t="s">
        <v>556</v>
      </c>
    </row>
    <row r="6" spans="1:26" ht="14.85" customHeight="1" x14ac:dyDescent="0.25">
      <c r="B6" s="27" t="s">
        <v>557</v>
      </c>
      <c r="C6" s="27" t="s">
        <v>558</v>
      </c>
      <c r="F6" t="s">
        <v>559</v>
      </c>
      <c r="G6" t="s">
        <v>560</v>
      </c>
    </row>
    <row r="7" spans="1:26" ht="14.85" customHeight="1" x14ac:dyDescent="0.25">
      <c r="A7" s="2" t="s">
        <v>561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0.1443418156967099</v>
      </c>
      <c r="F7" t="s">
        <v>562</v>
      </c>
      <c r="G7" s="51">
        <v>23383.101272803659</v>
      </c>
    </row>
    <row r="8" spans="1:26" ht="14.85" customHeight="1" x14ac:dyDescent="0.25">
      <c r="A8" s="2" t="s">
        <v>563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0.2498897877019009</v>
      </c>
      <c r="F8" t="s">
        <v>564</v>
      </c>
      <c r="G8" s="51">
        <v>23383.101272803659</v>
      </c>
    </row>
    <row r="9" spans="1:26" ht="14.85" customHeight="1" x14ac:dyDescent="0.25">
      <c r="A9" s="2" t="s">
        <v>565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0.60576839660138915</v>
      </c>
      <c r="F9" t="s">
        <v>566</v>
      </c>
      <c r="G9" s="51">
        <v>37946.092485549132</v>
      </c>
    </row>
    <row r="10" spans="1:26" ht="14.85" customHeight="1" x14ac:dyDescent="0.25">
      <c r="C10" s="29"/>
      <c r="F10" t="s">
        <v>567</v>
      </c>
      <c r="G10">
        <v>0</v>
      </c>
    </row>
    <row r="12" spans="1:26" ht="14.85" customHeight="1" x14ac:dyDescent="0.25">
      <c r="A12" s="2" t="s">
        <v>568</v>
      </c>
    </row>
    <row r="13" spans="1:26" ht="14.85" customHeight="1" x14ac:dyDescent="0.25">
      <c r="A13" s="2" t="s">
        <v>569</v>
      </c>
    </row>
    <row r="14" spans="1:26" ht="14.85" customHeight="1" x14ac:dyDescent="0.25">
      <c r="A14" s="2" t="s">
        <v>570</v>
      </c>
    </row>
    <row r="16" spans="1:26" ht="14.85" customHeight="1" x14ac:dyDescent="0.25">
      <c r="A16" s="2" t="s">
        <v>561</v>
      </c>
      <c r="B16" s="28">
        <f>B7</f>
        <v>43350.76470588235</v>
      </c>
      <c r="C16" s="29">
        <f>IFERROR(C7,B26)</f>
        <v>0.1443418156967099</v>
      </c>
    </row>
    <row r="17" spans="1:3" ht="14.85" customHeight="1" x14ac:dyDescent="0.25">
      <c r="A17" s="2" t="s">
        <v>571</v>
      </c>
      <c r="B17" s="28">
        <f>IFERROR((B8*C8+B9*C9)/SUM(C8:C9),AVERAGE(B8:B9))</f>
        <v>27995.016510385369</v>
      </c>
      <c r="C17" s="29">
        <f>IFERROR(SUM(C8:C9),B25)</f>
        <v>0.85565818430328999</v>
      </c>
    </row>
    <row r="19" spans="1:3" ht="14.85" customHeight="1" x14ac:dyDescent="0.25">
      <c r="A19" s="1" t="s">
        <v>572</v>
      </c>
      <c r="B19" s="2" t="str">
        <f>About!B2</f>
        <v>IL</v>
      </c>
    </row>
    <row r="20" spans="1:3" ht="14.85" customHeight="1" x14ac:dyDescent="0.25">
      <c r="A20" s="2"/>
    </row>
    <row r="21" spans="1:3" ht="15.75" customHeight="1" x14ac:dyDescent="0.25">
      <c r="A21" s="2" t="s">
        <v>573</v>
      </c>
    </row>
    <row r="22" spans="1:3" ht="15.75" customHeight="1" x14ac:dyDescent="0.25">
      <c r="A22" s="2"/>
    </row>
    <row r="23" spans="1:3" ht="15.75" customHeight="1" x14ac:dyDescent="0.2">
      <c r="A23" t="s">
        <v>574</v>
      </c>
      <c r="B23" t="s">
        <v>575</v>
      </c>
    </row>
    <row r="24" spans="1:3" ht="15.75" customHeight="1" x14ac:dyDescent="0.2">
      <c r="A24" t="s">
        <v>562</v>
      </c>
      <c r="B24">
        <v>0</v>
      </c>
    </row>
    <row r="25" spans="1:3" ht="15.75" customHeight="1" x14ac:dyDescent="0.2">
      <c r="A25" t="s">
        <v>564</v>
      </c>
      <c r="B25">
        <v>0.72361870852888821</v>
      </c>
    </row>
    <row r="26" spans="1:3" ht="15.75" customHeight="1" x14ac:dyDescent="0.2">
      <c r="A26" t="s">
        <v>566</v>
      </c>
      <c r="B26">
        <v>0.27639423854992751</v>
      </c>
    </row>
    <row r="27" spans="1:3" ht="15.75" customHeight="1" x14ac:dyDescent="0.2">
      <c r="A27" t="s">
        <v>567</v>
      </c>
      <c r="B27">
        <v>0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2"/>
  <cols>
    <col min="1" max="1" width="31.875" customWidth="1"/>
    <col min="2" max="2" width="8" customWidth="1"/>
    <col min="3" max="26" width="7.625" customWidth="1"/>
  </cols>
  <sheetData>
    <row r="1" spans="1:2" ht="30" customHeight="1" x14ac:dyDescent="0.25">
      <c r="B1" s="30" t="s">
        <v>576</v>
      </c>
    </row>
    <row r="2" spans="1:2" ht="14.85" customHeight="1" x14ac:dyDescent="0.25">
      <c r="A2" s="2" t="s">
        <v>562</v>
      </c>
      <c r="B2" s="28">
        <f>Calculations!B17*About!$A$34</f>
        <v>25595.843595445342</v>
      </c>
    </row>
    <row r="3" spans="1:2" ht="14.85" customHeight="1" x14ac:dyDescent="0.25">
      <c r="A3" s="2" t="s">
        <v>577</v>
      </c>
      <c r="B3" s="28">
        <f>Calculations!B17*About!$A$34</f>
        <v>25595.843595445342</v>
      </c>
    </row>
    <row r="4" spans="1:2" ht="14.85" customHeight="1" x14ac:dyDescent="0.25">
      <c r="A4" s="2" t="s">
        <v>566</v>
      </c>
      <c r="B4" s="28">
        <f>Calculations!B16*About!$A$34</f>
        <v>39635.604170588231</v>
      </c>
    </row>
    <row r="5" spans="1:2" ht="14.85" customHeight="1" x14ac:dyDescent="0.25">
      <c r="A5" s="2" t="s">
        <v>567</v>
      </c>
      <c r="B5" s="2">
        <v>0</v>
      </c>
    </row>
    <row r="6" spans="1:2" ht="14.85" customHeight="1" x14ac:dyDescent="0.25">
      <c r="A6" s="2"/>
      <c r="B6" s="28"/>
    </row>
    <row r="7" spans="1:2" ht="14.85" customHeight="1" x14ac:dyDescent="0.25">
      <c r="A7" s="2"/>
      <c r="B7" s="28"/>
    </row>
    <row r="8" spans="1:2" ht="14.85" customHeight="1" x14ac:dyDescent="0.25">
      <c r="A8" s="2"/>
      <c r="B8" s="28"/>
    </row>
    <row r="9" spans="1:2" ht="14.85" customHeight="1" x14ac:dyDescent="0.25">
      <c r="A9" s="2"/>
      <c r="B9" s="28"/>
    </row>
    <row r="10" spans="1:2" ht="14.85" customHeight="1" x14ac:dyDescent="0.25">
      <c r="A10" s="2"/>
      <c r="B10" s="28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2"/>
  <cols>
    <col min="1" max="1" width="31.625" customWidth="1"/>
    <col min="2" max="26" width="7.625" customWidth="1"/>
  </cols>
  <sheetData>
    <row r="1" spans="1:2" ht="14.85" customHeight="1" x14ac:dyDescent="0.25">
      <c r="A1" s="2" t="s">
        <v>578</v>
      </c>
      <c r="B1" s="31" t="s">
        <v>575</v>
      </c>
    </row>
    <row r="2" spans="1:2" ht="14.85" customHeight="1" x14ac:dyDescent="0.25">
      <c r="A2" s="2" t="s">
        <v>562</v>
      </c>
      <c r="B2" s="2">
        <v>0</v>
      </c>
    </row>
    <row r="3" spans="1:2" ht="14.85" customHeight="1" x14ac:dyDescent="0.25">
      <c r="A3" s="2" t="s">
        <v>577</v>
      </c>
      <c r="B3" s="32">
        <f>Calculations!C17</f>
        <v>0.85565818430328999</v>
      </c>
    </row>
    <row r="4" spans="1:2" ht="14.85" customHeight="1" x14ac:dyDescent="0.25">
      <c r="A4" s="2" t="s">
        <v>566</v>
      </c>
      <c r="B4" s="32">
        <f>Calculations!C16</f>
        <v>0.1443418156967099</v>
      </c>
    </row>
    <row r="5" spans="1:2" ht="14.85" customHeight="1" x14ac:dyDescent="0.25">
      <c r="A5" s="2" t="s">
        <v>567</v>
      </c>
      <c r="B5" s="2">
        <v>0</v>
      </c>
    </row>
    <row r="6" spans="1:2" ht="14.85" customHeight="1" x14ac:dyDescent="0.25">
      <c r="A6" s="2"/>
      <c r="B6" s="2"/>
    </row>
    <row r="7" spans="1:2" ht="14.85" customHeight="1" x14ac:dyDescent="0.25">
      <c r="A7" s="2"/>
      <c r="B7" s="2"/>
    </row>
    <row r="8" spans="1:2" ht="14.85" customHeight="1" x14ac:dyDescent="0.25">
      <c r="A8" s="2"/>
      <c r="B8" s="2"/>
    </row>
    <row r="9" spans="1:2" ht="14.85" customHeight="1" x14ac:dyDescent="0.25">
      <c r="A9" s="2"/>
      <c r="B9" s="2"/>
    </row>
    <row r="10" spans="1:2" ht="14.85" customHeight="1" x14ac:dyDescent="0.25">
      <c r="A10" s="2"/>
      <c r="B10" s="2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2023-09-28T17:57:12Z</dcterms:modified>
</cp:coreProperties>
</file>