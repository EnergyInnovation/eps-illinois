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bldgs\BDCL\"/>
    </mc:Choice>
  </mc:AlternateContent>
  <xr:revisionPtr revIDLastSave="0" documentId="8_{D9DB419E-2028-4AED-8D3F-7FA3DA510F8A}"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F166" i="10"/>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C166" i="10" s="1"/>
  <c r="D166" i="10" s="1"/>
  <c r="E166" i="10" s="1"/>
  <c r="AC165" i="10"/>
  <c r="H165" i="10"/>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F165" i="10" s="1"/>
  <c r="G165" i="10" s="1"/>
  <c r="AC160" i="10"/>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H158" i="10"/>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E158" i="10" s="1"/>
  <c r="F158" i="10" s="1"/>
  <c r="G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R155" i="10"/>
  <c r="S155" i="10" s="1"/>
  <c r="T155" i="10" s="1"/>
  <c r="U155" i="10" s="1"/>
  <c r="V155" i="10" s="1"/>
  <c r="W155" i="10" s="1"/>
  <c r="X155" i="10" s="1"/>
  <c r="Y155" i="10" s="1"/>
  <c r="Z155" i="10" s="1"/>
  <c r="AA155" i="10" s="1"/>
  <c r="AB155" i="10" s="1"/>
  <c r="B155" i="10"/>
  <c r="C155" i="10" s="1"/>
  <c r="D155" i="10" s="1"/>
  <c r="E155" i="10" s="1"/>
  <c r="F155" i="10" s="1"/>
  <c r="G155" i="10" s="1"/>
  <c r="H155" i="10" s="1"/>
  <c r="I155" i="10" s="1"/>
  <c r="J155" i="10" s="1"/>
  <c r="K155" i="10" s="1"/>
  <c r="L155" i="10" s="1"/>
  <c r="M155" i="10" s="1"/>
  <c r="N155" i="10" s="1"/>
  <c r="O155" i="10" s="1"/>
  <c r="P155" i="10" s="1"/>
  <c r="Q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M152" i="10"/>
  <c r="N152" i="10" s="1"/>
  <c r="O152" i="10" s="1"/>
  <c r="P152" i="10" s="1"/>
  <c r="Q152" i="10" s="1"/>
  <c r="R152" i="10" s="1"/>
  <c r="S152" i="10" s="1"/>
  <c r="T152" i="10" s="1"/>
  <c r="U152" i="10" s="1"/>
  <c r="V152" i="10" s="1"/>
  <c r="W152" i="10" s="1"/>
  <c r="X152" i="10" s="1"/>
  <c r="Y152" i="10" s="1"/>
  <c r="Z152" i="10" s="1"/>
  <c r="AA152" i="10" s="1"/>
  <c r="AB152" i="10" s="1"/>
  <c r="G152" i="10"/>
  <c r="H152" i="10" s="1"/>
  <c r="I152" i="10" s="1"/>
  <c r="J152" i="10" s="1"/>
  <c r="K152" i="10" s="1"/>
  <c r="L152" i="10" s="1"/>
  <c r="B152" i="10"/>
  <c r="C152" i="10" s="1"/>
  <c r="D152" i="10" s="1"/>
  <c r="E152" i="10" s="1"/>
  <c r="F152" i="10" s="1"/>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AC149" i="10"/>
  <c r="S149" i="10"/>
  <c r="T149" i="10" s="1"/>
  <c r="U149" i="10" s="1"/>
  <c r="V149" i="10" s="1"/>
  <c r="W149" i="10" s="1"/>
  <c r="X149" i="10" s="1"/>
  <c r="Y149" i="10" s="1"/>
  <c r="Z149" i="10" s="1"/>
  <c r="AA149" i="10" s="1"/>
  <c r="AB149" i="10" s="1"/>
  <c r="G149" i="10"/>
  <c r="H149" i="10" s="1"/>
  <c r="I149" i="10" s="1"/>
  <c r="J149" i="10" s="1"/>
  <c r="K149" i="10" s="1"/>
  <c r="L149" i="10" s="1"/>
  <c r="M149" i="10" s="1"/>
  <c r="N149" i="10" s="1"/>
  <c r="O149" i="10" s="1"/>
  <c r="P149" i="10" s="1"/>
  <c r="Q149" i="10" s="1"/>
  <c r="R149" i="10" s="1"/>
  <c r="B149" i="10"/>
  <c r="C149" i="10" s="1"/>
  <c r="D149" i="10" s="1"/>
  <c r="E149" i="10" s="1"/>
  <c r="F149" i="10" s="1"/>
  <c r="AC148" i="10"/>
  <c r="D148" i="10"/>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C148" i="10" s="1"/>
  <c r="AC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P143" i="10"/>
  <c r="Q143" i="10" s="1"/>
  <c r="R143" i="10" s="1"/>
  <c r="S143" i="10" s="1"/>
  <c r="T143" i="10" s="1"/>
  <c r="U143" i="10" s="1"/>
  <c r="V143" i="10" s="1"/>
  <c r="W143" i="10" s="1"/>
  <c r="X143" i="10" s="1"/>
  <c r="Y143" i="10" s="1"/>
  <c r="Z143" i="10" s="1"/>
  <c r="AA143" i="10" s="1"/>
  <c r="AB143" i="10" s="1"/>
  <c r="B143" i="10"/>
  <c r="C143" i="10" s="1"/>
  <c r="D143" i="10" s="1"/>
  <c r="E143" i="10" s="1"/>
  <c r="F143" i="10" s="1"/>
  <c r="G143" i="10" s="1"/>
  <c r="H143" i="10" s="1"/>
  <c r="I143" i="10" s="1"/>
  <c r="J143" i="10" s="1"/>
  <c r="K143" i="10" s="1"/>
  <c r="L143" i="10" s="1"/>
  <c r="M143" i="10" s="1"/>
  <c r="N143" i="10" s="1"/>
  <c r="O143" i="10" s="1"/>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C141" i="10" s="1"/>
  <c r="D141" i="10" s="1"/>
  <c r="E141" i="10" s="1"/>
  <c r="F141" i="10" s="1"/>
  <c r="G141" i="10" s="1"/>
  <c r="I141" i="10"/>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H141" i="10"/>
  <c r="B141" i="10"/>
  <c r="AC140" i="10"/>
  <c r="K140" i="10"/>
  <c r="L140" i="10" s="1"/>
  <c r="M140" i="10" s="1"/>
  <c r="N140" i="10" s="1"/>
  <c r="O140" i="10" s="1"/>
  <c r="P140" i="10" s="1"/>
  <c r="Q140" i="10" s="1"/>
  <c r="R140" i="10" s="1"/>
  <c r="S140" i="10" s="1"/>
  <c r="T140" i="10" s="1"/>
  <c r="U140" i="10" s="1"/>
  <c r="V140" i="10" s="1"/>
  <c r="W140" i="10" s="1"/>
  <c r="X140" i="10" s="1"/>
  <c r="Y140" i="10" s="1"/>
  <c r="Z140" i="10" s="1"/>
  <c r="AA140" i="10" s="1"/>
  <c r="AB140" i="10" s="1"/>
  <c r="C140" i="10"/>
  <c r="D140" i="10" s="1"/>
  <c r="E140" i="10" s="1"/>
  <c r="F140" i="10" s="1"/>
  <c r="G140" i="10" s="1"/>
  <c r="H140" i="10" s="1"/>
  <c r="I140" i="10" s="1"/>
  <c r="J140" i="10" s="1"/>
  <c r="B140" i="10"/>
  <c r="AC139" i="10"/>
  <c r="R139" i="10"/>
  <c r="S139" i="10" s="1"/>
  <c r="T139" i="10" s="1"/>
  <c r="U139" i="10" s="1"/>
  <c r="V139" i="10" s="1"/>
  <c r="W139" i="10" s="1"/>
  <c r="X139" i="10" s="1"/>
  <c r="Y139" i="10" s="1"/>
  <c r="Z139" i="10" s="1"/>
  <c r="AA139" i="10" s="1"/>
  <c r="AB139" i="10" s="1"/>
  <c r="P139" i="10"/>
  <c r="Q139" i="10" s="1"/>
  <c r="B139" i="10"/>
  <c r="C139" i="10" s="1"/>
  <c r="D139" i="10" s="1"/>
  <c r="E139" i="10" s="1"/>
  <c r="F139" i="10" s="1"/>
  <c r="G139" i="10" s="1"/>
  <c r="H139" i="10" s="1"/>
  <c r="I139" i="10" s="1"/>
  <c r="J139" i="10" s="1"/>
  <c r="K139" i="10" s="1"/>
  <c r="L139" i="10" s="1"/>
  <c r="M139" i="10" s="1"/>
  <c r="N139" i="10" s="1"/>
  <c r="O139" i="10" s="1"/>
  <c r="AC138" i="10"/>
  <c r="G138" i="10"/>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8" i="10"/>
  <c r="D138" i="10" s="1"/>
  <c r="E138" i="10" s="1"/>
  <c r="F138" i="10" s="1"/>
  <c r="B138" i="10"/>
  <c r="AC137" i="10"/>
  <c r="M137" i="10"/>
  <c r="N137" i="10" s="1"/>
  <c r="O137" i="10" s="1"/>
  <c r="P137" i="10" s="1"/>
  <c r="Q137" i="10" s="1"/>
  <c r="R137" i="10" s="1"/>
  <c r="S137" i="10" s="1"/>
  <c r="T137" i="10" s="1"/>
  <c r="U137" i="10" s="1"/>
  <c r="V137" i="10" s="1"/>
  <c r="W137" i="10" s="1"/>
  <c r="X137" i="10" s="1"/>
  <c r="Y137" i="10" s="1"/>
  <c r="Z137" i="10" s="1"/>
  <c r="AA137" i="10" s="1"/>
  <c r="AB137" i="10" s="1"/>
  <c r="H137" i="10"/>
  <c r="I137" i="10" s="1"/>
  <c r="J137" i="10" s="1"/>
  <c r="K137" i="10" s="1"/>
  <c r="L137" i="10" s="1"/>
  <c r="B137" i="10"/>
  <c r="C137" i="10" s="1"/>
  <c r="D137" i="10" s="1"/>
  <c r="E137" i="10" s="1"/>
  <c r="F137" i="10" s="1"/>
  <c r="G137" i="10" s="1"/>
  <c r="AC136" i="10"/>
  <c r="G136" i="10"/>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C136" i="10" s="1"/>
  <c r="D136" i="10" s="1"/>
  <c r="E136" i="10" s="1"/>
  <c r="F136" i="10" s="1"/>
  <c r="AC135" i="10"/>
  <c r="B135" i="10"/>
  <c r="AC134" i="10"/>
  <c r="B134" i="10"/>
  <c r="AC133" i="10"/>
  <c r="C133" i="10" s="1"/>
  <c r="D133" i="10" s="1"/>
  <c r="H133" i="10"/>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F133" i="10"/>
  <c r="G133" i="10" s="1"/>
  <c r="E133" i="10"/>
  <c r="B133" i="10"/>
  <c r="AC132" i="10"/>
  <c r="H132" i="10"/>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G132" i="10"/>
  <c r="B132" i="10"/>
  <c r="C132" i="10" s="1"/>
  <c r="D132" i="10" s="1"/>
  <c r="E132" i="10" s="1"/>
  <c r="F132" i="10" s="1"/>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F130" i="10"/>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D130" i="10"/>
  <c r="E130" i="10" s="1"/>
  <c r="C130" i="10"/>
  <c r="B130" i="10"/>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28" i="10"/>
  <c r="B128" i="10"/>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H126" i="10"/>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26" i="10"/>
  <c r="D126" i="10" s="1"/>
  <c r="E126" i="10" s="1"/>
  <c r="F126" i="10" s="1"/>
  <c r="G126" i="10" s="1"/>
  <c r="B126" i="10"/>
  <c r="AC125" i="10"/>
  <c r="C125" i="10" s="1"/>
  <c r="D125" i="10" s="1"/>
  <c r="G125" i="10"/>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F125" i="10" s="1"/>
  <c r="B125" i="10"/>
  <c r="AC124" i="10"/>
  <c r="F124" i="10"/>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C124" i="10" s="1"/>
  <c r="D124" i="10" s="1"/>
  <c r="E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G120" i="10"/>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20" i="10"/>
  <c r="D120" i="10" s="1"/>
  <c r="E120" i="10" s="1"/>
  <c r="F120" i="10" s="1"/>
  <c r="B120" i="10"/>
  <c r="AC119" i="10"/>
  <c r="H119" i="10"/>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E119" i="10"/>
  <c r="F119" i="10" s="1"/>
  <c r="G119" i="10" s="1"/>
  <c r="D119" i="10"/>
  <c r="C119" i="10"/>
  <c r="B119" i="10"/>
  <c r="AC118" i="10"/>
  <c r="C118" i="10" s="1"/>
  <c r="E118" i="10"/>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D118" i="10"/>
  <c r="B118" i="10"/>
  <c r="AC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AC116" i="10"/>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F116" i="10" s="1"/>
  <c r="AC115" i="10"/>
  <c r="B115" i="10"/>
  <c r="B161" i="10" s="1"/>
  <c r="AC114" i="10"/>
  <c r="C114" i="10"/>
  <c r="B114" i="10"/>
  <c r="AC113" i="10"/>
  <c r="B113" i="10"/>
  <c r="C113" i="10" s="1"/>
  <c r="D113" i="10" s="1"/>
  <c r="AC108" i="10"/>
  <c r="E108" i="10"/>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D108" i="10"/>
  <c r="C108" i="10"/>
  <c r="B108" i="10"/>
  <c r="AC107" i="10"/>
  <c r="C107" i="10" s="1"/>
  <c r="D107" i="10"/>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X106" i="10"/>
  <c r="Y106" i="10" s="1"/>
  <c r="Z106" i="10" s="1"/>
  <c r="AA106" i="10" s="1"/>
  <c r="AB106" i="10" s="1"/>
  <c r="T106" i="10"/>
  <c r="U106" i="10" s="1"/>
  <c r="V106" i="10" s="1"/>
  <c r="W106" i="10" s="1"/>
  <c r="F106" i="10"/>
  <c r="G106" i="10" s="1"/>
  <c r="H106" i="10" s="1"/>
  <c r="I106" i="10" s="1"/>
  <c r="J106" i="10" s="1"/>
  <c r="K106" i="10" s="1"/>
  <c r="L106" i="10" s="1"/>
  <c r="M106" i="10" s="1"/>
  <c r="N106" i="10" s="1"/>
  <c r="O106" i="10" s="1"/>
  <c r="P106" i="10" s="1"/>
  <c r="Q106" i="10" s="1"/>
  <c r="R106" i="10" s="1"/>
  <c r="S106" i="10" s="1"/>
  <c r="C106" i="10"/>
  <c r="D106" i="10" s="1"/>
  <c r="E106" i="10" s="1"/>
  <c r="AC105" i="10"/>
  <c r="E105" i="10"/>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C105" i="10" s="1"/>
  <c r="D105" i="10" s="1"/>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G103" i="10"/>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C103" i="10" s="1"/>
  <c r="D103" i="10" s="1"/>
  <c r="E103" i="10" s="1"/>
  <c r="F103" i="10" s="1"/>
  <c r="AC102" i="10"/>
  <c r="B102" i="10"/>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I100" i="10"/>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D100" i="10"/>
  <c r="E100" i="10" s="1"/>
  <c r="F100" i="10" s="1"/>
  <c r="G100" i="10" s="1"/>
  <c r="H100" i="10" s="1"/>
  <c r="C100" i="10"/>
  <c r="B100" i="10"/>
  <c r="AC99" i="10"/>
  <c r="Z99" i="10"/>
  <c r="AA99" i="10" s="1"/>
  <c r="AB99" i="10" s="1"/>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C99" i="10"/>
  <c r="B99" i="10"/>
  <c r="AC98" i="10"/>
  <c r="B98" i="10"/>
  <c r="AC97" i="10"/>
  <c r="B97" i="10"/>
  <c r="AC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s="1"/>
  <c r="D94" i="10" s="1"/>
  <c r="E94" i="10" s="1"/>
  <c r="F94" i="10"/>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B93" i="10"/>
  <c r="AC92" i="10"/>
  <c r="K92" i="10"/>
  <c r="L92" i="10" s="1"/>
  <c r="M92" i="10" s="1"/>
  <c r="N92" i="10" s="1"/>
  <c r="O92" i="10" s="1"/>
  <c r="P92" i="10" s="1"/>
  <c r="Q92" i="10" s="1"/>
  <c r="R92" i="10" s="1"/>
  <c r="S92" i="10" s="1"/>
  <c r="T92" i="10" s="1"/>
  <c r="U92" i="10" s="1"/>
  <c r="V92" i="10" s="1"/>
  <c r="W92" i="10" s="1"/>
  <c r="X92" i="10" s="1"/>
  <c r="Y92" i="10" s="1"/>
  <c r="Z92" i="10" s="1"/>
  <c r="AA92" i="10" s="1"/>
  <c r="AB92" i="10" s="1"/>
  <c r="C92" i="10"/>
  <c r="D92" i="10" s="1"/>
  <c r="E92" i="10" s="1"/>
  <c r="F92" i="10" s="1"/>
  <c r="G92" i="10" s="1"/>
  <c r="H92" i="10" s="1"/>
  <c r="I92" i="10" s="1"/>
  <c r="J92" i="10" s="1"/>
  <c r="B92" i="10"/>
  <c r="AC91" i="10"/>
  <c r="K91" i="10"/>
  <c r="L91" i="10" s="1"/>
  <c r="M91" i="10" s="1"/>
  <c r="N91" i="10" s="1"/>
  <c r="O91" i="10" s="1"/>
  <c r="P91" i="10" s="1"/>
  <c r="Q91" i="10" s="1"/>
  <c r="R91" i="10" s="1"/>
  <c r="S91" i="10" s="1"/>
  <c r="T91" i="10" s="1"/>
  <c r="U91" i="10" s="1"/>
  <c r="V91" i="10" s="1"/>
  <c r="W91" i="10" s="1"/>
  <c r="X91" i="10" s="1"/>
  <c r="Y91" i="10" s="1"/>
  <c r="Z91" i="10" s="1"/>
  <c r="AA91" i="10" s="1"/>
  <c r="AB91" i="10" s="1"/>
  <c r="C91" i="10"/>
  <c r="D91" i="10" s="1"/>
  <c r="E91" i="10" s="1"/>
  <c r="F91" i="10" s="1"/>
  <c r="G91" i="10" s="1"/>
  <c r="H91" i="10" s="1"/>
  <c r="I91" i="10" s="1"/>
  <c r="J91" i="10" s="1"/>
  <c r="B91" i="10"/>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D89" i="10"/>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C89" i="10" s="1"/>
  <c r="AC88" i="10"/>
  <c r="G88" i="10"/>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C88" i="10" s="1"/>
  <c r="D88" i="10" s="1"/>
  <c r="E88" i="10" s="1"/>
  <c r="F88" i="10" s="1"/>
  <c r="AC87" i="10"/>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C87" i="10" s="1"/>
  <c r="D87" i="10" s="1"/>
  <c r="AC86"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C85" i="10" s="1"/>
  <c r="D85" i="10" s="1"/>
  <c r="E85" i="10" s="1"/>
  <c r="F85" i="10" s="1"/>
  <c r="G85" i="10" s="1"/>
  <c r="H85" i="10" s="1"/>
  <c r="I85" i="10" s="1"/>
  <c r="J85" i="10" s="1"/>
  <c r="K85" i="10" s="1"/>
  <c r="L85" i="10" s="1"/>
  <c r="M85" i="10" s="1"/>
  <c r="N85" i="10" s="1"/>
  <c r="O85" i="10" s="1"/>
  <c r="P85" i="10" s="1"/>
  <c r="Q85" i="10" s="1"/>
  <c r="R85" i="10"/>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V83" i="10"/>
  <c r="W83" i="10" s="1"/>
  <c r="X83" i="10" s="1"/>
  <c r="Y83" i="10" s="1"/>
  <c r="Z83" i="10" s="1"/>
  <c r="AA83" i="10" s="1"/>
  <c r="AB83" i="10" s="1"/>
  <c r="G83" i="10"/>
  <c r="H83" i="10" s="1"/>
  <c r="I83" i="10" s="1"/>
  <c r="J83" i="10" s="1"/>
  <c r="K83" i="10" s="1"/>
  <c r="L83" i="10" s="1"/>
  <c r="M83" i="10" s="1"/>
  <c r="N83" i="10" s="1"/>
  <c r="O83" i="10" s="1"/>
  <c r="P83" i="10" s="1"/>
  <c r="Q83" i="10" s="1"/>
  <c r="R83" i="10" s="1"/>
  <c r="S83" i="10" s="1"/>
  <c r="T83" i="10" s="1"/>
  <c r="U83" i="10" s="1"/>
  <c r="B83" i="10"/>
  <c r="C83" i="10" s="1"/>
  <c r="D83" i="10" s="1"/>
  <c r="E83" i="10" s="1"/>
  <c r="F83" i="10" s="1"/>
  <c r="AC82" i="10"/>
  <c r="J82" i="10"/>
  <c r="K82" i="10" s="1"/>
  <c r="L82" i="10" s="1"/>
  <c r="M82" i="10" s="1"/>
  <c r="N82" i="10" s="1"/>
  <c r="O82" i="10" s="1"/>
  <c r="P82" i="10" s="1"/>
  <c r="Q82" i="10" s="1"/>
  <c r="R82" i="10" s="1"/>
  <c r="S82" i="10" s="1"/>
  <c r="T82" i="10" s="1"/>
  <c r="U82" i="10" s="1"/>
  <c r="V82" i="10" s="1"/>
  <c r="W82" i="10" s="1"/>
  <c r="X82" i="10" s="1"/>
  <c r="Y82" i="10" s="1"/>
  <c r="Z82" i="10" s="1"/>
  <c r="AA82" i="10" s="1"/>
  <c r="AB82" i="10" s="1"/>
  <c r="B82" i="10"/>
  <c r="C82" i="10" s="1"/>
  <c r="D82" i="10" s="1"/>
  <c r="E82" i="10" s="1"/>
  <c r="F82" i="10" s="1"/>
  <c r="G82" i="10" s="1"/>
  <c r="H82" i="10" s="1"/>
  <c r="I82" i="10" s="1"/>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AC78" i="10"/>
  <c r="O78" i="10"/>
  <c r="P78" i="10" s="1"/>
  <c r="Q78" i="10" s="1"/>
  <c r="R78" i="10" s="1"/>
  <c r="S78" i="10" s="1"/>
  <c r="T78" i="10" s="1"/>
  <c r="U78" i="10" s="1"/>
  <c r="V78" i="10" s="1"/>
  <c r="W78" i="10" s="1"/>
  <c r="X78" i="10" s="1"/>
  <c r="Y78" i="10" s="1"/>
  <c r="Z78" i="10" s="1"/>
  <c r="AA78" i="10" s="1"/>
  <c r="AB78" i="10" s="1"/>
  <c r="H78" i="10"/>
  <c r="I78" i="10" s="1"/>
  <c r="J78" i="10" s="1"/>
  <c r="K78" i="10" s="1"/>
  <c r="L78" i="10" s="1"/>
  <c r="M78" i="10" s="1"/>
  <c r="N78" i="10" s="1"/>
  <c r="D78" i="10"/>
  <c r="E78" i="10" s="1"/>
  <c r="F78" i="10" s="1"/>
  <c r="G78" i="10" s="1"/>
  <c r="C78" i="10"/>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C75" i="10" s="1"/>
  <c r="G75" i="10"/>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E75" i="10"/>
  <c r="F75" i="10" s="1"/>
  <c r="D75" i="10"/>
  <c r="B75" i="10"/>
  <c r="AC74" i="10"/>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C72" i="10" s="1"/>
  <c r="D72" i="10" s="1"/>
  <c r="E72" i="10" s="1"/>
  <c r="F72" i="10" s="1"/>
  <c r="G72" i="10" s="1"/>
  <c r="H72" i="10"/>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69" i="10"/>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AC64" i="10"/>
  <c r="C64" i="10" s="1"/>
  <c r="D64" i="10" s="1"/>
  <c r="E64" i="10"/>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AC61" i="10"/>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B55" i="10"/>
  <c r="D54" i="10"/>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AC53" i="10"/>
  <c r="B53" i="10"/>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C50" i="10" s="1"/>
  <c r="D50" i="10" s="1"/>
  <c r="E50" i="10" s="1"/>
  <c r="F50" i="10"/>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G48" i="10"/>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C48" i="10" s="1"/>
  <c r="D48" i="10" s="1"/>
  <c r="E48" i="10" s="1"/>
  <c r="F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R45" i="10"/>
  <c r="S45" i="10" s="1"/>
  <c r="T45" i="10" s="1"/>
  <c r="U45" i="10" s="1"/>
  <c r="V45" i="10" s="1"/>
  <c r="W45" i="10" s="1"/>
  <c r="X45" i="10" s="1"/>
  <c r="Y45" i="10" s="1"/>
  <c r="Z45" i="10" s="1"/>
  <c r="AA45" i="10" s="1"/>
  <c r="AB45" i="10" s="1"/>
  <c r="B45" i="10"/>
  <c r="C45" i="10" s="1"/>
  <c r="D45" i="10" s="1"/>
  <c r="E45" i="10" s="1"/>
  <c r="F45" i="10" s="1"/>
  <c r="G45" i="10" s="1"/>
  <c r="H45" i="10" s="1"/>
  <c r="I45" i="10" s="1"/>
  <c r="J45" i="10" s="1"/>
  <c r="K45" i="10" s="1"/>
  <c r="L45" i="10" s="1"/>
  <c r="M45" i="10" s="1"/>
  <c r="N45" i="10" s="1"/>
  <c r="O45" i="10" s="1"/>
  <c r="P45" i="10" s="1"/>
  <c r="Q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s="1"/>
  <c r="J43" i="10"/>
  <c r="K43" i="10" s="1"/>
  <c r="L43" i="10" s="1"/>
  <c r="M43" i="10" s="1"/>
  <c r="N43" i="10" s="1"/>
  <c r="O43" i="10" s="1"/>
  <c r="P43" i="10" s="1"/>
  <c r="Q43" i="10" s="1"/>
  <c r="R43" i="10" s="1"/>
  <c r="S43" i="10" s="1"/>
  <c r="T43" i="10" s="1"/>
  <c r="U43" i="10" s="1"/>
  <c r="V43" i="10" s="1"/>
  <c r="W43" i="10" s="1"/>
  <c r="X43" i="10" s="1"/>
  <c r="Y43" i="10" s="1"/>
  <c r="Z43" i="10" s="1"/>
  <c r="AA43" i="10" s="1"/>
  <c r="AB43" i="10" s="1"/>
  <c r="D43" i="10"/>
  <c r="E43" i="10" s="1"/>
  <c r="F43" i="10" s="1"/>
  <c r="G43" i="10" s="1"/>
  <c r="H43" i="10" s="1"/>
  <c r="I43" i="10" s="1"/>
  <c r="B43" i="10"/>
  <c r="AC42" i="10"/>
  <c r="B42" i="10"/>
  <c r="AC41" i="10"/>
  <c r="G41" i="10"/>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F41" i="10"/>
  <c r="D41" i="10"/>
  <c r="E41" i="10" s="1"/>
  <c r="B41" i="10"/>
  <c r="C41" i="10" s="1"/>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I39" i="10"/>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C39" i="10" s="1"/>
  <c r="D39" i="10" s="1"/>
  <c r="E39" i="10" s="1"/>
  <c r="F39" i="10" s="1"/>
  <c r="G39" i="10" s="1"/>
  <c r="H39" i="10" s="1"/>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AC35" i="10"/>
  <c r="C35" i="10" s="1"/>
  <c r="D35" i="10"/>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E34" i="10"/>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C34" i="10" s="1"/>
  <c r="D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C30" i="10" s="1"/>
  <c r="D30" i="10" s="1"/>
  <c r="E30" i="10" s="1"/>
  <c r="AC29" i="10"/>
  <c r="C29" i="10" s="1"/>
  <c r="D29" i="10" s="1"/>
  <c r="E29" i="10" s="1"/>
  <c r="F29" i="10" s="1"/>
  <c r="G29" i="10" s="1"/>
  <c r="H29" i="10" s="1"/>
  <c r="I29" i="10" s="1"/>
  <c r="J29" i="10" s="1"/>
  <c r="Q29" i="10"/>
  <c r="R29" i="10" s="1"/>
  <c r="S29" i="10" s="1"/>
  <c r="T29" i="10" s="1"/>
  <c r="U29" i="10" s="1"/>
  <c r="V29" i="10" s="1"/>
  <c r="W29" i="10" s="1"/>
  <c r="X29" i="10" s="1"/>
  <c r="Y29" i="10" s="1"/>
  <c r="Z29" i="10" s="1"/>
  <c r="AA29" i="10" s="1"/>
  <c r="AB29" i="10" s="1"/>
  <c r="M29" i="10"/>
  <c r="N29" i="10" s="1"/>
  <c r="O29" i="10" s="1"/>
  <c r="P29" i="10" s="1"/>
  <c r="K29" i="10"/>
  <c r="L29" i="10" s="1"/>
  <c r="B29" i="10"/>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H27" i="10"/>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G27" i="10"/>
  <c r="D27" i="10"/>
  <c r="E27" i="10" s="1"/>
  <c r="F27" i="10" s="1"/>
  <c r="C27" i="10"/>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I25" i="10"/>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C25" i="10" s="1"/>
  <c r="D25" i="10" s="1"/>
  <c r="E25" i="10" s="1"/>
  <c r="F25" i="10" s="1"/>
  <c r="G25" i="10" s="1"/>
  <c r="H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D20" i="10"/>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C20" i="10" s="1"/>
  <c r="AC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s="1"/>
  <c r="D17" i="10" s="1"/>
  <c r="E17" i="10"/>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AC9" i="10"/>
  <c r="C9" i="10" s="1"/>
  <c r="B9" i="10"/>
  <c r="B4" i="10"/>
  <c r="C9" i="9"/>
  <c r="B9" i="9"/>
  <c r="D9" i="9" s="1"/>
  <c r="A9" i="9"/>
  <c r="B1" i="9"/>
  <c r="H54" i="7"/>
  <c r="F54" i="7"/>
  <c r="G54" i="7" s="1"/>
  <c r="E54" i="7"/>
  <c r="D54" i="7"/>
  <c r="C54" i="7"/>
  <c r="F53" i="7"/>
  <c r="E53" i="7"/>
  <c r="D53" i="7"/>
  <c r="H53" i="7" s="1"/>
  <c r="C53" i="7"/>
  <c r="H52" i="7"/>
  <c r="F52" i="7"/>
  <c r="E52" i="7"/>
  <c r="D52" i="7"/>
  <c r="G52" i="7" s="1"/>
  <c r="C52" i="7"/>
  <c r="H51" i="7"/>
  <c r="G51" i="7"/>
  <c r="F51" i="7"/>
  <c r="E51" i="7"/>
  <c r="D51" i="7"/>
  <c r="C51" i="7"/>
  <c r="H50" i="7"/>
  <c r="G50" i="7"/>
  <c r="F50" i="7"/>
  <c r="E50" i="7"/>
  <c r="D50" i="7"/>
  <c r="C50" i="7"/>
  <c r="H49" i="7"/>
  <c r="F49" i="7"/>
  <c r="E49" i="7"/>
  <c r="D49" i="7"/>
  <c r="C49" i="7"/>
  <c r="F48" i="7"/>
  <c r="E48" i="7"/>
  <c r="D48" i="7"/>
  <c r="C48" i="7"/>
  <c r="F47" i="7"/>
  <c r="G47" i="7" s="1"/>
  <c r="E47" i="7"/>
  <c r="D47" i="7"/>
  <c r="C47" i="7"/>
  <c r="F46" i="7"/>
  <c r="E46" i="7"/>
  <c r="D46" i="7"/>
  <c r="C46" i="7"/>
  <c r="F45" i="7"/>
  <c r="E45" i="7"/>
  <c r="D45" i="7"/>
  <c r="C45" i="7"/>
  <c r="F44" i="7"/>
  <c r="E44" i="7"/>
  <c r="D44" i="7"/>
  <c r="C44" i="7"/>
  <c r="H43" i="7"/>
  <c r="F43" i="7"/>
  <c r="E43" i="7"/>
  <c r="D43" i="7"/>
  <c r="C43" i="7"/>
  <c r="H42" i="7"/>
  <c r="G42" i="7"/>
  <c r="F42" i="7"/>
  <c r="E42" i="7"/>
  <c r="D42" i="7"/>
  <c r="C42" i="7"/>
  <c r="F41" i="7"/>
  <c r="E41" i="7"/>
  <c r="D41" i="7"/>
  <c r="C41" i="7"/>
  <c r="F40" i="7"/>
  <c r="E40" i="7"/>
  <c r="D40" i="7"/>
  <c r="H40" i="7" s="1"/>
  <c r="C40" i="7"/>
  <c r="F39" i="7"/>
  <c r="E39" i="7"/>
  <c r="D39" i="7"/>
  <c r="C39" i="7"/>
  <c r="G38" i="7"/>
  <c r="F38" i="7"/>
  <c r="E38" i="7"/>
  <c r="D38" i="7"/>
  <c r="H38" i="7" s="1"/>
  <c r="C38" i="7"/>
  <c r="F37" i="7"/>
  <c r="E37" i="7"/>
  <c r="D37" i="7"/>
  <c r="C37" i="7"/>
  <c r="F36" i="7"/>
  <c r="E36" i="7"/>
  <c r="D36" i="7"/>
  <c r="G36" i="7" s="1"/>
  <c r="C36" i="7"/>
  <c r="F35" i="7"/>
  <c r="E35" i="7"/>
  <c r="D35" i="7"/>
  <c r="C35" i="7"/>
  <c r="F34" i="7"/>
  <c r="G34" i="7" s="1"/>
  <c r="E34" i="7"/>
  <c r="D34" i="7"/>
  <c r="C34" i="7"/>
  <c r="F33" i="7"/>
  <c r="E33" i="7"/>
  <c r="D33" i="7"/>
  <c r="H33" i="7" s="1"/>
  <c r="C33" i="7"/>
  <c r="F32" i="7"/>
  <c r="E32" i="7"/>
  <c r="D32" i="7"/>
  <c r="H32" i="7" s="1"/>
  <c r="C32" i="7"/>
  <c r="F31" i="7"/>
  <c r="G31" i="7" s="1"/>
  <c r="E31" i="7"/>
  <c r="H31" i="7" s="1"/>
  <c r="D31" i="7"/>
  <c r="C31" i="7"/>
  <c r="H30" i="7"/>
  <c r="F30" i="7"/>
  <c r="E30" i="7"/>
  <c r="D30" i="7"/>
  <c r="C30" i="7"/>
  <c r="F29" i="7"/>
  <c r="E29" i="7"/>
  <c r="D29" i="7"/>
  <c r="C29" i="7"/>
  <c r="H28" i="7"/>
  <c r="F28" i="7"/>
  <c r="E28" i="7"/>
  <c r="D28" i="7"/>
  <c r="G28" i="7" s="1"/>
  <c r="C28" i="7"/>
  <c r="H27" i="7"/>
  <c r="F27" i="7"/>
  <c r="E27" i="7"/>
  <c r="G27" i="7" s="1"/>
  <c r="D27" i="7"/>
  <c r="C27" i="7"/>
  <c r="F26" i="7"/>
  <c r="E26" i="7"/>
  <c r="D26" i="7"/>
  <c r="C26" i="7"/>
  <c r="F25" i="7"/>
  <c r="E25" i="7"/>
  <c r="D25" i="7"/>
  <c r="H25" i="7" s="1"/>
  <c r="C25" i="7"/>
  <c r="F24" i="7"/>
  <c r="E24" i="7"/>
  <c r="D24" i="7"/>
  <c r="C24" i="7"/>
  <c r="F23" i="7"/>
  <c r="E23" i="7"/>
  <c r="D23" i="7"/>
  <c r="C23" i="7"/>
  <c r="H23" i="7" s="1"/>
  <c r="F22" i="7"/>
  <c r="E22" i="7"/>
  <c r="G22" i="7" s="1"/>
  <c r="D22" i="7"/>
  <c r="C22" i="7"/>
  <c r="F21" i="7"/>
  <c r="E21" i="7"/>
  <c r="D21" i="7"/>
  <c r="H21" i="7" s="1"/>
  <c r="C21" i="7"/>
  <c r="H20" i="7"/>
  <c r="G20" i="7"/>
  <c r="F20" i="7"/>
  <c r="E20" i="7"/>
  <c r="D20" i="7"/>
  <c r="C20" i="7"/>
  <c r="H19" i="7"/>
  <c r="G19" i="7"/>
  <c r="F19" i="7"/>
  <c r="E19" i="7"/>
  <c r="D19" i="7"/>
  <c r="C19" i="7"/>
  <c r="F18" i="7"/>
  <c r="G18" i="7" s="1"/>
  <c r="E18" i="7"/>
  <c r="D18" i="7"/>
  <c r="C18" i="7"/>
  <c r="F17" i="7"/>
  <c r="E17" i="7"/>
  <c r="D17" i="7"/>
  <c r="C17" i="7"/>
  <c r="H16" i="7"/>
  <c r="F16" i="7"/>
  <c r="G16" i="7" s="1"/>
  <c r="E16" i="7"/>
  <c r="D16" i="7"/>
  <c r="C16" i="7"/>
  <c r="F15" i="7"/>
  <c r="E15" i="7"/>
  <c r="D15" i="7"/>
  <c r="H15" i="7" s="1"/>
  <c r="C15" i="7"/>
  <c r="H14" i="7"/>
  <c r="G14" i="7"/>
  <c r="F14" i="7"/>
  <c r="E14" i="7"/>
  <c r="D14" i="7"/>
  <c r="C14" i="7"/>
  <c r="H13" i="7"/>
  <c r="F13" i="7"/>
  <c r="E13" i="7"/>
  <c r="D13" i="7"/>
  <c r="C13" i="7"/>
  <c r="H12" i="7"/>
  <c r="G12" i="7"/>
  <c r="F12" i="7"/>
  <c r="E12" i="7"/>
  <c r="D12" i="7"/>
  <c r="C12" i="7"/>
  <c r="F11" i="7"/>
  <c r="E11" i="7"/>
  <c r="D11" i="7"/>
  <c r="G11" i="7" s="1"/>
  <c r="C11" i="7"/>
  <c r="H10" i="7"/>
  <c r="G10" i="7"/>
  <c r="F10" i="7"/>
  <c r="E10" i="7"/>
  <c r="D10" i="7"/>
  <c r="C10" i="7"/>
  <c r="H9" i="7"/>
  <c r="F9" i="7"/>
  <c r="E9" i="7"/>
  <c r="D9" i="7"/>
  <c r="C9" i="7"/>
  <c r="F8" i="7"/>
  <c r="G8" i="7" s="1"/>
  <c r="E8" i="7"/>
  <c r="D8" i="7"/>
  <c r="C8" i="7"/>
  <c r="F7" i="7"/>
  <c r="E7" i="7"/>
  <c r="D7" i="7"/>
  <c r="C7" i="7"/>
  <c r="H7" i="7" s="1"/>
  <c r="B2" i="1"/>
  <c r="B5" i="10" s="1"/>
  <c r="H39" i="7" l="1"/>
  <c r="G39" i="7"/>
  <c r="B57"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H47" i="7"/>
  <c r="G43" i="7"/>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F9" i="9"/>
  <c r="E9" i="9"/>
  <c r="G48" i="7"/>
  <c r="D9" i="10"/>
  <c r="G9" i="7"/>
  <c r="H37" i="7"/>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H35" i="7"/>
  <c r="G35" i="7"/>
  <c r="H36" i="7"/>
  <c r="H48" i="7"/>
  <c r="G9" i="9"/>
  <c r="H17" i="7"/>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G32" i="7"/>
  <c r="G7" i="7"/>
  <c r="H44" i="7"/>
  <c r="G40" i="7"/>
  <c r="G24" i="7"/>
  <c r="H11" i="7"/>
  <c r="G15" i="7"/>
  <c r="H24" i="7"/>
  <c r="H29" i="7"/>
  <c r="C61" i="10"/>
  <c r="B109" i="10"/>
  <c r="B2" i="9"/>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G44" i="7"/>
  <c r="G23" i="7"/>
  <c r="H8" i="7"/>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G41" i="7"/>
  <c r="G49" i="7"/>
  <c r="G45" i="7"/>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G13" i="7"/>
  <c r="G37" i="7"/>
  <c r="G21" i="7"/>
  <c r="G17" i="7"/>
  <c r="G25" i="7"/>
  <c r="G29" i="7"/>
  <c r="G33" i="7"/>
  <c r="H41" i="7"/>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H45" i="7"/>
  <c r="G53" i="7"/>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H18" i="7"/>
  <c r="G26" i="7"/>
  <c r="H26" i="7"/>
  <c r="G30" i="7"/>
  <c r="H22" i="7"/>
  <c r="H34" i="7"/>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H46" i="7"/>
  <c r="G46" i="7"/>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E113" i="10"/>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D61" i="10" l="1"/>
  <c r="C109" i="10"/>
  <c r="C161" i="10"/>
  <c r="H9" i="9"/>
  <c r="I9" i="9"/>
  <c r="Q5" i="9"/>
  <c r="P5" i="9"/>
  <c r="L5" i="9"/>
  <c r="J5" i="9"/>
  <c r="O5" i="9"/>
  <c r="Y5" i="9"/>
  <c r="W5" i="9"/>
  <c r="V5" i="9"/>
  <c r="U5" i="9"/>
  <c r="Z5" i="9"/>
  <c r="X5" i="9"/>
  <c r="T5" i="9"/>
  <c r="S5" i="9"/>
  <c r="R5" i="9"/>
  <c r="N5" i="9"/>
  <c r="M5" i="9"/>
  <c r="K5" i="9"/>
  <c r="AB5" i="9"/>
  <c r="B5" i="9"/>
  <c r="H5" i="9"/>
  <c r="AA5" i="9"/>
  <c r="I5" i="9"/>
  <c r="G5" i="9"/>
  <c r="D5" i="9"/>
  <c r="C5" i="9"/>
  <c r="F5" i="9"/>
  <c r="E5" i="9"/>
  <c r="D57" i="10"/>
  <c r="E9" i="10"/>
  <c r="C57" i="10"/>
  <c r="D161" i="10"/>
  <c r="F113" i="10"/>
  <c r="E161" i="10"/>
  <c r="E61" i="10" l="1"/>
  <c r="D109" i="10"/>
  <c r="E57" i="10"/>
  <c r="E171" i="10" s="1"/>
  <c r="E2" i="11" s="1"/>
  <c r="F9" i="10"/>
  <c r="F173" i="10"/>
  <c r="F2" i="13" s="1"/>
  <c r="B172" i="10"/>
  <c r="B2" i="12" s="1"/>
  <c r="B171" i="10"/>
  <c r="B2" i="11" s="1"/>
  <c r="B173" i="10"/>
  <c r="B2" i="13" s="1"/>
  <c r="F161" i="10"/>
  <c r="G113" i="10"/>
  <c r="E173" i="10"/>
  <c r="E2" i="13" s="1"/>
  <c r="C171" i="10"/>
  <c r="C2" i="11" s="1"/>
  <c r="C172" i="10"/>
  <c r="C2" i="12" s="1"/>
  <c r="C173" i="10"/>
  <c r="C2" i="13" s="1"/>
  <c r="D172" i="10"/>
  <c r="D2" i="12" s="1"/>
  <c r="D173" i="10"/>
  <c r="D2" i="13" s="1"/>
  <c r="D171" i="10"/>
  <c r="D2" i="11" s="1"/>
  <c r="G161" i="10" l="1"/>
  <c r="G173" i="10" s="1"/>
  <c r="G2" i="13" s="1"/>
  <c r="H113" i="10"/>
  <c r="G9" i="10"/>
  <c r="F57" i="10"/>
  <c r="F171" i="10" s="1"/>
  <c r="F2" i="11" s="1"/>
  <c r="F61" i="10"/>
  <c r="E109" i="10"/>
  <c r="E172" i="10" s="1"/>
  <c r="E2" i="12" s="1"/>
  <c r="G61" i="10" l="1"/>
  <c r="F109" i="10"/>
  <c r="F172" i="10" s="1"/>
  <c r="F2" i="12" s="1"/>
  <c r="G57" i="10"/>
  <c r="G171" i="10" s="1"/>
  <c r="G2" i="11" s="1"/>
  <c r="H9" i="10"/>
  <c r="H161" i="10"/>
  <c r="H173" i="10" s="1"/>
  <c r="H2" i="13" s="1"/>
  <c r="I113" i="10"/>
  <c r="J113" i="10" l="1"/>
  <c r="I161" i="10"/>
  <c r="I173" i="10" s="1"/>
  <c r="I2" i="13" s="1"/>
  <c r="H61" i="10"/>
  <c r="G109" i="10"/>
  <c r="G172" i="10" s="1"/>
  <c r="G2" i="12" s="1"/>
  <c r="H57" i="10"/>
  <c r="H171" i="10" s="1"/>
  <c r="H2" i="11" s="1"/>
  <c r="I9" i="10"/>
  <c r="I57" i="10" l="1"/>
  <c r="I171" i="10" s="1"/>
  <c r="I2" i="11" s="1"/>
  <c r="J9" i="10"/>
  <c r="H109" i="10"/>
  <c r="H172" i="10" s="1"/>
  <c r="H2" i="12" s="1"/>
  <c r="I61" i="10"/>
  <c r="J161" i="10"/>
  <c r="J173" i="10" s="1"/>
  <c r="J2" i="13" s="1"/>
  <c r="K113" i="10"/>
  <c r="K161" i="10" l="1"/>
  <c r="K173" i="10" s="1"/>
  <c r="K2" i="13" s="1"/>
  <c r="L113" i="10"/>
  <c r="J57" i="10"/>
  <c r="J171" i="10" s="1"/>
  <c r="J2" i="11" s="1"/>
  <c r="K9" i="10"/>
  <c r="I109" i="10"/>
  <c r="I172" i="10" s="1"/>
  <c r="I2" i="12" s="1"/>
  <c r="J61" i="10"/>
  <c r="K57" i="10" l="1"/>
  <c r="K171" i="10" s="1"/>
  <c r="K2" i="11" s="1"/>
  <c r="L9" i="10"/>
  <c r="K61" i="10"/>
  <c r="J109" i="10"/>
  <c r="J172" i="10" s="1"/>
  <c r="J2" i="12" s="1"/>
  <c r="M113" i="10"/>
  <c r="L161" i="10"/>
  <c r="L173" i="10" s="1"/>
  <c r="L2" i="13" s="1"/>
  <c r="N113" i="10" l="1"/>
  <c r="M161" i="10"/>
  <c r="M173" i="10" s="1"/>
  <c r="M2" i="13" s="1"/>
  <c r="L61" i="10"/>
  <c r="K109" i="10"/>
  <c r="K172" i="10" s="1"/>
  <c r="K2" i="12" s="1"/>
  <c r="M9" i="10"/>
  <c r="L57" i="10"/>
  <c r="L171" i="10" s="1"/>
  <c r="L2" i="11" s="1"/>
  <c r="M61" i="10" l="1"/>
  <c r="L109" i="10"/>
  <c r="L172" i="10" s="1"/>
  <c r="L2" i="12" s="1"/>
  <c r="N161" i="10"/>
  <c r="N173" i="10" s="1"/>
  <c r="N2" i="13" s="1"/>
  <c r="O113" i="10"/>
  <c r="M57" i="10"/>
  <c r="M171" i="10" s="1"/>
  <c r="M2" i="11" s="1"/>
  <c r="N9" i="10"/>
  <c r="N61" i="10" l="1"/>
  <c r="M109" i="10"/>
  <c r="M172" i="10" s="1"/>
  <c r="M2" i="12" s="1"/>
  <c r="N57" i="10"/>
  <c r="N171" i="10" s="1"/>
  <c r="N2" i="11" s="1"/>
  <c r="O9" i="10"/>
  <c r="O161" i="10"/>
  <c r="O173" i="10" s="1"/>
  <c r="O2" i="13" s="1"/>
  <c r="P113" i="10"/>
  <c r="N109" i="10" l="1"/>
  <c r="N172" i="10" s="1"/>
  <c r="N2" i="12" s="1"/>
  <c r="O61" i="10"/>
  <c r="P161" i="10"/>
  <c r="P173" i="10" s="1"/>
  <c r="P2" i="13" s="1"/>
  <c r="Q113" i="10"/>
  <c r="P9" i="10"/>
  <c r="O57" i="10"/>
  <c r="O171" i="10" s="1"/>
  <c r="O2" i="11" s="1"/>
  <c r="P57" i="10" l="1"/>
  <c r="P171" i="10" s="1"/>
  <c r="P2" i="11" s="1"/>
  <c r="Q9" i="10"/>
  <c r="Q161" i="10"/>
  <c r="Q173" i="10" s="1"/>
  <c r="Q2" i="13" s="1"/>
  <c r="R113" i="10"/>
  <c r="O109" i="10"/>
  <c r="O172" i="10" s="1"/>
  <c r="O2" i="12" s="1"/>
  <c r="P61" i="10"/>
  <c r="P109" i="10" l="1"/>
  <c r="P172" i="10" s="1"/>
  <c r="P2" i="12" s="1"/>
  <c r="Q61" i="10"/>
  <c r="R161" i="10"/>
  <c r="R173" i="10" s="1"/>
  <c r="R2" i="13" s="1"/>
  <c r="S113" i="10"/>
  <c r="Q57" i="10"/>
  <c r="Q171" i="10" s="1"/>
  <c r="Q2" i="11" s="1"/>
  <c r="R9" i="10"/>
  <c r="S9" i="10" l="1"/>
  <c r="R57" i="10"/>
  <c r="R171" i="10" s="1"/>
  <c r="R2" i="11" s="1"/>
  <c r="S161" i="10"/>
  <c r="S173" i="10" s="1"/>
  <c r="S2" i="13" s="1"/>
  <c r="T113" i="10"/>
  <c r="R61" i="10"/>
  <c r="Q109" i="10"/>
  <c r="Q172" i="10" s="1"/>
  <c r="Q2" i="12" s="1"/>
  <c r="R109" i="10" l="1"/>
  <c r="R172" i="10" s="1"/>
  <c r="R2" i="12" s="1"/>
  <c r="S61" i="10"/>
  <c r="T161" i="10"/>
  <c r="T173" i="10" s="1"/>
  <c r="T2" i="13" s="1"/>
  <c r="U113" i="10"/>
  <c r="T9" i="10"/>
  <c r="S57" i="10"/>
  <c r="S171" i="10" s="1"/>
  <c r="S2" i="11" s="1"/>
  <c r="U161" i="10" l="1"/>
  <c r="U173" i="10" s="1"/>
  <c r="U2" i="13" s="1"/>
  <c r="V113" i="10"/>
  <c r="U9" i="10"/>
  <c r="T57" i="10"/>
  <c r="T171" i="10" s="1"/>
  <c r="T2" i="11" s="1"/>
  <c r="T61" i="10"/>
  <c r="S109" i="10"/>
  <c r="S172" i="10" s="1"/>
  <c r="S2" i="12" s="1"/>
  <c r="U61" i="10" l="1"/>
  <c r="T109" i="10"/>
  <c r="T172" i="10" s="1"/>
  <c r="T2" i="12" s="1"/>
  <c r="V9" i="10"/>
  <c r="U57" i="10"/>
  <c r="U171" i="10" s="1"/>
  <c r="U2" i="11" s="1"/>
  <c r="V161" i="10"/>
  <c r="V173" i="10" s="1"/>
  <c r="V2" i="13" s="1"/>
  <c r="W113" i="10"/>
  <c r="W161" i="10" l="1"/>
  <c r="W173" i="10" s="1"/>
  <c r="W2" i="13" s="1"/>
  <c r="X113" i="10"/>
  <c r="W9" i="10"/>
  <c r="V57" i="10"/>
  <c r="V171" i="10" s="1"/>
  <c r="V2" i="11" s="1"/>
  <c r="U109" i="10"/>
  <c r="U172" i="10" s="1"/>
  <c r="U2" i="12" s="1"/>
  <c r="V61" i="10"/>
  <c r="V109" i="10" l="1"/>
  <c r="V172" i="10" s="1"/>
  <c r="V2" i="12" s="1"/>
  <c r="W61" i="10"/>
  <c r="W57" i="10"/>
  <c r="W171" i="10" s="1"/>
  <c r="W2" i="11" s="1"/>
  <c r="X9" i="10"/>
  <c r="X161" i="10"/>
  <c r="X173" i="10" s="1"/>
  <c r="X2" i="13" s="1"/>
  <c r="Y113" i="10"/>
  <c r="Y161" i="10" l="1"/>
  <c r="Y173" i="10" s="1"/>
  <c r="Y2" i="13" s="1"/>
  <c r="Z113" i="10"/>
  <c r="X61" i="10"/>
  <c r="W109" i="10"/>
  <c r="W172" i="10" s="1"/>
  <c r="W2" i="12" s="1"/>
  <c r="X57" i="10"/>
  <c r="X171" i="10" s="1"/>
  <c r="X2" i="11" s="1"/>
  <c r="Y9" i="10"/>
  <c r="X109" i="10" l="1"/>
  <c r="X172" i="10" s="1"/>
  <c r="X2" i="12" s="1"/>
  <c r="Y61" i="10"/>
  <c r="Z161" i="10"/>
  <c r="Z173" i="10" s="1"/>
  <c r="Z2" i="13" s="1"/>
  <c r="AA113" i="10"/>
  <c r="Y57" i="10"/>
  <c r="Y171" i="10" s="1"/>
  <c r="Y2" i="11" s="1"/>
  <c r="Z9" i="10"/>
  <c r="AB113" i="10" l="1"/>
  <c r="AB161" i="10" s="1"/>
  <c r="AB173" i="10" s="1"/>
  <c r="AB2" i="13" s="1"/>
  <c r="AA161" i="10"/>
  <c r="AA173" i="10" s="1"/>
  <c r="AA2" i="13" s="1"/>
  <c r="Z57" i="10"/>
  <c r="Z171" i="10" s="1"/>
  <c r="Z2" i="11" s="1"/>
  <c r="AA9" i="10"/>
  <c r="Y109" i="10"/>
  <c r="Y172" i="10" s="1"/>
  <c r="Y2" i="12" s="1"/>
  <c r="Z61" i="10"/>
  <c r="AA57" i="10" l="1"/>
  <c r="AA171" i="10" s="1"/>
  <c r="AA2" i="11" s="1"/>
  <c r="AB9" i="10"/>
  <c r="AB57" i="10" s="1"/>
  <c r="AB171" i="10" s="1"/>
  <c r="AB2" i="11" s="1"/>
  <c r="AA61" i="10"/>
  <c r="Z109" i="10"/>
  <c r="Z172" i="10" s="1"/>
  <c r="Z2" i="12" s="1"/>
  <c r="AB61" i="10" l="1"/>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<sst xmlns="http://schemas.openxmlformats.org/spreadsheetml/2006/main" count="725" uniqueCount="267">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</sst>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33</v>
      </c>
      <c r="C1" s="11">
        <v>46266</v>
      </c>
      <c r="F1" s="1" t="s">
        <v>2</v>
      </c>
      <c r="G1" s="1" t="s">
        <v>3</v>
      </c>
    </row>
    <row r="2" spans="1:7" x14ac:dyDescent="0.45">
      <c r="A2" s="1" t="s">
        <v>4</v>
      </c>
      <c r="B2" t="str">
        <f>INDEX($G$2:$G$49,MATCH($B$1,$F$2:$F$49,0))</f>
        <v>IL</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Illinois</v>
      </c>
    </row>
    <row r="2" spans="1:28" x14ac:dyDescent="0.45">
      <c r="B2" t="str">
        <f>About!B2</f>
        <v>IL</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Illinois</v>
      </c>
    </row>
    <row r="5" spans="1:29" x14ac:dyDescent="0.45">
      <c r="A5" t="s">
        <v>246</v>
      </c>
      <c r="B5" t="str">
        <f>About!$B$2</f>
        <v>IL</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7412563.4964542575</v>
      </c>
      <c r="C171">
        <f>IF('State Calculations'!C$5&lt;&gt;"",B171*(1+'State Calculations'!C$5),IFERROR(INDEX(C9:C56,MATCH($B$5,$A9:$A56,0))/C57*C165,0))</f>
        <v>8160637.9239623025</v>
      </c>
      <c r="D171">
        <f>IF('State Calculations'!D$5&lt;&gt;"",C171*(1+'State Calculations'!D$5),IFERROR(INDEX(D9:D56,MATCH($B$5,$A9:$A56,0))/D57*D165,0))</f>
        <v>8953355.7775609847</v>
      </c>
      <c r="E171">
        <f>IF('State Calculations'!E$5&lt;&gt;"",D171*(1+'State Calculations'!E$5),IFERROR(INDEX(E9:E56,MATCH($B$5,$A9:$A56,0))/E57*E165,0))</f>
        <v>9782654.5494704992</v>
      </c>
      <c r="F171">
        <f>IF('State Calculations'!F$5&lt;&gt;"",E171*(1+'State Calculations'!F$5),IFERROR(INDEX(F9:F56,MATCH($B$5,$A9:$A56,0))/F57*F165,0))</f>
        <v>10633771.58074756</v>
      </c>
      <c r="G171">
        <f>IF('State Calculations'!G$5&lt;&gt;"",F171*(1+'State Calculations'!G$5),IFERROR(INDEX(G9:G56,MATCH($B$5,$A9:$A56,0))/G57*G165,0))</f>
        <v>11480775.719001291</v>
      </c>
      <c r="H171">
        <f>IF('State Calculations'!H$5&lt;&gt;"",G171*(1+'State Calculations'!H$5),IFERROR(INDEX(H9:H56,MATCH($B$5,$A9:$A56,0))/H57*H165,0))</f>
        <v>12279013.755329972</v>
      </c>
      <c r="I171">
        <f>IF('State Calculations'!I$5&lt;&gt;"",H171*(1+'State Calculations'!I$5),IFERROR(INDEX(I9:I56,MATCH($B$5,$A9:$A56,0))/I57*I165,0))</f>
        <v>12453247.688605916</v>
      </c>
      <c r="J171">
        <f>IF('State Calculations'!J$5&lt;&gt;"",I171*(1+'State Calculations'!J$5),IFERROR(INDEX(J9:J56,MATCH($B$5,$A9:$A56,0))/J57*J165,0))</f>
        <v>12610974.33257867</v>
      </c>
      <c r="K171">
        <f>IF('State Calculations'!K$5&lt;&gt;"",J171*(1+'State Calculations'!K$5),IFERROR(INDEX(K9:K56,MATCH($B$5,$A9:$A56,0))/K57*K165,0))</f>
        <v>12748336.73530083</v>
      </c>
      <c r="L171">
        <f>IF('State Calculations'!L$5&lt;&gt;"",K171*(1+'State Calculations'!L$5),IFERROR(INDEX(L9:L56,MATCH($B$5,$A9:$A56,0))/L57*L165,0))</f>
        <v>12860818.071869453</v>
      </c>
      <c r="M171">
        <f>IF('State Calculations'!M$5&lt;&gt;"",L171*(1+'State Calculations'!M$5),IFERROR(INDEX(M9:M56,MATCH($B$5,$A9:$A56,0))/M57*M165,0))</f>
        <v>12943185.588076888</v>
      </c>
      <c r="N171">
        <f>IF('State Calculations'!N$5&lt;&gt;"",M171*(1+'State Calculations'!N$5),IFERROR(INDEX(N9:N56,MATCH($B$5,$A9:$A56,0))/N57*N165,0))</f>
        <v>12954668.005037537</v>
      </c>
      <c r="O171">
        <f>IF('State Calculations'!O$5&lt;&gt;"",N171*(1+'State Calculations'!O$5),IFERROR(INDEX(O9:O56,MATCH($B$5,$A9:$A56,0))/O57*O165,0))</f>
        <v>12963346.10924834</v>
      </c>
      <c r="P171">
        <f>IF('State Calculations'!P$5&lt;&gt;"",O171*(1+'State Calculations'!P$5),IFERROR(INDEX(P9:P56,MATCH($B$5,$A9:$A56,0))/P57*P165,0))</f>
        <v>12969085.058505535</v>
      </c>
      <c r="Q171">
        <f>IF('State Calculations'!Q$5&lt;&gt;"",P171*(1+'State Calculations'!Q$5),IFERROR(INDEX(Q9:Q56,MATCH($B$5,$A9:$A56,0))/Q57*Q165,0))</f>
        <v>12971746.048742531</v>
      </c>
      <c r="R171">
        <f>IF('State Calculations'!R$5&lt;&gt;"",Q171*(1+'State Calculations'!R$5),IFERROR(INDEX(R9:R56,MATCH($B$5,$A9:$A56,0))/R57*R165,0))</f>
        <v>12971186.479981976</v>
      </c>
      <c r="S171">
        <f>IF('State Calculations'!S$5&lt;&gt;"",R171*(1+'State Calculations'!S$5),IFERROR(INDEX(S9:S56,MATCH($B$5,$A9:$A56,0))/S57*S165,0))</f>
        <v>12970174.010058131</v>
      </c>
      <c r="T171">
        <f>IF('State Calculations'!T$5&lt;&gt;"",S171*(1+'State Calculations'!T$5),IFERROR(INDEX(T9:T56,MATCH($B$5,$A9:$A56,0))/T57*T165,0))</f>
        <v>12968938.437132461</v>
      </c>
      <c r="U171">
        <f>IF('State Calculations'!U$5&lt;&gt;"",T171*(1+'State Calculations'!U$5),IFERROR(INDEX(U9:U56,MATCH($B$5,$A9:$A56,0))/U57*U165,0))</f>
        <v>12967477.253216444</v>
      </c>
      <c r="V171">
        <f>IF('State Calculations'!V$5&lt;&gt;"",U171*(1+'State Calculations'!V$5),IFERROR(INDEX(V9:V56,MATCH($B$5,$A9:$A56,0))/V57*V165,0))</f>
        <v>12965787.936451748</v>
      </c>
      <c r="W171">
        <f>IF('State Calculations'!W$5&lt;&gt;"",V171*(1+'State Calculations'!W$5),IFERROR(INDEX(W9:W56,MATCH($B$5,$A9:$A56,0))/W57*W165,0))</f>
        <v>12963867.951460978</v>
      </c>
      <c r="X171">
        <f>IF('State Calculations'!X$5&lt;&gt;"",W171*(1+'State Calculations'!X$5),IFERROR(INDEX(X9:X56,MATCH($B$5,$A9:$A56,0))/X57*X165,0))</f>
        <v>12963327.152656078</v>
      </c>
      <c r="Y171">
        <f>IF('State Calculations'!Y$5&lt;&gt;"",X171*(1+'State Calculations'!Y$5),IFERROR(INDEX(Y9:Y56,MATCH($B$5,$A9:$A56,0))/Y57*Y165,0))</f>
        <v>12962771.558635283</v>
      </c>
      <c r="Z171">
        <f>IF('State Calculations'!Z$5&lt;&gt;"",Y171*(1+'State Calculations'!Z$5),IFERROR(INDEX(Z9:Z56,MATCH($B$5,$A9:$A56,0))/Z57*Z165,0))</f>
        <v>12962201.128639895</v>
      </c>
      <c r="AA171">
        <f>IF('State Calculations'!AA$5&lt;&gt;"",Z171*(1+'State Calculations'!AA$5),IFERROR(INDEX(AA9:AA56,MATCH($B$5,$A9:$A56,0))/AA57*AA165,0))</f>
        <v>12961615.821860677</v>
      </c>
      <c r="AB171">
        <f>IF('State Calculations'!AB$5&lt;&gt;"",AA171*(1+'State Calculations'!AB$5),IFERROR(INDEX(AB9:AB56,MATCH($B$5,$A9:$A56,0))/AB57*AB165,0))</f>
        <v>12961015.597438313</v>
      </c>
    </row>
    <row r="172" spans="1:29" x14ac:dyDescent="0.45">
      <c r="A172" s="1" t="s">
        <v>262</v>
      </c>
      <c r="B172">
        <f>IF('State Calculations'!B$5&lt;&gt;"",A172*(1+'State Calculations'!B$5),IFERROR(INDEX(B61:B108,MATCH($B$5,$A61:$A108,0))/B109*B166,0))</f>
        <v>7412563.4964542575</v>
      </c>
      <c r="C172">
        <f>IF('State Calculations'!C$5&lt;&gt;"",B172*(1+'State Calculations'!C$5),IFERROR(INDEX(C61:C108,MATCH($B$5,$A61:$A108,0))/C109*C166,0))</f>
        <v>8981305.8646639995</v>
      </c>
      <c r="D172">
        <f>IF('State Calculations'!D$5&lt;&gt;"",C172*(1+'State Calculations'!D$5),IFERROR(INDEX(D61:D108,MATCH($B$5,$A61:$A108,0))/D109*D166,0))</f>
        <v>10812546.060616674</v>
      </c>
      <c r="E172">
        <f>IF('State Calculations'!E$5&lt;&gt;"",D172*(1+'State Calculations'!E$5),IFERROR(INDEX(E61:E108,MATCH($B$5,$A61:$A108,0))/E109*E166,0))</f>
        <v>12920253.332103491</v>
      </c>
      <c r="F172">
        <f>IF('State Calculations'!F$5&lt;&gt;"",E172*(1+'State Calculations'!F$5),IFERROR(INDEX(F61:F108,MATCH($B$5,$A61:$A108,0))/F109*F166,0))</f>
        <v>15300634.446677435</v>
      </c>
      <c r="G172">
        <f>IF('State Calculations'!G$5&lt;&gt;"",F172*(1+'State Calculations'!G$5),IFERROR(INDEX(G61:G108,MATCH($B$5,$A61:$A108,0))/G109*G166,0))</f>
        <v>17918255.05780378</v>
      </c>
      <c r="H172">
        <f>IF('State Calculations'!H$5&lt;&gt;"",G172*(1+'State Calculations'!H$5),IFERROR(INDEX(H61:H108,MATCH($B$5,$A61:$A108,0))/H109*H166,0))</f>
        <v>20685506.83816855</v>
      </c>
      <c r="I172">
        <f>IF('State Calculations'!I$5&lt;&gt;"",H172*(1+'State Calculations'!I$5),IFERROR(INDEX(I61:I108,MATCH($B$5,$A61:$A108,0))/I109*I166,0))</f>
        <v>21373946.381063804</v>
      </c>
      <c r="J172">
        <f>IF('State Calculations'!J$5&lt;&gt;"",I172*(1+'State Calculations'!J$5),IFERROR(INDEX(J61:J108,MATCH($B$5,$A61:$A108,0))/J109*J166,0))</f>
        <v>22039002.024085846</v>
      </c>
      <c r="K172">
        <f>IF('State Calculations'!K$5&lt;&gt;"",J172*(1+'State Calculations'!K$5),IFERROR(INDEX(K61:K108,MATCH($B$5,$A61:$A108,0))/K109*K166,0))</f>
        <v>22671537.939453065</v>
      </c>
      <c r="L172">
        <f>IF('State Calculations'!L$5&lt;&gt;"",K172*(1+'State Calculations'!L$5),IFERROR(INDEX(L61:L108,MATCH($B$5,$A61:$A108,0))/L109*L166,0))</f>
        <v>23261129.780971441</v>
      </c>
      <c r="M172">
        <f>IF('State Calculations'!M$5&lt;&gt;"",L172*(1+'State Calculations'!M$5),IFERROR(INDEX(M61:M108,MATCH($B$5,$A61:$A108,0))/M109*M166,0))</f>
        <v>23796042.697643235</v>
      </c>
      <c r="N172">
        <f>IF('State Calculations'!N$5&lt;&gt;"",M172*(1+'State Calculations'!N$5),IFERROR(INDEX(N61:N108,MATCH($B$5,$A61:$A108,0))/N109*N166,0))</f>
        <v>23910960.58471882</v>
      </c>
      <c r="O172">
        <f>IF('State Calculations'!O$5&lt;&gt;"",N172*(1+'State Calculations'!O$5),IFERROR(INDEX(O61:O108,MATCH($B$5,$A61:$A108,0))/O109*O166,0))</f>
        <v>24020328.675652023</v>
      </c>
      <c r="P172">
        <f>IF('State Calculations'!P$5&lt;&gt;"",O172*(1+'State Calculations'!P$5),IFERROR(INDEX(P61:P108,MATCH($B$5,$A61:$A108,0))/P109*P166,0))</f>
        <v>24123861.523532011</v>
      </c>
      <c r="Q172">
        <f>IF('State Calculations'!Q$5&lt;&gt;"",P172*(1+'State Calculations'!Q$5),IFERROR(INDEX(Q61:Q108,MATCH($B$5,$A61:$A108,0))/Q109*Q166,0))</f>
        <v>24221267.838261601</v>
      </c>
      <c r="R172">
        <f>IF('State Calculations'!R$5&lt;&gt;"",Q172*(1+'State Calculations'!R$5),IFERROR(INDEX(R61:R108,MATCH($B$5,$A61:$A108,0))/R109*R166,0))</f>
        <v>24312250.923116196</v>
      </c>
      <c r="S172">
        <f>IF('State Calculations'!S$5&lt;&gt;"",R172*(1+'State Calculations'!S$5),IFERROR(INDEX(S61:S108,MATCH($B$5,$A61:$A108,0))/S109*S166,0))</f>
        <v>24333104.881904237</v>
      </c>
      <c r="T172">
        <f>IF('State Calculations'!T$5&lt;&gt;"",S172*(1+'State Calculations'!T$5),IFERROR(INDEX(T61:T108,MATCH($B$5,$A61:$A108,0))/T109*T166,0))</f>
        <v>24353508.842785124</v>
      </c>
      <c r="U172">
        <f>IF('State Calculations'!U$5&lt;&gt;"",T172*(1+'State Calculations'!U$5),IFERROR(INDEX(U61:U108,MATCH($B$5,$A61:$A108,0))/U109*U166,0))</f>
        <v>24373457.666282196</v>
      </c>
      <c r="V172">
        <f>IF('State Calculations'!V$5&lt;&gt;"",U172*(1+'State Calculations'!V$5),IFERROR(INDEX(V61:V108,MATCH($B$5,$A61:$A108,0))/V109*V166,0))</f>
        <v>24392946.195305627</v>
      </c>
      <c r="W172">
        <f>IF('State Calculations'!W$5&lt;&gt;"",V172*(1+'State Calculations'!W$5),IFERROR(INDEX(W61:W108,MATCH($B$5,$A61:$A108,0))/W109*W166,0))</f>
        <v>24411969.25589041</v>
      </c>
      <c r="X172">
        <f>IF('State Calculations'!X$5&lt;&gt;"",W172*(1+'State Calculations'!X$5),IFERROR(INDEX(X61:X108,MATCH($B$5,$A61:$A108,0))/X109*X166,0))</f>
        <v>24416592.221498419</v>
      </c>
      <c r="Y172">
        <f>IF('State Calculations'!Y$5&lt;&gt;"",X172*(1+'State Calculations'!Y$5),IFERROR(INDEX(Y61:Y108,MATCH($B$5,$A61:$A108,0))/Y109*Y166,0))</f>
        <v>24421185.260805815</v>
      </c>
      <c r="Z172">
        <f>IF('State Calculations'!Z$5&lt;&gt;"",Y172*(1+'State Calculations'!Z$5),IFERROR(INDEX(Z61:Z108,MATCH($B$5,$A61:$A108,0))/Z109*Z166,0))</f>
        <v>24425748.290938519</v>
      </c>
      <c r="AA172">
        <f>IF('State Calculations'!AA$5&lt;&gt;"",Z172*(1+'State Calculations'!AA$5),IFERROR(INDEX(AA61:AA108,MATCH($B$5,$A61:$A108,0))/AA109*AA166,0))</f>
        <v>24430281.228962272</v>
      </c>
      <c r="AB172">
        <f>IF('State Calculations'!AB$5&lt;&gt;"",AA172*(1+'State Calculations'!AB$5),IFERROR(INDEX(AB61:AB108,MATCH($B$5,$A61:$A108,0))/AB109*AB166,0))</f>
        <v>24434783.991883457</v>
      </c>
    </row>
    <row r="173" spans="1:29" x14ac:dyDescent="0.45">
      <c r="A173" s="1" t="s">
        <v>263</v>
      </c>
      <c r="B173">
        <f>IF('State Calculations'!B$5&lt;&gt;"",A173*(1+'State Calculations'!B$5),IFERROR(INDEX(B113:B160,MATCH($B$5,$A113:$A160,0))/B161*B167,0))</f>
        <v>7412563.4964542575</v>
      </c>
      <c r="C173">
        <f>IF('State Calculations'!C$5&lt;&gt;"",B173*(1+'State Calculations'!C$5),IFERROR(INDEX(C113:C160,MATCH($B$5,$A113:$A160,0))/C161*C167,0))</f>
        <v>9659540.8924439475</v>
      </c>
      <c r="D173">
        <f>IF('State Calculations'!D$5&lt;&gt;"",C173*(1+'State Calculations'!D$5),IFERROR(INDEX(D113:D160,MATCH($B$5,$A113:$A160,0))/D161*D167,0))</f>
        <v>12493605.600048319</v>
      </c>
      <c r="E173">
        <f>IF('State Calculations'!E$5&lt;&gt;"",D173*(1+'State Calculations'!E$5),IFERROR(INDEX(E113:E160,MATCH($B$5,$A113:$A160,0))/E161*E167,0))</f>
        <v>16021811.53955524</v>
      </c>
      <c r="F173">
        <f>IF('State Calculations'!F$5&lt;&gt;"",E173*(1+'State Calculations'!F$5),IFERROR(INDEX(F113:F160,MATCH($B$5,$A113:$A160,0))/F161*F167,0))</f>
        <v>20340896.589007217</v>
      </c>
      <c r="G173">
        <f>IF('State Calculations'!G$5&lt;&gt;"",F173*(1+'State Calculations'!G$5),IFERROR(INDEX(G113:G160,MATCH($B$5,$A113:$A160,0))/G161*G167,0))</f>
        <v>25509667.998505082</v>
      </c>
      <c r="H173">
        <f>IF('State Calculations'!H$5&lt;&gt;"",G173*(1+'State Calculations'!H$5),IFERROR(INDEX(H113:H160,MATCH($B$5,$A113:$A160,0))/H161*H167,0))</f>
        <v>31501411.448584013</v>
      </c>
      <c r="I173">
        <f>IF('State Calculations'!I$5&lt;&gt;"",H173*(1+'State Calculations'!I$5),IFERROR(INDEX(I113:I160,MATCH($B$5,$A113:$A160,0))/I161*I167,0))</f>
        <v>33156089.159325473</v>
      </c>
      <c r="J173">
        <f>IF('State Calculations'!J$5&lt;&gt;"",I173*(1+'State Calculations'!J$5),IFERROR(INDEX(J113:J160,MATCH($B$5,$A113:$A160,0))/J161*J167,0))</f>
        <v>34814363.433585741</v>
      </c>
      <c r="K173">
        <f>IF('State Calculations'!K$5&lt;&gt;"",J173*(1+'State Calculations'!K$5),IFERROR(INDEX(K113:K160,MATCH($B$5,$A113:$A160,0))/K161*K167,0))</f>
        <v>36458087.462629199</v>
      </c>
      <c r="L173">
        <f>IF('State Calculations'!L$5&lt;&gt;"",K173*(1+'State Calculations'!L$5),IFERROR(INDEX(L113:L160,MATCH($B$5,$A113:$A160,0))/L161*L167,0))</f>
        <v>38065512.609635077</v>
      </c>
      <c r="M173">
        <f>IF('State Calculations'!M$5&lt;&gt;"",L173*(1+'State Calculations'!M$5),IFERROR(INDEX(M113:M160,MATCH($B$5,$A113:$A160,0))/M161*M167,0))</f>
        <v>39611047.714413635</v>
      </c>
      <c r="N173">
        <f>IF('State Calculations'!N$5&lt;&gt;"",M173*(1+'State Calculations'!N$5),IFERROR(INDEX(N113:N160,MATCH($B$5,$A113:$A160,0))/N161*N167,0))</f>
        <v>39970488.875377797</v>
      </c>
      <c r="O173">
        <f>IF('State Calculations'!O$5&lt;&gt;"",N173*(1+'State Calculations'!O$5),IFERROR(INDEX(O113:O160,MATCH($B$5,$A113:$A160,0))/O161*O167,0))</f>
        <v>40321197.950752974</v>
      </c>
      <c r="P173">
        <f>IF('State Calculations'!P$5&lt;&gt;"",O173*(1+'State Calculations'!P$5),IFERROR(INDEX(P113:P160,MATCH($B$5,$A113:$A160,0))/P161*P167,0))</f>
        <v>40662479.355829969</v>
      </c>
      <c r="Q173">
        <f>IF('State Calculations'!Q$5&lt;&gt;"",P173*(1+'State Calculations'!Q$5),IFERROR(INDEX(Q113:Q160,MATCH($B$5,$A113:$A160,0))/Q161*Q167,0))</f>
        <v>40993616.833997741</v>
      </c>
      <c r="R173">
        <f>IF('State Calculations'!R$5&lt;&gt;"",Q173*(1+'State Calculations'!R$5),IFERROR(INDEX(R113:R160,MATCH($B$5,$A113:$A160,0))/R161*R167,0))</f>
        <v>41313874.31995371</v>
      </c>
      <c r="S173">
        <f>IF('State Calculations'!S$5&lt;&gt;"",R173*(1+'State Calculations'!S$5),IFERROR(INDEX(S113:S160,MATCH($B$5,$A113:$A160,0))/S161*S167,0))</f>
        <v>41390564.951659851</v>
      </c>
      <c r="T173">
        <f>IF('State Calculations'!T$5&lt;&gt;"",S173*(1+'State Calculations'!T$5),IFERROR(INDEX(T113:T160,MATCH($B$5,$A113:$A160,0))/T161*T167,0))</f>
        <v>41466456.138632052</v>
      </c>
      <c r="U173">
        <f>IF('State Calculations'!U$5&lt;&gt;"",T173*(1+'State Calculations'!U$5),IFERROR(INDEX(U113:U160,MATCH($B$5,$A113:$A160,0))/U161*U167,0))</f>
        <v>41541534.805231184</v>
      </c>
      <c r="V173">
        <f>IF('State Calculations'!V$5&lt;&gt;"",U173*(1+'State Calculations'!V$5),IFERROR(INDEX(V113:V160,MATCH($B$5,$A113:$A160,0))/V161*V167,0))</f>
        <v>41615787.802996784</v>
      </c>
      <c r="W173">
        <f>IF('State Calculations'!W$5&lt;&gt;"",V173*(1+'State Calculations'!W$5),IFERROR(INDEX(W113:W160,MATCH($B$5,$A113:$A160,0))/W161*W167,0))</f>
        <v>41689201.912368648</v>
      </c>
      <c r="X173">
        <f>IF('State Calculations'!X$5&lt;&gt;"",W173*(1+'State Calculations'!X$5),IFERROR(INDEX(X113:X160,MATCH($B$5,$A113:$A160,0))/X161*X167,0))</f>
        <v>41707308.687533721</v>
      </c>
      <c r="Y173">
        <f>IF('State Calculations'!Y$5&lt;&gt;"",X173*(1+'State Calculations'!Y$5),IFERROR(INDEX(Y113:Y160,MATCH($B$5,$A113:$A160,0))/Y161*Y167,0))</f>
        <v>41725360.941107512</v>
      </c>
      <c r="Z173">
        <f>IF('State Calculations'!Z$5&lt;&gt;"",Y173*(1+'State Calculations'!Z$5),IFERROR(INDEX(Z113:Z160,MATCH($B$5,$A113:$A160,0))/Z161*Z167,0))</f>
        <v>41743358.460034877</v>
      </c>
      <c r="AA173">
        <f>IF('State Calculations'!AA$5&lt;&gt;"",Z173*(1+'State Calculations'!AA$5),IFERROR(INDEX(AA113:AA160,MATCH($B$5,$A113:$A160,0))/AA161*AA167,0))</f>
        <v>41761301.030993797</v>
      </c>
      <c r="AB173">
        <f>IF('State Calculations'!AB$5&lt;&gt;"",AA173*(1+'State Calculations'!AB$5),IFERROR(INDEX(AB113:AB160,MATCH($B$5,$A113:$A160,0))/AB161*AB167,0))</f>
        <v>41779188.440397292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7412563.4964542575</v>
      </c>
      <c r="C2">
        <f>Calcs!C171</f>
        <v>8160637.9239623025</v>
      </c>
      <c r="D2">
        <f>Calcs!D171</f>
        <v>8953355.7775609847</v>
      </c>
      <c r="E2">
        <f>Calcs!E171</f>
        <v>9782654.5494704992</v>
      </c>
      <c r="F2">
        <f>Calcs!F171</f>
        <v>10633771.58074756</v>
      </c>
      <c r="G2">
        <f>Calcs!G171</f>
        <v>11480775.719001291</v>
      </c>
      <c r="H2">
        <f>Calcs!H171</f>
        <v>12279013.755329972</v>
      </c>
      <c r="I2">
        <f>Calcs!I171</f>
        <v>12453247.688605916</v>
      </c>
      <c r="J2">
        <f>Calcs!J171</f>
        <v>12610974.33257867</v>
      </c>
      <c r="K2">
        <f>Calcs!K171</f>
        <v>12748336.73530083</v>
      </c>
      <c r="L2">
        <f>Calcs!L171</f>
        <v>12860818.071869453</v>
      </c>
      <c r="M2">
        <f>Calcs!M171</f>
        <v>12943185.588076888</v>
      </c>
      <c r="N2">
        <f>Calcs!N171</f>
        <v>12954668.005037537</v>
      </c>
      <c r="O2">
        <f>Calcs!O171</f>
        <v>12963346.10924834</v>
      </c>
      <c r="P2">
        <f>Calcs!P171</f>
        <v>12969085.058505535</v>
      </c>
      <c r="Q2">
        <f>Calcs!Q171</f>
        <v>12971746.048742531</v>
      </c>
      <c r="R2">
        <f>Calcs!R171</f>
        <v>12971186.479981976</v>
      </c>
      <c r="S2">
        <f>Calcs!S171</f>
        <v>12970174.010058131</v>
      </c>
      <c r="T2">
        <f>Calcs!T171</f>
        <v>12968938.437132461</v>
      </c>
      <c r="U2">
        <f>Calcs!U171</f>
        <v>12967477.253216444</v>
      </c>
      <c r="V2">
        <f>Calcs!V171</f>
        <v>12965787.936451748</v>
      </c>
      <c r="W2">
        <f>Calcs!W171</f>
        <v>12963867.951460978</v>
      </c>
      <c r="X2">
        <f>Calcs!X171</f>
        <v>12963327.152656078</v>
      </c>
      <c r="Y2">
        <f>Calcs!Y171</f>
        <v>12962771.558635283</v>
      </c>
      <c r="Z2">
        <f>Calcs!Z171</f>
        <v>12962201.128639895</v>
      </c>
      <c r="AA2">
        <f>Calcs!AA171</f>
        <v>12961615.821860677</v>
      </c>
      <c r="AB2">
        <f>Calcs!AB171</f>
        <v>12961015.597438313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7412563.4964542575</v>
      </c>
      <c r="C2">
        <f>Calcs!C172</f>
        <v>8981305.8646639995</v>
      </c>
      <c r="D2">
        <f>Calcs!D172</f>
        <v>10812546.060616674</v>
      </c>
      <c r="E2">
        <f>Calcs!E172</f>
        <v>12920253.332103491</v>
      </c>
      <c r="F2">
        <f>Calcs!F172</f>
        <v>15300634.446677435</v>
      </c>
      <c r="G2">
        <f>Calcs!G172</f>
        <v>17918255.05780378</v>
      </c>
      <c r="H2">
        <f>Calcs!H172</f>
        <v>20685506.83816855</v>
      </c>
      <c r="I2">
        <f>Calcs!I172</f>
        <v>21373946.381063804</v>
      </c>
      <c r="J2">
        <f>Calcs!J172</f>
        <v>22039002.024085846</v>
      </c>
      <c r="K2">
        <f>Calcs!K172</f>
        <v>22671537.939453065</v>
      </c>
      <c r="L2">
        <f>Calcs!L172</f>
        <v>23261129.780971441</v>
      </c>
      <c r="M2">
        <f>Calcs!M172</f>
        <v>23796042.697643235</v>
      </c>
      <c r="N2">
        <f>Calcs!N172</f>
        <v>23910960.58471882</v>
      </c>
      <c r="O2">
        <f>Calcs!O172</f>
        <v>24020328.675652023</v>
      </c>
      <c r="P2">
        <f>Calcs!P172</f>
        <v>24123861.523532011</v>
      </c>
      <c r="Q2">
        <f>Calcs!Q172</f>
        <v>24221267.838261601</v>
      </c>
      <c r="R2">
        <f>Calcs!R172</f>
        <v>24312250.923116196</v>
      </c>
      <c r="S2">
        <f>Calcs!S172</f>
        <v>24333104.881904237</v>
      </c>
      <c r="T2">
        <f>Calcs!T172</f>
        <v>24353508.842785124</v>
      </c>
      <c r="U2">
        <f>Calcs!U172</f>
        <v>24373457.666282196</v>
      </c>
      <c r="V2">
        <f>Calcs!V172</f>
        <v>24392946.195305627</v>
      </c>
      <c r="W2">
        <f>Calcs!W172</f>
        <v>24411969.25589041</v>
      </c>
      <c r="X2">
        <f>Calcs!X172</f>
        <v>24416592.221498419</v>
      </c>
      <c r="Y2">
        <f>Calcs!Y172</f>
        <v>24421185.260805815</v>
      </c>
      <c r="Z2">
        <f>Calcs!Z172</f>
        <v>24425748.290938519</v>
      </c>
      <c r="AA2">
        <f>Calcs!AA172</f>
        <v>24430281.228962272</v>
      </c>
      <c r="AB2">
        <f>Calcs!AB172</f>
        <v>24434783.991883457</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7412563.4964542575</v>
      </c>
      <c r="C2">
        <f>Calcs!C173</f>
        <v>9659540.8924439475</v>
      </c>
      <c r="D2">
        <f>Calcs!D173</f>
        <v>12493605.600048319</v>
      </c>
      <c r="E2">
        <f>Calcs!E173</f>
        <v>16021811.53955524</v>
      </c>
      <c r="F2">
        <f>Calcs!F173</f>
        <v>20340896.589007217</v>
      </c>
      <c r="G2">
        <f>Calcs!G173</f>
        <v>25509667.998505082</v>
      </c>
      <c r="H2">
        <f>Calcs!H173</f>
        <v>31501411.448584013</v>
      </c>
      <c r="I2">
        <f>Calcs!I173</f>
        <v>33156089.159325473</v>
      </c>
      <c r="J2">
        <f>Calcs!J173</f>
        <v>34814363.433585741</v>
      </c>
      <c r="K2">
        <f>Calcs!K173</f>
        <v>36458087.462629199</v>
      </c>
      <c r="L2">
        <f>Calcs!L173</f>
        <v>38065512.609635077</v>
      </c>
      <c r="M2">
        <f>Calcs!M173</f>
        <v>39611047.714413635</v>
      </c>
      <c r="N2">
        <f>Calcs!N173</f>
        <v>39970488.875377797</v>
      </c>
      <c r="O2">
        <f>Calcs!O173</f>
        <v>40321197.950752974</v>
      </c>
      <c r="P2">
        <f>Calcs!P173</f>
        <v>40662479.355829969</v>
      </c>
      <c r="Q2">
        <f>Calcs!Q173</f>
        <v>40993616.833997741</v>
      </c>
      <c r="R2">
        <f>Calcs!R173</f>
        <v>41313874.31995371</v>
      </c>
      <c r="S2">
        <f>Calcs!S173</f>
        <v>41390564.951659851</v>
      </c>
      <c r="T2">
        <f>Calcs!T173</f>
        <v>41466456.138632052</v>
      </c>
      <c r="U2">
        <f>Calcs!U173</f>
        <v>41541534.805231184</v>
      </c>
      <c r="V2">
        <f>Calcs!V173</f>
        <v>41615787.802996784</v>
      </c>
      <c r="W2">
        <f>Calcs!W173</f>
        <v>41689201.912368648</v>
      </c>
      <c r="X2">
        <f>Calcs!X173</f>
        <v>41707308.687533721</v>
      </c>
      <c r="Y2">
        <f>Calcs!Y173</f>
        <v>41725360.941107512</v>
      </c>
      <c r="Z2">
        <f>Calcs!Z173</f>
        <v>41743358.460034877</v>
      </c>
      <c r="AA2">
        <f>Calcs!AA173</f>
        <v>41761301.030993797</v>
      </c>
      <c r="AB2">
        <f>Calcs!AB173</f>
        <v>41779188.440397292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2026-09-01T22:21:36Z</dcterms:modified>
</cp:coreProperties>
</file>