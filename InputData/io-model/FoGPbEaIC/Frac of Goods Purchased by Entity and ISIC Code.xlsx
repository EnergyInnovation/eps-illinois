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Keys" sheetId="2" state="visible" r:id="rId2"/>
    <sheet name="1_Gov_purchases_by_BEA" sheetId="3" state="visible" r:id="rId3"/>
    <sheet name="2_HH_purchases_by_BEA" sheetId="4" state="visible" r:id="rId4"/>
    <sheet name="3_Intl_purchases_by_BEA" sheetId="5" state="visible" r:id="rId5"/>
    <sheet name="4_DomInd_purchases_by_BEA" sheetId="6" state="visible" r:id="rId6"/>
    <sheet name="5_Total_purchases_by_BEA" sheetId="7" state="visible" r:id="rId7"/>
    <sheet name="1_Entity_totals" sheetId="8" state="visible" r:id="rId8"/>
    <sheet name="2_Row_tot_by_ISIC" sheetId="9" state="visible" r:id="rId9"/>
    <sheet name="Src_Stateior_SoI_TotUse" sheetId="10" state="visible" r:id="rId10"/>
    <sheet name="Src_Disagg_EIA_coal" sheetId="11" state="visible" r:id="rId11"/>
    <sheet name="Src_Disagg_heuristics" sheetId="12" state="visible" r:id="rId12"/>
    <sheet name="Crosswalk_BEA_to_ISIC" sheetId="13" state="visible" r:id="rId13"/>
    <sheet name="State_disagg_splits" sheetId="14" state="visible" r:id="rId14"/>
    <sheet name="NAICS_to_ISIC_Key" sheetId="15" state="visible" r:id="rId15"/>
    <sheet name="6_Calc_Gov_ISIC" sheetId="16" state="visible" r:id="rId16"/>
    <sheet name="7_Calc_HH_ISIC" sheetId="17" state="visible" r:id="rId17"/>
    <sheet name="8_Calc_Intl_ISIC" sheetId="18" state="visible" r:id="rId18"/>
    <sheet name="9_Calc_Total_ISIC" sheetId="19" state="visible" r:id="rId19"/>
    <sheet name="10_Calc_Entity_fractions" sheetId="20" state="visible" r:id="rId20"/>
    <sheet name="FoGPbEaIC-entity" sheetId="21" state="visible" r:id="rId21"/>
    <sheet name="FoGPbEaIC-isic" sheetId="22" state="visible" r:id="rId22"/>
  </sheets>
  <calcPr calcId="191029" fullCalcOnLoad="1"/>
</workbook>
</file>

<file path=xl/sharedStrings.xml><?xml version="1.0" encoding="utf-8"?>
<sst xmlns="http://schemas.openxmlformats.org/spreadsheetml/2006/main" count="664" uniqueCount="664">
  <si>
    <t xml:space="preserve">FoGPbEaIC - Fraction of Goods Purchased by Entity and ISIC Code</t>
  </si>
  <si>
    <t xml:space="preserve"/>
  </si>
  <si>
    <t xml:space="preserve">State: Illinois (IL)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</si>
  <si>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</si>
  <si>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</si>
  <si>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</si>
  <si>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Two outputs, both at 25-Industry-Category resolution (the subset of</t>
  </si>
  <si>
    <t xml:space="preserve">42 ISIC codes that represent tradeable goods + utilities + construction):</t>
  </si>
  <si>
    <t xml:space="preserve">FoGPbEaIC-entity (25 rows x 4 entity cols):</t>
  </si>
  <si>
    <t xml:space="preserve">  For each source ISIC, fraction of its output purchased by each of</t>
  </si>
  <si>
    <t xml:space="preserve">  {government, domestic industries, labor and consumers, foreign</t>
  </si>
  <si>
    <t xml:space="preserve">  entities}. Rows sum to 1.0 by construction.</t>
  </si>
  <si>
    <t xml:space="preserve">FoGPbEaIC-isic (25 rows x 42 ISIC cols):</t>
  </si>
  <si>
    <t xml:space="preserve">  For each source ISIC, fraction of its output consumed by each of</t>
  </si>
  <si>
    <t xml:space="preserve">  the 42 consumer ISIC industries.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</si>
  <si>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</si>
  <si>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</si>
  <si>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</si>
  <si>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</si>
  <si>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</si>
  <si>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</si>
  <si>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</si>
  <si>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</si>
  <si>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</si>
  <si>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</si>
  <si>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</si>
  <si>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</si>
  <si>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</si>
  <si>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</si>
  <si>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</si>
  <si>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</si>
  <si>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</si>
  <si>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</si>
  <si>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</si>
  <si>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</si>
  <si>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</si>
  <si>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</si>
  <si>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</si>
  <si>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</si>
  <si>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</si>
  <si>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</si>
  <si>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</si>
  <si>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</si>
  <si>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</si>
  <si>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</si>
  <si>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</si>
  <si>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</si>
  <si>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</si>
  <si>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</si>
  <si>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</si>
  <si>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</si>
  <si>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</si>
  <si>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</si>
  <si>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</si>
  <si>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</si>
  <si>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</si>
  <si>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</si>
  <si>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</si>
  <si>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</si>
  <si>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</si>
  <si>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</si>
  <si>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</si>
  <si>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</si>
  <si>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</si>
  <si>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</si>
  <si>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</si>
  <si>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FoGPbEaIC-entity is FORMULA-DERIVED from the per-BEA purchase-component</t>
  </si>
  <si>
    <t xml:space="preserve">tabs: each component is crosswalk-aggregated to ISIC, fractions are</t>
  </si>
  <si>
    <t xml:space="preserve">component / MAX(total, Keys floor), and 'domestic industries' is the</t>
  </si>
  <si>
    <t xml:space="preserve">clamped residual so each row sums to 1.</t>
  </si>
  <si>
    <t xml:space="preserve">Note: the component tabs (1-4) are pipeline VALUES - they row-sum the</t>
  </si>
  <si>
    <t xml:space="preserve">TWO-REGION Use table (SoI + RoUS final-demand columns), which is not</t>
  </si>
  <si>
    <t xml:space="preserve">fully embedded (Src tab holds the SoI block only; context/provenance).</t>
  </si>
  <si>
    <t xml:space="preserve">FoGPbEaIC-isic stays a pipeline value: it needs a 2-D (row AND column)</t>
  </si>
  <si>
    <t xml:space="preserve">BEA-&gt;ISIC aggregation of the Use block, out of scope for in-sheet</t>
  </si>
  <si>
    <t xml:space="preserve">formulas.</t>
  </si>
  <si>
    <t xml:space="preserve">Tabs:</t>
  </si>
  <si>
    <t xml:space="preserve">  - About / Keys</t>
  </si>
  <si>
    <t xml:space="preserve">  - 1-4_*_purchases_by_BEA - gov / household / intl / domestic-industry</t>
  </si>
  <si>
    <t xml:space="preserve">    purchases per BEA commodity (pipeline values)</t>
  </si>
  <si>
    <t xml:space="preserve">  - 5_Total_purchases_by_BEA = 1+2+3+4 (formulas)</t>
  </si>
  <si>
    <t xml:space="preserve">  - 1_Entity_totals / 2_Row_tot_by_ISIC (context)</t>
  </si>
  <si>
    <t xml:space="preserve">  - Src_Stateior_SoI_TotUse / coal / heuristics (context)</t>
  </si>
  <si>
    <t xml:space="preserve">  - Crosswalk / splits / NAICS key</t>
  </si>
  <si>
    <t xml:space="preserve">  - 6-9_Calc_*_ISIC - crosswalk-aggregate each component to ISIC</t>
  </si>
  <si>
    <t xml:space="preserve">  - 10_Calc_Entity_fractions - floor, ratio, residual clamp (25 categories)</t>
  </si>
  <si>
    <t xml:space="preserve">  - FoGPbEaIC-entity (formulas; matches FoGPbEaIC-entity.csv)</t>
  </si>
  <si>
    <t xml:space="preserve">  - FoGPbEaIC-isic (values; matches FoGPbEaIC-isic.csv)</t>
  </si>
  <si>
    <t xml:space="preserve">category</t>
  </si>
  <si>
    <t xml:space="preserve">key</t>
  </si>
  <si>
    <t xml:space="preserve">value</t>
  </si>
  <si>
    <t xml:space="preserve">description</t>
  </si>
  <si>
    <t xml:space="preserve">deflator</t>
  </si>
  <si>
    <t xml:space="preserve">deflator_nominal_to_2012</t>
  </si>
  <si>
    <t xml:space="preserve">Divide nominal 2019 USD by this to get 2012 USD. BEA chained GDP price index; 2012 = 100.000, 2019 = 112.266</t>
  </si>
  <si>
    <t xml:space="preserve">year</t>
  </si>
  <si>
    <t xml:space="preserve">base_year</t>
  </si>
  <si>
    <t xml:space="preserve">stateior base year; nominal-USD vintage of the source tabs</t>
  </si>
  <si>
    <t xml:space="preserve">numeric</t>
  </si>
  <si>
    <t xml:space="preserve">epsilon_div_floor</t>
  </si>
  <si>
    <t xml:space="preserve">Denominator floor for ratio outputs (DCS, ESoP): x/MAX(den, epsilon) avoids div-by-zero; mirrors pmax(den, 1e-9) in the R pipeline</t>
  </si>
  <si>
    <t xml:space="preserve">fogp_denom_floor_usd</t>
  </si>
  <si>
    <t xml:space="preserve">FoGP-entity denominator floor: total purchases per category floored at $1 (mirrors pmax(total, 1)); near-zero totals give near-zero fractions</t>
  </si>
  <si>
    <t xml:space="preserve">BEA_Summary_code</t>
  </si>
  <si>
    <t xml:space="preserve">gov_purchases_USD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</si>
  <si>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</si>
  <si>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</si>
  <si>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</si>
  <si>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</si>
  <si>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</si>
  <si>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</si>
  <si>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</si>
  <si>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</si>
  <si>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</si>
  <si>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</si>
  <si>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</si>
  <si>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</si>
  <si>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</si>
  <si>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</si>
  <si>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</si>
  <si>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</si>
  <si>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</si>
  <si>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</si>
  <si>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</si>
  <si>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</si>
  <si>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</si>
  <si>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</si>
  <si>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</si>
  <si>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</si>
  <si>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</si>
  <si>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</si>
  <si>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</si>
  <si>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</si>
  <si>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</si>
  <si>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</si>
  <si>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</si>
  <si>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</si>
  <si>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</si>
  <si>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</si>
  <si>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</si>
  <si>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</si>
  <si>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</si>
  <si>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</si>
  <si>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</si>
  <si>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</si>
  <si>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</si>
  <si>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</si>
  <si>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</si>
  <si>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</si>
  <si>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</si>
  <si>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</si>
  <si>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</si>
  <si>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</si>
  <si>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</si>
  <si>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</si>
  <si>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</si>
  <si>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</si>
  <si>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</si>
  <si>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</si>
  <si>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</si>
  <si>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</si>
  <si>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</si>
  <si>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</si>
  <si>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</si>
  <si>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</si>
  <si>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</si>
  <si>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</si>
  <si>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</si>
  <si>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</si>
  <si>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</si>
  <si>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</si>
  <si>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</si>
  <si>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</si>
  <si>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</si>
  <si>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</si>
  <si>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</si>
  <si>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</si>
  <si>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</si>
  <si>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hh_purchases_USD</t>
  </si>
  <si>
    <t xml:space="preserve">intl_purchases_USD (F040)</t>
  </si>
  <si>
    <t xml:space="preserve">domestic_industry_purchases_USD</t>
  </si>
  <si>
    <t xml:space="preserve">total_purchases_USD (= gov+hh+intl+domInd)</t>
  </si>
  <si>
    <t xml:space="preserve">Entity</t>
  </si>
  <si>
    <t xml:space="preserve">SoI_total_USD</t>
  </si>
  <si>
    <t xml:space="preserve">Government</t>
  </si>
  <si>
    <t xml:space="preserve">Households</t>
  </si>
  <si>
    <t xml:space="preserve">Intl Exports</t>
  </si>
  <si>
    <t xml:space="preserve">Domestic Industries</t>
  </si>
  <si>
    <t xml:space="preserve">ISIC_code</t>
  </si>
  <si>
    <t xml:space="preserve">total_consumption_USD</t>
  </si>
  <si>
    <t xml:space="preserve">01T03</t>
  </si>
  <si>
    <t xml:space="preserve">05</t>
  </si>
  <si>
    <t xml:space="preserve">06</t>
  </si>
  <si>
    <t xml:space="preserve">07T08</t>
  </si>
  <si>
    <t xml:space="preserve">09</t>
  </si>
  <si>
    <t xml:space="preserve">10T12</t>
  </si>
  <si>
    <t xml:space="preserve">13T15</t>
  </si>
  <si>
    <t xml:space="preserve">16</t>
  </si>
  <si>
    <t xml:space="preserve">17T18</t>
  </si>
  <si>
    <t xml:space="preserve">19</t>
  </si>
  <si>
    <t xml:space="preserve">20</t>
  </si>
  <si>
    <t xml:space="preserve">21</t>
  </si>
  <si>
    <t xml:space="preserve">231</t>
  </si>
  <si>
    <t xml:space="preserve">239</t>
  </si>
  <si>
    <t xml:space="preserve">241</t>
  </si>
  <si>
    <t xml:space="preserve">242</t>
  </si>
  <si>
    <t xml:space="preserve">25</t>
  </si>
  <si>
    <t xml:space="preserve">26</t>
  </si>
  <si>
    <t xml:space="preserve">27</t>
  </si>
  <si>
    <t xml:space="preserve">28</t>
  </si>
  <si>
    <t xml:space="preserve">29</t>
  </si>
  <si>
    <t xml:space="preserve">30</t>
  </si>
  <si>
    <t xml:space="preserve">31T33</t>
  </si>
  <si>
    <t xml:space="preserve">351</t>
  </si>
  <si>
    <t xml:space="preserve">352T353</t>
  </si>
  <si>
    <t xml:space="preserve">36T39</t>
  </si>
  <si>
    <t xml:space="preserve">41T43</t>
  </si>
  <si>
    <t xml:space="preserve">45T47</t>
  </si>
  <si>
    <t xml:space="preserve">49T53</t>
  </si>
  <si>
    <t xml:space="preserve">55T56</t>
  </si>
  <si>
    <t xml:space="preserve">58T60</t>
  </si>
  <si>
    <t xml:space="preserve">62T63</t>
  </si>
  <si>
    <t xml:space="preserve">64T66</t>
  </si>
  <si>
    <t xml:space="preserve">68</t>
  </si>
  <si>
    <t xml:space="preserve">69T82</t>
  </si>
  <si>
    <t xml:space="preserve">84</t>
  </si>
  <si>
    <t xml:space="preserve">85</t>
  </si>
  <si>
    <t xml:space="preserve">86T88</t>
  </si>
  <si>
    <t xml:space="preserve">90T96</t>
  </si>
  <si>
    <t xml:space="preserve">97T98</t>
  </si>
  <si>
    <t xml:space="preserve">State-of-Interest Total Use matrix at BEA Summary resolution, from</t>
  </si>
  <si>
    <t xml:space="preserve">EPA stateior. Rows = commodities, columns = industries + final demand</t>
  </si>
  <si>
    <t xml:space="preserve">categories (F01* PCE, F02* investment, F06* fed nondefense, F07* fed</t>
  </si>
  <si>
    <t xml:space="preserve">defense, F10* state and local, F040 intl exports, F050 intl imports).</t>
  </si>
  <si>
    <t xml:space="preserve">Values in nominal 2019 USD. This is the raw input used to compute</t>
  </si>
  <si>
    <t xml:space="preserve">DCS, ESoP, government/household expenditures, and Leontief coefficients.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</si>
  <si>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</si>
  <si>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</si>
  <si>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</si>
  <si>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</si>
  <si>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</si>
  <si>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</si>
  <si>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</si>
  <si>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</si>
  <si>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</si>
  <si>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</si>
  <si>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</si>
  <si>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</si>
  <si>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</si>
  <si>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</si>
  <si>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</si>
  <si>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</si>
  <si>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</si>
  <si>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</si>
  <si>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</si>
  <si>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</si>
  <si>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</si>
  <si>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</si>
  <si>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</si>
  <si>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</si>
  <si>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IL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</si>
  <si>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</si>
  <si>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</si>
  <si>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</si>
  <si>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</si>
  <si>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</si>
  <si>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</si>
  <si>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</si>
  <si>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</si>
  <si>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</si>
  <si>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</si>
  <si>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</si>
  <si>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</si>
  <si>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</si>
  <si>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</si>
  <si>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</si>
  <si>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</si>
  <si>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</si>
  <si>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</si>
  <si>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</si>
  <si>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</si>
  <si>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</si>
  <si>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</si>
  <si>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</si>
  <si>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</si>
  <si>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</si>
  <si>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</si>
  <si>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</si>
  <si>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</si>
  <si>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</si>
  <si>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</si>
  <si>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</si>
  <si>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</si>
  <si>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</si>
  <si>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</si>
  <si>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</si>
  <si>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</si>
  <si>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</si>
  <si>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</si>
  <si>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</si>
  <si>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</si>
  <si>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</si>
  <si>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</si>
  <si>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</si>
  <si>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</si>
  <si>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</si>
  <si>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</si>
  <si>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</si>
  <si>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</si>
  <si>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</si>
  <si>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</si>
  <si>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</si>
  <si>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</si>
  <si>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</si>
  <si>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</si>
  <si>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</si>
  <si>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</si>
  <si>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</si>
  <si>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</si>
  <si>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</si>
  <si>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</si>
  <si>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</si>
  <si>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</si>
  <si>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</si>
  <si>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</si>
  <si>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</si>
  <si>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</si>
  <si>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</si>
  <si>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</si>
  <si>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</si>
  <si>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</si>
  <si>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</si>
  <si>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</si>
  <si>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</si>
  <si>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</si>
  <si>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</si>
  <si>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</si>
  <si>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</si>
  <si>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</si>
  <si>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</si>
  <si>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</si>
  <si>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</si>
  <si>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</si>
  <si>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</si>
  <si>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</si>
  <si>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</si>
  <si>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</si>
  <si>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</si>
  <si>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</si>
  <si>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</si>
  <si>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</si>
  <si>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</si>
  <si>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</si>
  <si>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</si>
  <si>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</si>
  <si>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</si>
  <si>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</si>
  <si>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</si>
  <si>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</si>
  <si>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IL.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</si>
  <si>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</si>
  <si>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</si>
  <si>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</si>
  <si>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</si>
  <si>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</si>
  <si>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</si>
  <si>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</si>
  <si>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</si>
  <si>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</si>
  <si>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</si>
  <si>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Agriculture, forestry, fishing</t>
  </si>
  <si>
    <t xml:space="preserve">Forestry, fishing, related</t>
  </si>
  <si>
    <t xml:space="preserve">Oil and gas extraction</t>
  </si>
  <si>
    <t xml:space="preserve">Extraction of crude petroleum and natural gas</t>
  </si>
  <si>
    <t xml:space="preserve">Support activities for mining</t>
  </si>
  <si>
    <t xml:space="preserve">Mining support service activities</t>
  </si>
  <si>
    <t xml:space="preserve">Utilities</t>
  </si>
  <si>
    <t xml:space="preserve">Electricity</t>
  </si>
  <si>
    <t xml:space="preserve">BEA 2012 Detail: electric ~72% of 22 output</t>
  </si>
  <si>
    <t xml:space="preserve">Gas, steam, AC</t>
  </si>
  <si>
    <t xml:space="preserve">BEA Detail: gas distribution ~20%</t>
  </si>
  <si>
    <t xml:space="preserve">Water, sewerage, waste</t>
  </si>
  <si>
    <t xml:space="preserve">BEA Detail: water/sewage ~8%</t>
  </si>
  <si>
    <t xml:space="preserve">Construction</t>
  </si>
  <si>
    <t xml:space="preserve">Food, beverage, tobacco</t>
  </si>
  <si>
    <t xml:space="preserve">Food, beverages, tobacco</t>
  </si>
  <si>
    <t xml:space="preserve">Textile mills and textile product mills</t>
  </si>
  <si>
    <t xml:space="preserve">Textiles, apparel, leather</t>
  </si>
  <si>
    <t xml:space="preserve">Apparel and leather</t>
  </si>
  <si>
    <t xml:space="preserve">Wood products</t>
  </si>
  <si>
    <t xml:space="preserve">Wood and products of wood and cork</t>
  </si>
  <si>
    <t xml:space="preserve">Paper products</t>
  </si>
  <si>
    <t xml:space="preserve">Paper products and printing</t>
  </si>
  <si>
    <t xml:space="preserve">Printing and related</t>
  </si>
  <si>
    <t xml:space="preserve">Petroleum and coal products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</si>
  <si>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</si>
  <si>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</si>
  <si>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</si>
  <si>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</si>
  <si>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</si>
  <si>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</si>
  <si>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</si>
  <si>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Machinery</t>
  </si>
  <si>
    <t xml:space="preserve">Machinery and equipment n.e.c.</t>
  </si>
  <si>
    <t xml:space="preserve">Computer and electronic products</t>
  </si>
  <si>
    <t xml:space="preserve">Computer, electronic and optical products</t>
  </si>
  <si>
    <t xml:space="preserve">Electrical equipment, appliances</t>
  </si>
  <si>
    <t xml:space="preserve">Electrical equipment</t>
  </si>
  <si>
    <t xml:space="preserve">Motor vehicles, bodies, trailers, parts</t>
  </si>
  <si>
    <t xml:space="preserve">Motor vehicles, trailers, semi-trailers</t>
  </si>
  <si>
    <t xml:space="preserve">Other transportation equipment</t>
  </si>
  <si>
    <t xml:space="preserve">Other transport equipment</t>
  </si>
  <si>
    <t xml:space="preserve">Furniture and related products</t>
  </si>
  <si>
    <t xml:space="preserve">Furniture; other manufacturing; repair</t>
  </si>
  <si>
    <t xml:space="preserve">Miscellaneous manufacturing</t>
  </si>
  <si>
    <t xml:space="preserve">Wholesale trade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</si>
  <si>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</si>
  <si>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</si>
  <si>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</si>
  <si>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</si>
  <si>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</si>
  <si>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</si>
  <si>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</si>
  <si>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</si>
  <si>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</si>
  <si>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</si>
  <si>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</si>
  <si>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</si>
  <si>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</si>
  <si>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</si>
  <si>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</si>
  <si>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</si>
  <si>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</si>
  <si>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</si>
  <si>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</si>
  <si>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</si>
  <si>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</si>
  <si>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</si>
  <si>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</si>
  <si>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IT and other information services</t>
  </si>
  <si>
    <t xml:space="preserve">Federal Reserve banks, credit intermediation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</si>
  <si>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</si>
  <si>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</si>
  <si>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</si>
  <si>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</si>
  <si>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</si>
  <si>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Real estate activities</t>
  </si>
  <si>
    <t xml:space="preserve">Other real estate</t>
  </si>
  <si>
    <t xml:space="preserve">Rental and leasing (excl real estate)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</si>
  <si>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</si>
  <si>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</si>
  <si>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</si>
  <si>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</si>
  <si>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</si>
  <si>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</si>
  <si>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</si>
  <si>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</si>
  <si>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</si>
  <si>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</si>
  <si>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</si>
  <si>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Education</t>
  </si>
  <si>
    <t xml:space="preserve">Ambulatory health care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</si>
  <si>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</si>
  <si>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</si>
  <si>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</si>
  <si>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</si>
  <si>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</si>
  <si>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Arts, entertainment and other services</t>
  </si>
  <si>
    <t xml:space="preserve">Amusements, gambling, recreation</t>
  </si>
  <si>
    <t xml:space="preserve">Accommodation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</si>
  <si>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</si>
  <si>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</si>
  <si>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</si>
  <si>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</si>
  <si>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</si>
  <si>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</si>
  <si>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</si>
  <si>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</si>
  <si>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</si>
  <si>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</si>
  <si>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Mining of coal and lignite</t>
  </si>
  <si>
    <t xml:space="preserve">coal/(coal+nonfuel) mine-value share, 2012 USD: EIA coal 2019 $1737M + USGS T3 nonfuel 2021 $1038M [nonfuel partial total] -&gt; coal share 0.626 (applied to stateior 212 $2908M)</t>
  </si>
  <si>
    <t xml:space="preserve">Other mining and quarrying</t>
  </si>
  <si>
    <t xml:space="preserve">Nonmetallic minerals</t>
  </si>
  <si>
    <t xml:space="preserve">Glass</t>
  </si>
  <si>
    <t xml:space="preserve">HEURISTIC (GHGRP Subpart H cement state list + glass industry profile; Census ASM suppressed or missing)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</si>
  <si>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</si>
  <si>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</si>
  <si>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</si>
  <si>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Aluminum, nonferrous, foundries</t>
  </si>
  <si>
    <t xml:space="preserve">Chemicals</t>
  </si>
  <si>
    <t xml:space="preserve">Chemicals and chemical products</t>
  </si>
  <si>
    <t xml:space="preserve">HEURISTIC (Census ASM suppressed or unpulled)</t>
  </si>
  <si>
    <t xml:space="preserve">Pharmaceuticals</t>
  </si>
  <si>
    <t xml:space="preserve">State-specific disaggregation ratios applied for IL.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</si>
  <si>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</si>
  <si>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</si>
  <si>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</si>
  <si>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</si>
  <si>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</si>
  <si>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</si>
  <si>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</si>
  <si>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</si>
  <si>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</si>
  <si>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</si>
  <si>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</si>
  <si>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</si>
  <si>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</si>
  <si>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</si>
  <si>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</si>
  <si>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</si>
  <si>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</si>
  <si>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</si>
  <si>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</si>
  <si>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</si>
  <si>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</si>
  <si>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</si>
  <si>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</si>
  <si>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</si>
  <si>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</si>
  <si>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</si>
  <si>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</si>
  <si>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</si>
  <si>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</si>
  <si>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</si>
  <si>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</si>
  <si>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</si>
  <si>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</si>
  <si>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</si>
  <si>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</si>
  <si>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</si>
  <si>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</si>
  <si>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</si>
  <si>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</si>
  <si>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</si>
  <si>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</si>
  <si>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</si>
  <si>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</si>
  <si>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</si>
  <si>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</si>
  <si>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</si>
  <si>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</si>
  <si>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</si>
  <si>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</si>
  <si>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</si>
  <si>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</si>
  <si>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</si>
  <si>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</si>
  <si>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</si>
  <si>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</si>
  <si>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</si>
  <si>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</si>
  <si>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</si>
  <si>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</si>
  <si>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</si>
  <si>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</si>
  <si>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</si>
  <si>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</si>
  <si>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</si>
  <si>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</si>
  <si>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</si>
  <si>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</si>
  <si>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</si>
  <si>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</si>
  <si>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</si>
  <si>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</si>
  <si>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</si>
  <si>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</si>
  <si>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</si>
  <si>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</si>
  <si>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</si>
  <si>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</si>
  <si>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</si>
  <si>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</si>
  <si>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Households as employers; undifferentiated production (zero in EPS)</t>
  </si>
  <si>
    <t xml:space="preserve">Designed zero row: households as employers (NAICS 814)</t>
  </si>
  <si>
    <t xml:space="preserve">STEP 1 - read BEA code / ISIC code / weight live from the Crosswalk tab, pull each BEA value from the source tab, then weight it</t>
  </si>
  <si>
    <t xml:space="preserve">BEA_value_nominal</t>
  </si>
  <si>
    <t xml:space="preserve">weighted_nominal</t>
  </si>
  <si>
    <t xml:space="preserve">STEP 2 - aggregate weighted values to 42 ISIC (no deflation; passthrough column C = B)</t>
  </si>
  <si>
    <t xml:space="preserve">aggregated_nominal</t>
  </si>
  <si>
    <t xml:space="preserve">value (no deflation)</t>
  </si>
  <si>
    <t xml:space="preserve">Entity fractions per Industry Category: component / MAX(total, Keys fogp floor); domestic industries = MAX(0, 1 - gov - hh - intl) so rows sum to 1</t>
  </si>
  <si>
    <t xml:space="preserve">gov_ISIC</t>
  </si>
  <si>
    <t xml:space="preserve">hh_ISIC</t>
  </si>
  <si>
    <t xml:space="preserve">intl_ISIC</t>
  </si>
  <si>
    <t xml:space="preserve">total_ISIC</t>
  </si>
  <si>
    <t xml:space="preserve">denom (floored)</t>
  </si>
  <si>
    <t xml:space="preserve">gov_frac</t>
  </si>
  <si>
    <t xml:space="preserve">hh_frac (labor and consumers)</t>
  </si>
  <si>
    <t xml:space="preserve">intl_frac (foreign entities)</t>
  </si>
  <si>
    <t xml:space="preserve">domind_frac (residual)</t>
  </si>
  <si>
    <t xml:space="preserve">label</t>
  </si>
  <si>
    <t xml:space="preserve">government</t>
  </si>
  <si>
    <t xml:space="preserve">domestic industries</t>
  </si>
  <si>
    <t xml:space="preserve">labor and consumers</t>
  </si>
  <si>
    <t xml:space="preserve">foreign entities</t>
  </si>
  <si>
    <t xml:space="preserve">agriculture and forestry 01T03</t>
  </si>
  <si>
    <t xml:space="preserve">coal mining 05</t>
  </si>
  <si>
    <t xml:space="preserve">oil and gas extraction 06</t>
  </si>
  <si>
    <t xml:space="preserve">other mining and quarrying 07T08</t>
  </si>
  <si>
    <t xml:space="preserve">food beverage and tobacco 10T12</t>
  </si>
  <si>
    <t xml:space="preserve">textiles apparel and leather 13T15</t>
  </si>
  <si>
    <t xml:space="preserve">wood products 16</t>
  </si>
  <si>
    <t xml:space="preserve">pulp paper and printing 17T18</t>
  </si>
  <si>
    <t xml:space="preserve">refined petroleum and coke 19</t>
  </si>
  <si>
    <t xml:space="preserve">chemicals 20</t>
  </si>
  <si>
    <t xml:space="preserve">rubber and plastic products 22</t>
  </si>
  <si>
    <t xml:space="preserve">glass and glass products 231</t>
  </si>
  <si>
    <t xml:space="preserve">cement and other nonmetallic minerals 239</t>
  </si>
  <si>
    <t xml:space="preserve">iron and steel 241</t>
  </si>
  <si>
    <t xml:space="preserve">other metals 242</t>
  </si>
  <si>
    <t xml:space="preserve">metal products except machinery and vehicles 25</t>
  </si>
  <si>
    <t xml:space="preserve">computers and electronics 26</t>
  </si>
  <si>
    <t xml:space="preserve">appliances and electrical equipment 27</t>
  </si>
  <si>
    <t xml:space="preserve">other machinery 28</t>
  </si>
  <si>
    <t xml:space="preserve">road vehicles 29</t>
  </si>
  <si>
    <t xml:space="preserve">nonroad vehicles 30</t>
  </si>
  <si>
    <t xml:space="preserve">other manufacturing 31T33</t>
  </si>
  <si>
    <t xml:space="preserve">energy pipelines and gas processing 352T353</t>
  </si>
  <si>
    <t xml:space="preserve">water and waste 36T39</t>
  </si>
  <si>
    <t xml:space="preserve">construction 41T43</t>
  </si>
  <si>
    <t xml:space="preserve">ISIC 01T03</t>
  </si>
  <si>
    <t xml:space="preserve">ISIC 05</t>
  </si>
  <si>
    <t xml:space="preserve">ISIC 06</t>
  </si>
  <si>
    <t xml:space="preserve">ISIC 07T08</t>
  </si>
  <si>
    <t xml:space="preserve">ISIC 09</t>
  </si>
  <si>
    <t xml:space="preserve">ISIC 10T12</t>
  </si>
  <si>
    <t xml:space="preserve">ISIC 13T15</t>
  </si>
  <si>
    <t xml:space="preserve">ISIC 16</t>
  </si>
  <si>
    <t xml:space="preserve">ISIC 17T18</t>
  </si>
  <si>
    <t xml:space="preserve">ISIC 19</t>
  </si>
  <si>
    <t xml:space="preserve">ISIC 20</t>
  </si>
  <si>
    <t xml:space="preserve">ISIC 21</t>
  </si>
  <si>
    <t xml:space="preserve">ISIC 22</t>
  </si>
  <si>
    <t xml:space="preserve">ISIC 231</t>
  </si>
  <si>
    <t xml:space="preserve">ISIC 239</t>
  </si>
  <si>
    <t xml:space="preserve">ISIC 241</t>
  </si>
  <si>
    <t xml:space="preserve">ISIC 242</t>
  </si>
  <si>
    <t xml:space="preserve">ISIC 25</t>
  </si>
  <si>
    <t xml:space="preserve">ISIC 26</t>
  </si>
  <si>
    <t xml:space="preserve">ISIC 27</t>
  </si>
  <si>
    <t xml:space="preserve">ISIC 28</t>
  </si>
  <si>
    <t xml:space="preserve">ISIC 29</t>
  </si>
  <si>
    <t xml:space="preserve">ISIC 30</t>
  </si>
  <si>
    <t xml:space="preserve">ISIC 31T33</t>
  </si>
  <si>
    <t xml:space="preserve">ISIC 351</t>
  </si>
  <si>
    <t xml:space="preserve">ISIC 352T353</t>
  </si>
  <si>
    <t xml:space="preserve">ISIC 36T39</t>
  </si>
  <si>
    <t xml:space="preserve">ISIC 41T43</t>
  </si>
  <si>
    <t xml:space="preserve">ISIC 45T47</t>
  </si>
  <si>
    <t xml:space="preserve">ISIC 49T53</t>
  </si>
  <si>
    <t xml:space="preserve">ISIC 55T56</t>
  </si>
  <si>
    <t xml:space="preserve">ISIC 58T60</t>
  </si>
  <si>
    <t xml:space="preserve">ISIC 61</t>
  </si>
  <si>
    <t xml:space="preserve">ISIC 62T63</t>
  </si>
  <si>
    <t xml:space="preserve">ISIC 64T66</t>
  </si>
  <si>
    <t xml:space="preserve">ISIC 68</t>
  </si>
  <si>
    <t xml:space="preserve">ISIC 69T82</t>
  </si>
  <si>
    <t xml:space="preserve">ISIC 84</t>
  </si>
  <si>
    <t xml:space="preserve">ISIC 85</t>
  </si>
  <si>
    <t xml:space="preserve">ISIC 86T88</t>
  </si>
  <si>
    <t xml:space="preserve">ISIC 90T96</t>
  </si>
  <si>
    <t xml:space="preserve">ISIC 97T98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</si>
</sst>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1</v>
      </c>
    </row>
    <row r="12">
      <c r="A12" t="s">
        <v>8</v>
      </c>
    </row>
    <row r="13">
      <c r="A13" t="s">
        <v>9</v>
      </c>
    </row>
    <row r="14">
      <c r="A14" t="s">
        <v>10</v>
      </c>
    </row>
    <row r="15">
      <c r="A15" t="s">
        <v>11</v>
      </c>
    </row>
    <row r="16">
      <c r="A16" t="s">
        <v>1</v>
      </c>
    </row>
    <row r="17">
      <c r="A17" t="s">
        <v>12</v>
      </c>
    </row>
    <row r="18">
      <c r="A18" t="s">
        <v>13</v>
      </c>
    </row>
    <row r="19">
      <c r="A19" t="s">
        <v>14</v>
      </c>
    </row>
    <row r="20">
      <c r="A20" t="s">
        <v>1</v>
      </c>
    </row>
    <row r="21">
      <c r="A21" t="s">
        <v>4</v>
      </c>
    </row>
    <row r="22">
      <c r="A22" t="s">
        <v>15</v>
      </c>
    </row>
    <row r="23">
      <c r="A23" t="s">
        <v>4</v>
      </c>
    </row>
    <row r="24">
      <c r="A24" t="s">
        <v>16</v>
      </c>
    </row>
    <row r="25">
      <c r="A25" t="s">
        <v>17</v>
      </c>
    </row>
    <row r="26">
      <c r="A26" t="s">
        <v>1</v>
      </c>
    </row>
    <row r="27">
      <c r="A27" t="s">
        <v>18</v>
      </c>
    </row>
    <row r="28">
      <c r="A28" t="s">
        <v>19</v>
      </c>
    </row>
    <row r="29">
      <c r="A29" t="s">
        <v>20</v>
      </c>
    </row>
    <row r="30">
      <c r="A30" t="s">
        <v>21</v>
      </c>
    </row>
    <row r="31">
      <c r="A31" t="s">
        <v>22</v>
      </c>
    </row>
    <row r="32">
      <c r="A32" t="s">
        <v>23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1</v>
      </c>
    </row>
    <row r="39">
      <c r="A39" t="s">
        <v>29</v>
      </c>
    </row>
    <row r="40">
      <c r="A40" t="s">
        <v>30</v>
      </c>
    </row>
    <row r="41">
      <c r="A41" t="s">
        <v>1</v>
      </c>
    </row>
    <row r="42">
      <c r="A42" t="s">
        <v>4</v>
      </c>
    </row>
    <row r="43">
      <c r="A43" t="s">
        <v>31</v>
      </c>
    </row>
    <row r="44">
      <c r="A44" t="s">
        <v>4</v>
      </c>
    </row>
    <row r="45">
      <c r="A45" t="s">
        <v>32</v>
      </c>
    </row>
    <row r="46">
      <c r="A46" t="s">
        <v>33</v>
      </c>
    </row>
    <row r="47">
      <c r="A47" t="s">
        <v>34</v>
      </c>
    </row>
    <row r="48">
      <c r="A48" t="s">
        <v>1</v>
      </c>
    </row>
    <row r="49">
      <c r="A49" t="s">
        <v>35</v>
      </c>
    </row>
    <row r="50">
      <c r="A50" t="s">
        <v>36</v>
      </c>
    </row>
    <row r="51">
      <c r="A51" t="s">
        <v>37</v>
      </c>
    </row>
    <row r="52">
      <c r="A52" t="s">
        <v>1</v>
      </c>
    </row>
    <row r="53">
      <c r="A53" t="s">
        <v>38</v>
      </c>
    </row>
    <row r="54">
      <c r="A54" t="s">
        <v>39</v>
      </c>
    </row>
    <row r="55">
      <c r="A55" t="s">
        <v>40</v>
      </c>
    </row>
    <row r="56">
      <c r="A56" t="s">
        <v>1</v>
      </c>
    </row>
    <row r="57">
      <c r="A57" t="s">
        <v>41</v>
      </c>
    </row>
    <row r="58">
      <c r="A58" t="s">
        <v>42</v>
      </c>
    </row>
    <row r="59">
      <c r="A59" t="s">
        <v>43</v>
      </c>
    </row>
    <row r="60">
      <c r="A60" t="s">
        <v>1</v>
      </c>
    </row>
    <row r="61">
      <c r="A61" t="s">
        <v>44</v>
      </c>
    </row>
    <row r="62">
      <c r="A62" t="s">
        <v>45</v>
      </c>
    </row>
    <row r="63">
      <c r="A63" t="s">
        <v>46</v>
      </c>
    </row>
    <row r="64">
      <c r="A64" t="s">
        <v>1</v>
      </c>
    </row>
    <row r="65">
      <c r="A65" t="s">
        <v>47</v>
      </c>
    </row>
    <row r="66">
      <c r="A66" t="s">
        <v>48</v>
      </c>
    </row>
    <row r="67">
      <c r="A67" t="s">
        <v>49</v>
      </c>
    </row>
    <row r="68">
      <c r="A68" t="s">
        <v>1</v>
      </c>
    </row>
    <row r="69">
      <c r="A69" t="s">
        <v>50</v>
      </c>
    </row>
    <row r="70">
      <c r="A70" t="s">
        <v>51</v>
      </c>
    </row>
    <row r="71">
      <c r="A71" t="s">
        <v>52</v>
      </c>
    </row>
    <row r="72">
      <c r="A72" t="s">
        <v>1</v>
      </c>
    </row>
    <row r="73">
      <c r="A73" t="s">
        <v>53</v>
      </c>
    </row>
    <row r="74">
      <c r="A74" t="s">
        <v>54</v>
      </c>
    </row>
    <row r="75">
      <c r="A75" t="s">
        <v>55</v>
      </c>
    </row>
    <row r="76">
      <c r="A76" t="s">
        <v>1</v>
      </c>
    </row>
    <row r="77">
      <c r="A77" t="s">
        <v>56</v>
      </c>
    </row>
    <row r="78">
      <c r="A78" t="s">
        <v>57</v>
      </c>
    </row>
    <row r="79">
      <c r="A79" t="s">
        <v>58</v>
      </c>
    </row>
    <row r="80">
      <c r="A80" t="s">
        <v>1</v>
      </c>
    </row>
    <row r="81">
      <c r="A81" t="s">
        <v>59</v>
      </c>
    </row>
    <row r="82">
      <c r="A82" t="s">
        <v>60</v>
      </c>
    </row>
    <row r="83">
      <c r="A83" t="s">
        <v>61</v>
      </c>
    </row>
    <row r="84">
      <c r="A84" t="s">
        <v>1</v>
      </c>
    </row>
    <row r="85">
      <c r="A85" t="s">
        <v>62</v>
      </c>
    </row>
    <row r="86">
      <c r="A86" t="s">
        <v>63</v>
      </c>
    </row>
    <row r="87">
      <c r="A87" t="s">
        <v>64</v>
      </c>
    </row>
    <row r="88">
      <c r="A88" t="s">
        <v>1</v>
      </c>
    </row>
    <row r="89">
      <c r="A89" t="s">
        <v>4</v>
      </c>
    </row>
    <row r="90">
      <c r="A90" t="s">
        <v>65</v>
      </c>
    </row>
    <row r="91">
      <c r="A91" t="s">
        <v>4</v>
      </c>
    </row>
    <row r="92">
      <c r="A92" t="s">
        <v>66</v>
      </c>
    </row>
    <row r="93">
      <c r="A93" t="s">
        <v>67</v>
      </c>
    </row>
    <row r="94">
      <c r="A94" t="s">
        <v>68</v>
      </c>
    </row>
    <row r="95">
      <c r="A95" t="s">
        <v>69</v>
      </c>
    </row>
    <row r="96">
      <c r="A96" t="s">
        <v>1</v>
      </c>
    </row>
    <row r="97">
      <c r="A97" t="s">
        <v>70</v>
      </c>
    </row>
    <row r="98">
      <c r="A98" t="s">
        <v>71</v>
      </c>
    </row>
    <row r="99">
      <c r="A99" t="s">
        <v>72</v>
      </c>
    </row>
    <row r="100">
      <c r="A100" t="s">
        <v>73</v>
      </c>
    </row>
    <row r="101">
      <c r="A101" t="s">
        <v>74</v>
      </c>
    </row>
    <row r="102">
      <c r="A102" t="s">
        <v>75</v>
      </c>
    </row>
    <row r="103">
      <c r="A103" t="s">
        <v>1</v>
      </c>
    </row>
    <row r="104">
      <c r="A104" t="s">
        <v>76</v>
      </c>
    </row>
    <row r="105">
      <c r="A105" t="s">
        <v>77</v>
      </c>
    </row>
    <row r="106">
      <c r="A106" t="s">
        <v>78</v>
      </c>
    </row>
    <row r="107">
      <c r="A107" t="s">
        <v>79</v>
      </c>
    </row>
    <row r="108">
      <c r="A108" t="s">
        <v>80</v>
      </c>
    </row>
    <row r="109">
      <c r="A109" t="s">
        <v>81</v>
      </c>
    </row>
    <row r="110">
      <c r="A110" t="s">
        <v>82</v>
      </c>
    </row>
    <row r="111">
      <c r="A111" t="s">
        <v>83</v>
      </c>
    </row>
    <row r="112">
      <c r="A112" t="s">
        <v>84</v>
      </c>
    </row>
    <row r="113">
      <c r="A113" t="s">
        <v>85</v>
      </c>
    </row>
    <row r="114">
      <c r="A114" t="s">
        <v>86</v>
      </c>
    </row>
    <row r="115">
      <c r="A115" t="s">
        <v>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.71" hidden="0" customWidth="1"/>
    <col min="2" max="2" width="26.71" hidden="0" customWidth="1"/>
    <col min="3" max="3" width="14.71" hidden="0" customWidth="1"/>
    <col min="4" max="4" width="82.71" hidden="0" customWidth="1"/>
  </cols>
  <sheetData>
    <row r="1">
      <c r="A1" t="s">
        <v>88</v>
      </c>
      <c r="B1" t="s">
        <v>89</v>
      </c>
      <c r="C1" t="s">
        <v>90</v>
      </c>
      <c r="D1" t="s">
        <v>91</v>
      </c>
    </row>
    <row r="2">
      <c r="A2" t="s">
        <v>92</v>
      </c>
      <c r="B2" t="s">
        <v>93</v>
      </c>
      <c r="C2" t="n">
        <v>1.12266</v>
      </c>
      <c r="D2" t="s">
        <v>94</v>
      </c>
    </row>
    <row r="3">
      <c r="A3" t="s">
        <v>95</v>
      </c>
      <c r="B3" t="s">
        <v>96</v>
      </c>
      <c r="C3" t="n">
        <v>2019</v>
      </c>
      <c r="D3" t="s">
        <v>97</v>
      </c>
    </row>
    <row r="4">
      <c r="A4" t="s">
        <v>98</v>
      </c>
      <c r="B4" t="s">
        <v>99</v>
      </c>
      <c r="C4" t="n">
        <v>0.000000001</v>
      </c>
      <c r="D4" t="s">
        <v>100</v>
      </c>
    </row>
    <row r="5">
      <c r="A5" t="s">
        <v>98</v>
      </c>
      <c r="B5" t="s">
        <v>101</v>
      </c>
      <c r="C5" t="n">
        <v>1</v>
      </c>
      <c r="D5" t="s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104</v>
      </c>
    </row>
    <row r="2">
      <c r="A2" t="s">
        <v>105</v>
      </c>
      <c r="B2" t="n">
        <v>0</v>
      </c>
    </row>
    <row r="3">
      <c r="A3" t="s">
        <v>106</v>
      </c>
      <c r="B3" t="n">
        <v>0</v>
      </c>
    </row>
    <row r="4">
      <c r="A4" t="s">
        <v>107</v>
      </c>
      <c r="B4" t="n">
        <v>0</v>
      </c>
    </row>
    <row r="5">
      <c r="A5" t="s">
        <v>108</v>
      </c>
      <c r="B5" t="n">
        <v>0</v>
      </c>
    </row>
    <row r="6">
      <c r="A6" t="s">
        <v>109</v>
      </c>
      <c r="B6" t="n">
        <v>0</v>
      </c>
    </row>
    <row r="7">
      <c r="A7" t="s">
        <v>110</v>
      </c>
      <c r="B7" t="n">
        <v>0</v>
      </c>
    </row>
    <row r="8">
      <c r="A8" t="s">
        <v>111</v>
      </c>
      <c r="B8" t="n">
        <v>11519340268.7855</v>
      </c>
    </row>
    <row r="9">
      <c r="A9" t="s">
        <v>112</v>
      </c>
      <c r="B9" t="n">
        <v>1250963.32435841</v>
      </c>
    </row>
    <row r="10">
      <c r="A10" t="s">
        <v>113</v>
      </c>
      <c r="B10" t="n">
        <v>0</v>
      </c>
    </row>
    <row r="11">
      <c r="A11" t="s">
        <v>114</v>
      </c>
      <c r="B11" t="n">
        <v>0</v>
      </c>
    </row>
    <row r="12">
      <c r="A12" t="s">
        <v>115</v>
      </c>
      <c r="B12" t="n">
        <v>55588064.0356073</v>
      </c>
    </row>
    <row r="13">
      <c r="A13" t="s">
        <v>116</v>
      </c>
      <c r="B13" t="n">
        <v>742231873.707365</v>
      </c>
    </row>
    <row r="14">
      <c r="A14" t="s">
        <v>117</v>
      </c>
      <c r="B14" t="n">
        <v>727677061.392938</v>
      </c>
    </row>
    <row r="15">
      <c r="A15" t="s">
        <v>118</v>
      </c>
      <c r="B15" t="n">
        <v>75258061.3804251</v>
      </c>
    </row>
    <row r="16">
      <c r="A16" t="s">
        <v>119</v>
      </c>
      <c r="B16" t="n">
        <v>1037970469.09042</v>
      </c>
    </row>
    <row r="17">
      <c r="A17" t="s">
        <v>120</v>
      </c>
      <c r="B17" t="n">
        <v>111453064.047847</v>
      </c>
    </row>
    <row r="18">
      <c r="A18" t="s">
        <v>121</v>
      </c>
      <c r="B18" t="n">
        <v>62267453.3394441</v>
      </c>
    </row>
    <row r="19">
      <c r="A19" t="s">
        <v>122</v>
      </c>
      <c r="B19" t="n">
        <v>67125269.1502347</v>
      </c>
    </row>
    <row r="20">
      <c r="A20" t="s">
        <v>123</v>
      </c>
      <c r="B20" t="n">
        <v>0</v>
      </c>
    </row>
    <row r="21">
      <c r="A21" t="s">
        <v>124</v>
      </c>
      <c r="B21" t="n">
        <v>450346.768619924</v>
      </c>
    </row>
    <row r="22">
      <c r="A22" t="s">
        <v>125</v>
      </c>
      <c r="B22" t="n">
        <v>0</v>
      </c>
    </row>
    <row r="23">
      <c r="A23" t="s">
        <v>126</v>
      </c>
      <c r="B23" t="n">
        <v>0</v>
      </c>
    </row>
    <row r="24">
      <c r="A24" t="s">
        <v>127</v>
      </c>
      <c r="B24" t="n">
        <v>0</v>
      </c>
    </row>
    <row r="25">
      <c r="A25" t="s">
        <v>128</v>
      </c>
      <c r="B25" t="n">
        <v>0</v>
      </c>
    </row>
    <row r="26">
      <c r="A26" t="s">
        <v>129</v>
      </c>
      <c r="B26" t="n">
        <v>0</v>
      </c>
    </row>
    <row r="27">
      <c r="A27" t="s">
        <v>130</v>
      </c>
      <c r="B27" t="n">
        <v>1362041.09073981</v>
      </c>
    </row>
    <row r="28">
      <c r="A28" t="s">
        <v>131</v>
      </c>
      <c r="B28" t="n">
        <v>1784855427.03468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7082640.31563471</v>
      </c>
    </row>
    <row r="34">
      <c r="A34" t="s">
        <v>137</v>
      </c>
      <c r="B34" t="n">
        <v>53495390.0573781</v>
      </c>
    </row>
    <row r="35">
      <c r="A35" t="s">
        <v>138</v>
      </c>
      <c r="B35" t="n">
        <v>32157.7463260916</v>
      </c>
    </row>
    <row r="36">
      <c r="A36" t="s">
        <v>139</v>
      </c>
      <c r="B36" t="n">
        <v>92376154.0581307</v>
      </c>
    </row>
    <row r="37">
      <c r="A37" t="s">
        <v>140</v>
      </c>
      <c r="B37" t="n">
        <v>0</v>
      </c>
    </row>
    <row r="38">
      <c r="A38" t="s">
        <v>141</v>
      </c>
      <c r="B38" t="n">
        <v>0</v>
      </c>
    </row>
    <row r="39">
      <c r="A39" t="s">
        <v>142</v>
      </c>
      <c r="B39" t="n">
        <v>0</v>
      </c>
    </row>
    <row r="40">
      <c r="A40" t="s">
        <v>143</v>
      </c>
      <c r="B40" t="n">
        <v>0</v>
      </c>
    </row>
    <row r="41">
      <c r="A41" t="s">
        <v>144</v>
      </c>
      <c r="B41" t="n">
        <v>556027004.429064</v>
      </c>
    </row>
    <row r="42">
      <c r="A42" t="s">
        <v>145</v>
      </c>
      <c r="B42" t="n">
        <v>0</v>
      </c>
    </row>
    <row r="43">
      <c r="A43" t="s">
        <v>146</v>
      </c>
      <c r="B43" t="n">
        <v>0</v>
      </c>
    </row>
    <row r="44">
      <c r="A44" t="s">
        <v>147</v>
      </c>
      <c r="B44" t="n">
        <v>142615380.01637</v>
      </c>
    </row>
    <row r="45">
      <c r="A45" t="s">
        <v>148</v>
      </c>
      <c r="B45" t="n">
        <v>0</v>
      </c>
    </row>
    <row r="46">
      <c r="A46" t="s">
        <v>149</v>
      </c>
      <c r="B46" t="n">
        <v>0</v>
      </c>
    </row>
    <row r="47">
      <c r="A47" t="s">
        <v>150</v>
      </c>
      <c r="B47" t="n">
        <v>0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0</v>
      </c>
    </row>
    <row r="51">
      <c r="A51" t="s">
        <v>154</v>
      </c>
      <c r="B51" t="n">
        <v>0</v>
      </c>
    </row>
    <row r="52">
      <c r="A52" t="s">
        <v>155</v>
      </c>
      <c r="B52" t="n">
        <v>0</v>
      </c>
    </row>
    <row r="53">
      <c r="A53" t="s">
        <v>156</v>
      </c>
      <c r="B53" t="n">
        <v>621757235.533316</v>
      </c>
    </row>
    <row r="54">
      <c r="A54" t="s">
        <v>157</v>
      </c>
      <c r="B54" t="n">
        <v>5742749528.26716</v>
      </c>
    </row>
    <row r="55">
      <c r="A55" t="s">
        <v>158</v>
      </c>
      <c r="B55" t="n">
        <v>0</v>
      </c>
    </row>
    <row r="56">
      <c r="A56" t="s">
        <v>159</v>
      </c>
      <c r="B56" t="n">
        <v>0</v>
      </c>
    </row>
    <row r="57">
      <c r="A57" t="s">
        <v>160</v>
      </c>
      <c r="B57" t="n">
        <v>0</v>
      </c>
    </row>
    <row r="58">
      <c r="A58" t="s">
        <v>161</v>
      </c>
      <c r="B58" t="n">
        <v>0</v>
      </c>
    </row>
    <row r="59">
      <c r="A59" t="s">
        <v>162</v>
      </c>
      <c r="B59" t="n">
        <v>0</v>
      </c>
    </row>
    <row r="60">
      <c r="A60" t="s">
        <v>163</v>
      </c>
      <c r="B60" t="n">
        <v>0</v>
      </c>
    </row>
    <row r="61">
      <c r="A61" t="s">
        <v>164</v>
      </c>
      <c r="B61" t="n">
        <v>0</v>
      </c>
    </row>
    <row r="62">
      <c r="A62" t="s">
        <v>165</v>
      </c>
      <c r="B62" t="n">
        <v>0</v>
      </c>
    </row>
    <row r="63">
      <c r="A63" t="s">
        <v>166</v>
      </c>
      <c r="B63" t="n">
        <v>0</v>
      </c>
    </row>
    <row r="64">
      <c r="A64" t="s">
        <v>167</v>
      </c>
      <c r="B64" t="n">
        <v>0</v>
      </c>
    </row>
    <row r="65">
      <c r="A65" t="s">
        <v>168</v>
      </c>
      <c r="B65" t="n">
        <v>0</v>
      </c>
    </row>
    <row r="66">
      <c r="A66" t="s">
        <v>169</v>
      </c>
      <c r="B66" t="n">
        <v>0</v>
      </c>
    </row>
    <row r="67">
      <c r="A67" t="s">
        <v>170</v>
      </c>
      <c r="B67" t="n">
        <v>0</v>
      </c>
    </row>
    <row r="68">
      <c r="A68" t="s">
        <v>171</v>
      </c>
      <c r="B68" t="n">
        <v>12749807371.0015</v>
      </c>
    </row>
    <row r="69">
      <c r="A69" t="s">
        <v>172</v>
      </c>
      <c r="B69" t="n">
        <v>6606094943.03836</v>
      </c>
    </row>
    <row r="70">
      <c r="A70" t="s">
        <v>173</v>
      </c>
      <c r="B70" t="n">
        <v>0</v>
      </c>
    </row>
    <row r="71">
      <c r="A71" t="s">
        <v>174</v>
      </c>
      <c r="B71" t="n">
        <v>71685407026.8174</v>
      </c>
    </row>
    <row r="72">
      <c r="A72" t="s">
        <v>175</v>
      </c>
      <c r="B72" t="n">
        <v>0</v>
      </c>
    </row>
    <row r="73">
      <c r="A73" t="s">
        <v>176</v>
      </c>
      <c r="B73" t="n">
        <v>-495979579.376086</v>
      </c>
    </row>
    <row r="74">
      <c r="A74" t="s">
        <v>177</v>
      </c>
      <c r="B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178</v>
      </c>
    </row>
    <row r="2">
      <c r="A2" t="s">
        <v>105</v>
      </c>
      <c r="B2" t="n">
        <v>2609461169.22513</v>
      </c>
    </row>
    <row r="3">
      <c r="A3" t="s">
        <v>106</v>
      </c>
      <c r="B3" t="n">
        <v>169431602.916454</v>
      </c>
    </row>
    <row r="4">
      <c r="A4" t="s">
        <v>107</v>
      </c>
      <c r="B4" t="n">
        <v>0</v>
      </c>
    </row>
    <row r="5">
      <c r="A5" t="s">
        <v>108</v>
      </c>
      <c r="B5" t="n">
        <v>5703850.50680653</v>
      </c>
    </row>
    <row r="6">
      <c r="A6" t="s">
        <v>109</v>
      </c>
      <c r="B6" t="n">
        <v>0</v>
      </c>
    </row>
    <row r="7">
      <c r="A7" t="s">
        <v>110</v>
      </c>
      <c r="B7" t="n">
        <v>11210829944.4871</v>
      </c>
    </row>
    <row r="8">
      <c r="A8" t="s">
        <v>111</v>
      </c>
      <c r="B8" t="n">
        <v>0</v>
      </c>
    </row>
    <row r="9">
      <c r="A9" t="s">
        <v>112</v>
      </c>
      <c r="B9" t="n">
        <v>109004838.007793</v>
      </c>
    </row>
    <row r="10">
      <c r="A10" t="s">
        <v>113</v>
      </c>
      <c r="B10" t="n">
        <v>416558773.485417</v>
      </c>
    </row>
    <row r="11">
      <c r="A11" t="s">
        <v>114</v>
      </c>
      <c r="B11" t="n">
        <v>21859003.1094496</v>
      </c>
    </row>
    <row r="12">
      <c r="A12" t="s">
        <v>115</v>
      </c>
      <c r="B12" t="n">
        <v>898989413.936068</v>
      </c>
    </row>
    <row r="13">
      <c r="A13" t="s">
        <v>116</v>
      </c>
      <c r="B13" t="n">
        <v>501586664.355463</v>
      </c>
    </row>
    <row r="14">
      <c r="A14" t="s">
        <v>117</v>
      </c>
      <c r="B14" t="n">
        <v>2891932171.67077</v>
      </c>
    </row>
    <row r="15">
      <c r="A15" t="s">
        <v>118</v>
      </c>
      <c r="B15" t="n">
        <v>1946183095.90132</v>
      </c>
    </row>
    <row r="16">
      <c r="A16" t="s">
        <v>119</v>
      </c>
      <c r="B16" t="n">
        <v>6756641388.7475</v>
      </c>
    </row>
    <row r="17">
      <c r="A17" t="s">
        <v>120</v>
      </c>
      <c r="B17" t="n">
        <v>485747748.453927</v>
      </c>
    </row>
    <row r="18">
      <c r="A18" t="s">
        <v>121</v>
      </c>
      <c r="B18" t="n">
        <v>1914609189.04756</v>
      </c>
    </row>
    <row r="19">
      <c r="A19" t="s">
        <v>122</v>
      </c>
      <c r="B19" t="n">
        <v>4623456637.62875</v>
      </c>
    </row>
    <row r="20">
      <c r="A20" t="s">
        <v>123</v>
      </c>
      <c r="B20" t="n">
        <v>27079310554.7766</v>
      </c>
    </row>
    <row r="21">
      <c r="A21" t="s">
        <v>124</v>
      </c>
      <c r="B21" t="n">
        <v>743136655.643662</v>
      </c>
    </row>
    <row r="22">
      <c r="A22" t="s">
        <v>125</v>
      </c>
      <c r="B22" t="n">
        <v>6319643385.8211</v>
      </c>
    </row>
    <row r="23">
      <c r="A23" t="s">
        <v>126</v>
      </c>
      <c r="B23" t="n">
        <v>794871993.490768</v>
      </c>
    </row>
    <row r="24">
      <c r="A24" t="s">
        <v>127</v>
      </c>
      <c r="B24" t="n">
        <v>166298243.057656</v>
      </c>
    </row>
    <row r="25">
      <c r="A25" t="s">
        <v>128</v>
      </c>
      <c r="B25" t="n">
        <v>9883515783.6531</v>
      </c>
    </row>
    <row r="26">
      <c r="A26" t="s">
        <v>129</v>
      </c>
      <c r="B26" t="n">
        <v>14994114584.1949</v>
      </c>
    </row>
    <row r="27">
      <c r="A27" t="s">
        <v>130</v>
      </c>
      <c r="B27" t="n">
        <v>2137848373.63997</v>
      </c>
    </row>
    <row r="28">
      <c r="A28" t="s">
        <v>131</v>
      </c>
      <c r="B28" t="n">
        <v>31182929495.8958</v>
      </c>
    </row>
    <row r="29">
      <c r="A29" t="s">
        <v>132</v>
      </c>
      <c r="B29" t="n">
        <v>9322632244.91279</v>
      </c>
    </row>
    <row r="30">
      <c r="A30" t="s">
        <v>133</v>
      </c>
      <c r="B30" t="n">
        <v>8981632118.27049</v>
      </c>
    </row>
    <row r="31">
      <c r="A31" t="s">
        <v>134</v>
      </c>
      <c r="B31" t="n">
        <v>11010151304.0872</v>
      </c>
    </row>
    <row r="32">
      <c r="A32" t="s">
        <v>135</v>
      </c>
      <c r="B32" t="n">
        <v>31208690016.874</v>
      </c>
    </row>
    <row r="33">
      <c r="A33" t="s">
        <v>136</v>
      </c>
      <c r="B33" t="n">
        <v>10566725016.8887</v>
      </c>
    </row>
    <row r="34">
      <c r="A34" t="s">
        <v>137</v>
      </c>
      <c r="B34" t="n">
        <v>577361318.561476</v>
      </c>
    </row>
    <row r="35">
      <c r="A35" t="s">
        <v>138</v>
      </c>
      <c r="B35" t="n">
        <v>701706475.22695</v>
      </c>
    </row>
    <row r="36">
      <c r="A36" t="s">
        <v>139</v>
      </c>
      <c r="B36" t="n">
        <v>5337433057.78328</v>
      </c>
    </row>
    <row r="37">
      <c r="A37" t="s">
        <v>140</v>
      </c>
      <c r="B37" t="n">
        <v>2945513450.56514</v>
      </c>
    </row>
    <row r="38">
      <c r="A38" t="s">
        <v>141</v>
      </c>
      <c r="B38" t="n">
        <v>92383588.1618196</v>
      </c>
    </row>
    <row r="39">
      <c r="A39" t="s">
        <v>142</v>
      </c>
      <c r="B39" t="n">
        <v>949855644.968253</v>
      </c>
    </row>
    <row r="40">
      <c r="A40" t="s">
        <v>143</v>
      </c>
      <c r="B40" t="n">
        <v>12819240.996877</v>
      </c>
    </row>
    <row r="41">
      <c r="A41" t="s">
        <v>144</v>
      </c>
      <c r="B41" t="n">
        <v>4038980004.98079</v>
      </c>
    </row>
    <row r="42">
      <c r="A42" t="s">
        <v>145</v>
      </c>
      <c r="B42" t="n">
        <v>488499649.12831</v>
      </c>
    </row>
    <row r="43">
      <c r="A43" t="s">
        <v>146</v>
      </c>
      <c r="B43" t="n">
        <v>11612694811.4245</v>
      </c>
    </row>
    <row r="44">
      <c r="A44" t="s">
        <v>147</v>
      </c>
      <c r="B44" t="n">
        <v>2189685868.26139</v>
      </c>
    </row>
    <row r="45">
      <c r="A45" t="s">
        <v>148</v>
      </c>
      <c r="B45" t="n">
        <v>11980292917.423</v>
      </c>
    </row>
    <row r="46">
      <c r="A46" t="s">
        <v>149</v>
      </c>
      <c r="B46" t="n">
        <v>11513474012.6429</v>
      </c>
    </row>
    <row r="47">
      <c r="A47" t="s">
        <v>150</v>
      </c>
      <c r="B47" t="n">
        <v>31022790204.2121</v>
      </c>
    </row>
    <row r="48">
      <c r="A48" t="s">
        <v>151</v>
      </c>
      <c r="B48" t="n">
        <v>10508927170.8421</v>
      </c>
    </row>
    <row r="49">
      <c r="A49" t="s">
        <v>152</v>
      </c>
      <c r="B49" t="n">
        <v>82104482024.0909</v>
      </c>
    </row>
    <row r="50">
      <c r="A50" t="s">
        <v>153</v>
      </c>
      <c r="B50" t="n">
        <v>238490554.316331</v>
      </c>
    </row>
    <row r="51">
      <c r="A51" t="s">
        <v>154</v>
      </c>
      <c r="B51" t="n">
        <v>4197512784.79193</v>
      </c>
    </row>
    <row r="52">
      <c r="A52" t="s">
        <v>155</v>
      </c>
      <c r="B52" t="n">
        <v>6892235122.31087</v>
      </c>
    </row>
    <row r="53">
      <c r="A53" t="s">
        <v>156</v>
      </c>
      <c r="B53" t="n">
        <v>0</v>
      </c>
    </row>
    <row r="54">
      <c r="A54" t="s">
        <v>157</v>
      </c>
      <c r="B54" t="n">
        <v>3332814426.92801</v>
      </c>
    </row>
    <row r="55">
      <c r="A55" t="s">
        <v>158</v>
      </c>
      <c r="B55" t="n">
        <v>0</v>
      </c>
    </row>
    <row r="56">
      <c r="A56" t="s">
        <v>159</v>
      </c>
      <c r="B56" t="n">
        <v>3759055288.56029</v>
      </c>
    </row>
    <row r="57">
      <c r="A57" t="s">
        <v>160</v>
      </c>
      <c r="B57" t="n">
        <v>1311026129.71285</v>
      </c>
    </row>
    <row r="58">
      <c r="A58" t="s">
        <v>161</v>
      </c>
      <c r="B58" t="n">
        <v>18006498268.0223</v>
      </c>
    </row>
    <row r="59">
      <c r="A59" t="s">
        <v>162</v>
      </c>
      <c r="B59" t="n">
        <v>50337491968.144</v>
      </c>
    </row>
    <row r="60">
      <c r="A60" t="s">
        <v>163</v>
      </c>
      <c r="B60" t="n">
        <v>50056100550.3835</v>
      </c>
    </row>
    <row r="61">
      <c r="A61" t="s">
        <v>164</v>
      </c>
      <c r="B61" t="n">
        <v>11288190543.3335</v>
      </c>
    </row>
    <row r="62">
      <c r="A62" t="s">
        <v>165</v>
      </c>
      <c r="B62" t="n">
        <v>10954937397.2958</v>
      </c>
    </row>
    <row r="63">
      <c r="A63" t="s">
        <v>166</v>
      </c>
      <c r="B63" t="n">
        <v>3808853030.93591</v>
      </c>
    </row>
    <row r="64">
      <c r="A64" t="s">
        <v>167</v>
      </c>
      <c r="B64" t="n">
        <v>10342536724.2012</v>
      </c>
    </row>
    <row r="65">
      <c r="A65" t="s">
        <v>168</v>
      </c>
      <c r="B65" t="n">
        <v>6087053314.25838</v>
      </c>
    </row>
    <row r="66">
      <c r="A66" t="s">
        <v>169</v>
      </c>
      <c r="B66" t="n">
        <v>31272371697.1006</v>
      </c>
    </row>
    <row r="67">
      <c r="A67" t="s">
        <v>170</v>
      </c>
      <c r="B67" t="n">
        <v>29554705869.9694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165293621.582238</v>
      </c>
    </row>
    <row r="71">
      <c r="A71" t="s">
        <v>174</v>
      </c>
      <c r="B71" t="n">
        <v>0</v>
      </c>
    </row>
    <row r="72">
      <c r="A72" t="s">
        <v>175</v>
      </c>
      <c r="B72" t="n">
        <v>4663432573.05096</v>
      </c>
    </row>
    <row r="73">
      <c r="A73" t="s">
        <v>176</v>
      </c>
      <c r="B73" t="n">
        <v>3120142851.44473</v>
      </c>
    </row>
    <row r="74">
      <c r="A74" t="s">
        <v>177</v>
      </c>
      <c r="B74" t="n">
        <v>-2819487669.80777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179</v>
      </c>
    </row>
    <row r="2">
      <c r="A2" t="s">
        <v>105</v>
      </c>
      <c r="B2" t="n">
        <v>1492746444.55937</v>
      </c>
    </row>
    <row r="3">
      <c r="A3" t="s">
        <v>106</v>
      </c>
      <c r="B3" t="n">
        <v>88963582.2786253</v>
      </c>
    </row>
    <row r="4">
      <c r="A4" t="s">
        <v>107</v>
      </c>
      <c r="B4" t="n">
        <v>88289872.4718163</v>
      </c>
    </row>
    <row r="5">
      <c r="A5" t="s">
        <v>108</v>
      </c>
      <c r="B5" t="n">
        <v>127159721.319888</v>
      </c>
    </row>
    <row r="6">
      <c r="A6" t="s">
        <v>109</v>
      </c>
      <c r="B6" t="n">
        <v>3532494.65137606</v>
      </c>
    </row>
    <row r="7">
      <c r="A7" t="s">
        <v>110</v>
      </c>
      <c r="B7" t="n">
        <v>173089276.171642</v>
      </c>
    </row>
    <row r="8">
      <c r="A8" t="s">
        <v>111</v>
      </c>
      <c r="B8" t="n">
        <v>3475530.68251316</v>
      </c>
    </row>
    <row r="9">
      <c r="A9" t="s">
        <v>112</v>
      </c>
      <c r="B9" t="n">
        <v>48928473.1163526</v>
      </c>
    </row>
    <row r="10">
      <c r="A10" t="s">
        <v>113</v>
      </c>
      <c r="B10" t="n">
        <v>412246226.885608</v>
      </c>
    </row>
    <row r="11">
      <c r="A11" t="s">
        <v>114</v>
      </c>
      <c r="B11" t="n">
        <v>737380025.854999</v>
      </c>
    </row>
    <row r="12">
      <c r="A12" t="s">
        <v>115</v>
      </c>
      <c r="B12" t="n">
        <v>2395251270.61051</v>
      </c>
    </row>
    <row r="13">
      <c r="A13" t="s">
        <v>116</v>
      </c>
      <c r="B13" t="n">
        <v>8136787068.24644</v>
      </c>
    </row>
    <row r="14">
      <c r="A14" t="s">
        <v>117</v>
      </c>
      <c r="B14" t="n">
        <v>3728033357.47325</v>
      </c>
    </row>
    <row r="15">
      <c r="A15" t="s">
        <v>118</v>
      </c>
      <c r="B15" t="n">
        <v>1812586605.21895</v>
      </c>
    </row>
    <row r="16">
      <c r="A16" t="s">
        <v>119</v>
      </c>
      <c r="B16" t="n">
        <v>3701470377.48597</v>
      </c>
    </row>
    <row r="17">
      <c r="A17" t="s">
        <v>120</v>
      </c>
      <c r="B17" t="n">
        <v>683717535.334495</v>
      </c>
    </row>
    <row r="18">
      <c r="A18" t="s">
        <v>121</v>
      </c>
      <c r="B18" t="n">
        <v>136478863.488961</v>
      </c>
    </row>
    <row r="19">
      <c r="A19" t="s">
        <v>122</v>
      </c>
      <c r="B19" t="n">
        <v>847512990.521813</v>
      </c>
    </row>
    <row r="20">
      <c r="A20" t="s">
        <v>123</v>
      </c>
      <c r="B20" t="n">
        <v>4061665870.40918</v>
      </c>
    </row>
    <row r="21">
      <c r="A21" t="s">
        <v>124</v>
      </c>
      <c r="B21" t="n">
        <v>153073407.939133</v>
      </c>
    </row>
    <row r="22">
      <c r="A22" t="s">
        <v>125</v>
      </c>
      <c r="B22" t="n">
        <v>70283098.3647557</v>
      </c>
    </row>
    <row r="23">
      <c r="A23" t="s">
        <v>126</v>
      </c>
      <c r="B23" t="n">
        <v>635099492.497856</v>
      </c>
    </row>
    <row r="24">
      <c r="A24" t="s">
        <v>127</v>
      </c>
      <c r="B24" t="n">
        <v>110479371.160651</v>
      </c>
    </row>
    <row r="25">
      <c r="A25" t="s">
        <v>128</v>
      </c>
      <c r="B25" t="n">
        <v>2373544461.0162</v>
      </c>
    </row>
    <row r="26">
      <c r="A26" t="s">
        <v>129</v>
      </c>
      <c r="B26" t="n">
        <v>7811728036.5802</v>
      </c>
    </row>
    <row r="27">
      <c r="A27" t="s">
        <v>130</v>
      </c>
      <c r="B27" t="n">
        <v>1426049319.96302</v>
      </c>
    </row>
    <row r="28">
      <c r="A28" t="s">
        <v>131</v>
      </c>
      <c r="B28" t="n">
        <v>11011004476.82</v>
      </c>
    </row>
    <row r="29">
      <c r="A29" t="s">
        <v>132</v>
      </c>
      <c r="B29" t="n">
        <v>0</v>
      </c>
    </row>
    <row r="30">
      <c r="A30" t="s">
        <v>133</v>
      </c>
      <c r="B30" t="n">
        <v>0</v>
      </c>
    </row>
    <row r="31">
      <c r="A31" t="s">
        <v>134</v>
      </c>
      <c r="B31" t="n">
        <v>0</v>
      </c>
    </row>
    <row r="32">
      <c r="A32" t="s">
        <v>135</v>
      </c>
      <c r="B32" t="n">
        <v>0</v>
      </c>
    </row>
    <row r="33">
      <c r="A33" t="s">
        <v>136</v>
      </c>
      <c r="B33" t="n">
        <v>3171270757.48092</v>
      </c>
    </row>
    <row r="34">
      <c r="A34" t="s">
        <v>137</v>
      </c>
      <c r="B34" t="n">
        <v>806026339.548607</v>
      </c>
    </row>
    <row r="35">
      <c r="A35" t="s">
        <v>138</v>
      </c>
      <c r="B35" t="n">
        <v>144731807.332561</v>
      </c>
    </row>
    <row r="36">
      <c r="A36" t="s">
        <v>139</v>
      </c>
      <c r="B36" t="n">
        <v>1754534629.23068</v>
      </c>
    </row>
    <row r="37">
      <c r="A37" t="s">
        <v>140</v>
      </c>
      <c r="B37" t="n">
        <v>0</v>
      </c>
    </row>
    <row r="38">
      <c r="A38" t="s">
        <v>141</v>
      </c>
      <c r="B38" t="n">
        <v>214883776.337317</v>
      </c>
    </row>
    <row r="39">
      <c r="A39" t="s">
        <v>142</v>
      </c>
      <c r="B39" t="n">
        <v>557516009.926715</v>
      </c>
    </row>
    <row r="40">
      <c r="A40" t="s">
        <v>143</v>
      </c>
      <c r="B40" t="n">
        <v>8100968.59161497</v>
      </c>
    </row>
    <row r="41">
      <c r="A41" t="s">
        <v>144</v>
      </c>
      <c r="B41" t="n">
        <v>1238875746.58097</v>
      </c>
    </row>
    <row r="42">
      <c r="A42" t="s">
        <v>145</v>
      </c>
      <c r="B42" t="n">
        <v>334453033.277332</v>
      </c>
    </row>
    <row r="43">
      <c r="A43" t="s">
        <v>146</v>
      </c>
      <c r="B43" t="n">
        <v>320126593.153831</v>
      </c>
    </row>
    <row r="44">
      <c r="A44" t="s">
        <v>147</v>
      </c>
      <c r="B44" t="n">
        <v>201964015.665065</v>
      </c>
    </row>
    <row r="45">
      <c r="A45" t="s">
        <v>148</v>
      </c>
      <c r="B45" t="n">
        <v>2718280378.17307</v>
      </c>
    </row>
    <row r="46">
      <c r="A46" t="s">
        <v>149</v>
      </c>
      <c r="B46" t="n">
        <v>3827117451.87222</v>
      </c>
    </row>
    <row r="47">
      <c r="A47" t="s">
        <v>150</v>
      </c>
      <c r="B47" t="n">
        <v>1429525766.62416</v>
      </c>
    </row>
    <row r="48">
      <c r="A48" t="s">
        <v>151</v>
      </c>
      <c r="B48" t="n">
        <v>0</v>
      </c>
    </row>
    <row r="49">
      <c r="A49" t="s">
        <v>152</v>
      </c>
      <c r="B49" t="n">
        <v>0</v>
      </c>
    </row>
    <row r="50">
      <c r="A50" t="s">
        <v>153</v>
      </c>
      <c r="B50" t="n">
        <v>78055682.302009</v>
      </c>
    </row>
    <row r="51">
      <c r="A51" t="s">
        <v>154</v>
      </c>
      <c r="B51" t="n">
        <v>3476633368.6543</v>
      </c>
    </row>
    <row r="52">
      <c r="A52" t="s">
        <v>155</v>
      </c>
      <c r="B52" t="n">
        <v>1025022360.78354</v>
      </c>
    </row>
    <row r="53">
      <c r="A53" t="s">
        <v>156</v>
      </c>
      <c r="B53" t="n">
        <v>1410595408.50497</v>
      </c>
    </row>
    <row r="54">
      <c r="A54" t="s">
        <v>157</v>
      </c>
      <c r="B54" t="n">
        <v>6807303020.61139</v>
      </c>
    </row>
    <row r="55">
      <c r="A55" t="s">
        <v>158</v>
      </c>
      <c r="B55" t="n">
        <v>172014941.491486</v>
      </c>
    </row>
    <row r="56">
      <c r="A56" t="s">
        <v>159</v>
      </c>
      <c r="B56" t="n">
        <v>147842299.396995</v>
      </c>
    </row>
    <row r="57">
      <c r="A57" t="s">
        <v>160</v>
      </c>
      <c r="B57" t="n">
        <v>9955301.73337604</v>
      </c>
    </row>
    <row r="58">
      <c r="A58" t="s">
        <v>161</v>
      </c>
      <c r="B58" t="n">
        <v>114164340.444473</v>
      </c>
    </row>
    <row r="59">
      <c r="A59" t="s">
        <v>162</v>
      </c>
      <c r="B59" t="n">
        <v>34946806.3364943</v>
      </c>
    </row>
    <row r="60">
      <c r="A60" t="s">
        <v>163</v>
      </c>
      <c r="B60" t="n">
        <v>208825377.992255</v>
      </c>
    </row>
    <row r="61">
      <c r="A61" t="s">
        <v>164</v>
      </c>
      <c r="B61" t="n">
        <v>11582003.4564992</v>
      </c>
    </row>
    <row r="62">
      <c r="A62" t="s">
        <v>165</v>
      </c>
      <c r="B62" t="n">
        <v>0</v>
      </c>
    </row>
    <row r="63">
      <c r="A63" t="s">
        <v>166</v>
      </c>
      <c r="B63" t="n">
        <v>59305136.3301511</v>
      </c>
    </row>
    <row r="64">
      <c r="A64" t="s">
        <v>167</v>
      </c>
      <c r="B64" t="n">
        <v>903707.754799716</v>
      </c>
    </row>
    <row r="65">
      <c r="A65" t="s">
        <v>168</v>
      </c>
      <c r="B65" t="n">
        <v>0</v>
      </c>
    </row>
    <row r="66">
      <c r="A66" t="s">
        <v>169</v>
      </c>
      <c r="B66" t="n">
        <v>114380887.047849</v>
      </c>
    </row>
    <row r="67">
      <c r="A67" t="s">
        <v>170</v>
      </c>
      <c r="B67" t="n">
        <v>3467137.79860441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21022550.9814534</v>
      </c>
    </row>
    <row r="71">
      <c r="A71" t="s">
        <v>174</v>
      </c>
      <c r="B71" t="n">
        <v>0</v>
      </c>
    </row>
    <row r="72">
      <c r="A72" t="s">
        <v>175</v>
      </c>
      <c r="B72" t="n">
        <v>0</v>
      </c>
    </row>
    <row r="73">
      <c r="A73" t="s">
        <v>176</v>
      </c>
      <c r="B73" t="n">
        <v>1128664958.91278</v>
      </c>
    </row>
    <row r="74">
      <c r="A74" t="s">
        <v>177</v>
      </c>
      <c r="B74" t="n">
        <v>5603772585.44519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103</v>
      </c>
      <c r="B1" t="s">
        <v>180</v>
      </c>
    </row>
    <row r="2">
      <c r="A2" t="s">
        <v>105</v>
      </c>
      <c r="B2" t="n">
        <v>11694204644.9785</v>
      </c>
    </row>
    <row r="3">
      <c r="A3" t="s">
        <v>106</v>
      </c>
      <c r="B3" t="n">
        <v>1426451158.19627</v>
      </c>
    </row>
    <row r="4">
      <c r="A4" t="s">
        <v>107</v>
      </c>
      <c r="B4" t="n">
        <v>7315230795.9384</v>
      </c>
    </row>
    <row r="5">
      <c r="A5" t="s">
        <v>108</v>
      </c>
      <c r="B5" t="n">
        <v>2683302282.27305</v>
      </c>
    </row>
    <row r="6">
      <c r="A6" t="s">
        <v>109</v>
      </c>
      <c r="B6" t="n">
        <v>73758581.6938793</v>
      </c>
    </row>
    <row r="7">
      <c r="A7" t="s">
        <v>110</v>
      </c>
      <c r="B7" t="n">
        <v>15412608387.9314</v>
      </c>
    </row>
    <row r="8">
      <c r="A8" t="s">
        <v>111</v>
      </c>
      <c r="B8" t="n">
        <v>11480453343.7265</v>
      </c>
    </row>
    <row r="9">
      <c r="A9" t="s">
        <v>112</v>
      </c>
      <c r="B9" t="n">
        <v>2289672772.2529</v>
      </c>
    </row>
    <row r="10">
      <c r="A10" t="s">
        <v>113</v>
      </c>
      <c r="B10" t="n">
        <v>4936669681.42165</v>
      </c>
    </row>
    <row r="11">
      <c r="A11" t="s">
        <v>114</v>
      </c>
      <c r="B11" t="n">
        <v>11635915373.948</v>
      </c>
    </row>
    <row r="12">
      <c r="A12" t="s">
        <v>115</v>
      </c>
      <c r="B12" t="n">
        <v>21980215004.1607</v>
      </c>
    </row>
    <row r="13">
      <c r="A13" t="s">
        <v>116</v>
      </c>
      <c r="B13" t="n">
        <v>11818922442.6656</v>
      </c>
    </row>
    <row r="14">
      <c r="A14" t="s">
        <v>117</v>
      </c>
      <c r="B14" t="n">
        <v>6825857568.78369</v>
      </c>
    </row>
    <row r="15">
      <c r="A15" t="s">
        <v>118</v>
      </c>
      <c r="B15" t="n">
        <v>6222702037.24344</v>
      </c>
    </row>
    <row r="16">
      <c r="A16" t="s">
        <v>119</v>
      </c>
      <c r="B16" t="n">
        <v>10862553008.4052</v>
      </c>
    </row>
    <row r="17">
      <c r="A17" t="s">
        <v>120</v>
      </c>
      <c r="B17" t="n">
        <v>898349804.048615</v>
      </c>
    </row>
    <row r="18">
      <c r="A18" t="s">
        <v>121</v>
      </c>
      <c r="B18" t="n">
        <v>1141373856.95212</v>
      </c>
    </row>
    <row r="19">
      <c r="A19" t="s">
        <v>122</v>
      </c>
      <c r="B19" t="n">
        <v>4173370765.52675</v>
      </c>
    </row>
    <row r="20">
      <c r="A20" t="s">
        <v>123</v>
      </c>
      <c r="B20" t="n">
        <v>18633182998.0934</v>
      </c>
    </row>
    <row r="21">
      <c r="A21" t="s">
        <v>124</v>
      </c>
      <c r="B21" t="n">
        <v>1342210372.2788</v>
      </c>
    </row>
    <row r="22">
      <c r="A22" t="s">
        <v>125</v>
      </c>
      <c r="B22" t="n">
        <v>669768249.327957</v>
      </c>
    </row>
    <row r="23">
      <c r="A23" t="s">
        <v>126</v>
      </c>
      <c r="B23" t="n">
        <v>6181582114.27182</v>
      </c>
    </row>
    <row r="24">
      <c r="A24" t="s">
        <v>127</v>
      </c>
      <c r="B24" t="n">
        <v>4150682145.67036</v>
      </c>
    </row>
    <row r="25">
      <c r="A25" t="s">
        <v>128</v>
      </c>
      <c r="B25" t="n">
        <v>20943805952.3857</v>
      </c>
    </row>
    <row r="26">
      <c r="A26" t="s">
        <v>129</v>
      </c>
      <c r="B26" t="n">
        <v>34171223697.1005</v>
      </c>
    </row>
    <row r="27">
      <c r="A27" t="s">
        <v>130</v>
      </c>
      <c r="B27" t="n">
        <v>16784514499.7446</v>
      </c>
    </row>
    <row r="28">
      <c r="A28" t="s">
        <v>131</v>
      </c>
      <c r="B28" t="n">
        <v>52928815161.1135</v>
      </c>
    </row>
    <row r="29">
      <c r="A29" t="s">
        <v>132</v>
      </c>
      <c r="B29" t="n">
        <v>1026341746.66032</v>
      </c>
    </row>
    <row r="30">
      <c r="A30" t="s">
        <v>133</v>
      </c>
      <c r="B30" t="n">
        <v>105046365.465432</v>
      </c>
    </row>
    <row r="31">
      <c r="A31" t="s">
        <v>134</v>
      </c>
      <c r="B31" t="n">
        <v>261437057.690655</v>
      </c>
    </row>
    <row r="32">
      <c r="A32" t="s">
        <v>135</v>
      </c>
      <c r="B32" t="n">
        <v>3939179551.01934</v>
      </c>
    </row>
    <row r="33">
      <c r="A33" t="s">
        <v>136</v>
      </c>
      <c r="B33" t="n">
        <v>6673108583.71756</v>
      </c>
    </row>
    <row r="34">
      <c r="A34" t="s">
        <v>137</v>
      </c>
      <c r="B34" t="n">
        <v>3619999419.52452</v>
      </c>
    </row>
    <row r="35">
      <c r="A35" t="s">
        <v>138</v>
      </c>
      <c r="B35" t="n">
        <v>232406796.744037</v>
      </c>
    </row>
    <row r="36">
      <c r="A36" t="s">
        <v>139</v>
      </c>
      <c r="B36" t="n">
        <v>11147813780.0958</v>
      </c>
    </row>
    <row r="37">
      <c r="A37" t="s">
        <v>140</v>
      </c>
      <c r="B37" t="n">
        <v>2733315274.40827</v>
      </c>
    </row>
    <row r="38">
      <c r="A38" t="s">
        <v>141</v>
      </c>
      <c r="B38" t="n">
        <v>1164785358.04753</v>
      </c>
    </row>
    <row r="39">
      <c r="A39" t="s">
        <v>142</v>
      </c>
      <c r="B39" t="n">
        <v>13180218893.9748</v>
      </c>
    </row>
    <row r="40">
      <c r="A40" t="s">
        <v>143</v>
      </c>
      <c r="B40" t="n">
        <v>6675081580.7233</v>
      </c>
    </row>
    <row r="41">
      <c r="A41" t="s">
        <v>144</v>
      </c>
      <c r="B41" t="n">
        <v>2621064726.05947</v>
      </c>
    </row>
    <row r="42">
      <c r="A42" t="s">
        <v>145</v>
      </c>
      <c r="B42" t="n">
        <v>1620973802.61355</v>
      </c>
    </row>
    <row r="43">
      <c r="A43" t="s">
        <v>146</v>
      </c>
      <c r="B43" t="n">
        <v>9717081631.94455</v>
      </c>
    </row>
    <row r="44">
      <c r="A44" t="s">
        <v>147</v>
      </c>
      <c r="B44" t="n">
        <v>7546134114.38528</v>
      </c>
    </row>
    <row r="45">
      <c r="A45" t="s">
        <v>148</v>
      </c>
      <c r="B45" t="n">
        <v>26244322907.034</v>
      </c>
    </row>
    <row r="46">
      <c r="A46" t="s">
        <v>149</v>
      </c>
      <c r="B46" t="n">
        <v>16633911745.6782</v>
      </c>
    </row>
    <row r="47">
      <c r="A47" t="s">
        <v>150</v>
      </c>
      <c r="B47" t="n">
        <v>55516062868.7081</v>
      </c>
    </row>
    <row r="48">
      <c r="A48" t="s">
        <v>151</v>
      </c>
      <c r="B48" t="n">
        <v>1212464126.86784</v>
      </c>
    </row>
    <row r="49">
      <c r="A49" t="s">
        <v>152</v>
      </c>
      <c r="B49" t="n">
        <v>0</v>
      </c>
    </row>
    <row r="50">
      <c r="A50" t="s">
        <v>153</v>
      </c>
      <c r="B50" t="n">
        <v>52051274524.02</v>
      </c>
    </row>
    <row r="51">
      <c r="A51" t="s">
        <v>154</v>
      </c>
      <c r="B51" t="n">
        <v>12543688321.6664</v>
      </c>
    </row>
    <row r="52">
      <c r="A52" t="s">
        <v>155</v>
      </c>
      <c r="B52" t="n">
        <v>14514128580.5172</v>
      </c>
    </row>
    <row r="53">
      <c r="A53" t="s">
        <v>156</v>
      </c>
      <c r="B53" t="n">
        <v>9590272811.56478</v>
      </c>
    </row>
    <row r="54">
      <c r="A54" t="s">
        <v>157</v>
      </c>
      <c r="B54" t="n">
        <v>55443511410.0266</v>
      </c>
    </row>
    <row r="55">
      <c r="A55" t="s">
        <v>158</v>
      </c>
      <c r="B55" t="n">
        <v>23570153647.3511</v>
      </c>
    </row>
    <row r="56">
      <c r="A56" t="s">
        <v>159</v>
      </c>
      <c r="B56" t="n">
        <v>45041542738.5321</v>
      </c>
    </row>
    <row r="57">
      <c r="A57" t="s">
        <v>160</v>
      </c>
      <c r="B57" t="n">
        <v>4714780263.00736</v>
      </c>
    </row>
    <row r="58">
      <c r="A58" t="s">
        <v>161</v>
      </c>
      <c r="B58" t="n">
        <v>1024215533.51158</v>
      </c>
    </row>
    <row r="59">
      <c r="A59" t="s">
        <v>162</v>
      </c>
      <c r="B59" t="n">
        <v>1598426730.60509</v>
      </c>
    </row>
    <row r="60">
      <c r="A60" t="s">
        <v>163</v>
      </c>
      <c r="B60" t="n">
        <v>45416774.7994179</v>
      </c>
    </row>
    <row r="61">
      <c r="A61" t="s">
        <v>164</v>
      </c>
      <c r="B61" t="n">
        <v>100928254.513956</v>
      </c>
    </row>
    <row r="62">
      <c r="A62" t="s">
        <v>165</v>
      </c>
      <c r="B62" t="n">
        <v>0</v>
      </c>
    </row>
    <row r="63">
      <c r="A63" t="s">
        <v>166</v>
      </c>
      <c r="B63" t="n">
        <v>4022353873.67267</v>
      </c>
    </row>
    <row r="64">
      <c r="A64" t="s">
        <v>167</v>
      </c>
      <c r="B64" t="n">
        <v>336697635.404137</v>
      </c>
    </row>
    <row r="65">
      <c r="A65" t="s">
        <v>168</v>
      </c>
      <c r="B65" t="n">
        <v>2889675075.10269</v>
      </c>
    </row>
    <row r="66">
      <c r="A66" t="s">
        <v>169</v>
      </c>
      <c r="B66" t="n">
        <v>9415397856.97099</v>
      </c>
    </row>
    <row r="67">
      <c r="A67" t="s">
        <v>170</v>
      </c>
      <c r="B67" t="n">
        <v>11628859693.4107</v>
      </c>
    </row>
    <row r="68">
      <c r="A68" t="s">
        <v>171</v>
      </c>
      <c r="B68" t="n">
        <v>0</v>
      </c>
    </row>
    <row r="69">
      <c r="A69" t="s">
        <v>172</v>
      </c>
      <c r="B69" t="n">
        <v>0</v>
      </c>
    </row>
    <row r="70">
      <c r="A70" t="s">
        <v>173</v>
      </c>
      <c r="B70" t="n">
        <v>1609593478.95619</v>
      </c>
    </row>
    <row r="71">
      <c r="A71" t="s">
        <v>174</v>
      </c>
      <c r="B71" t="n">
        <v>0</v>
      </c>
    </row>
    <row r="72">
      <c r="A72" t="s">
        <v>175</v>
      </c>
      <c r="B72" t="n">
        <v>1484465280.605</v>
      </c>
    </row>
    <row r="73">
      <c r="A73" t="s">
        <v>176</v>
      </c>
      <c r="B73" t="n">
        <v>2689776332.09177</v>
      </c>
    </row>
    <row r="74">
      <c r="A74" t="s">
        <v>177</v>
      </c>
      <c r="B74" t="n">
        <v>6621845907.8298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30.71" hidden="0" customWidth="1"/>
  </cols>
  <sheetData>
    <row r="1">
      <c r="A1" t="s">
        <v>103</v>
      </c>
      <c r="B1" t="s">
        <v>181</v>
      </c>
    </row>
    <row r="2">
      <c r="A2" t="str">
        <f>'1_Gov_purchases_by_BEA'!A2</f>
      </c>
      <c r="B2" t="str">
        <f>'1_Gov_purchases_by_BEA'!B2+'2_HH_purchases_by_BEA'!B2+'3_Intl_purchases_by_BEA'!B2+'4_DomInd_purchases_by_BEA'!B2</f>
      </c>
    </row>
    <row r="3">
      <c r="A3" t="str">
        <f>'1_Gov_purchases_by_BEA'!A3</f>
      </c>
      <c r="B3" t="str">
        <f>'1_Gov_purchases_by_BEA'!B3+'2_HH_purchases_by_BEA'!B3+'3_Intl_purchases_by_BEA'!B3+'4_DomInd_purchases_by_BEA'!B3</f>
      </c>
    </row>
    <row r="4">
      <c r="A4" t="str">
        <f>'1_Gov_purchases_by_BEA'!A4</f>
      </c>
      <c r="B4" t="str">
        <f>'1_Gov_purchases_by_BEA'!B4+'2_HH_purchases_by_BEA'!B4+'3_Intl_purchases_by_BEA'!B4+'4_DomInd_purchases_by_BEA'!B4</f>
      </c>
    </row>
    <row r="5">
      <c r="A5" t="str">
        <f>'1_Gov_purchases_by_BEA'!A5</f>
      </c>
      <c r="B5" t="str">
        <f>'1_Gov_purchases_by_BEA'!B5+'2_HH_purchases_by_BEA'!B5+'3_Intl_purchases_by_BEA'!B5+'4_DomInd_purchases_by_BEA'!B5</f>
      </c>
    </row>
    <row r="6">
      <c r="A6" t="str">
        <f>'1_Gov_purchases_by_BEA'!A6</f>
      </c>
      <c r="B6" t="str">
        <f>'1_Gov_purchases_by_BEA'!B6+'2_HH_purchases_by_BEA'!B6+'3_Intl_purchases_by_BEA'!B6+'4_DomInd_purchases_by_BEA'!B6</f>
      </c>
    </row>
    <row r="7">
      <c r="A7" t="str">
        <f>'1_Gov_purchases_by_BEA'!A7</f>
      </c>
      <c r="B7" t="str">
        <f>'1_Gov_purchases_by_BEA'!B7+'2_HH_purchases_by_BEA'!B7+'3_Intl_purchases_by_BEA'!B7+'4_DomInd_purchases_by_BEA'!B7</f>
      </c>
    </row>
    <row r="8">
      <c r="A8" t="str">
        <f>'1_Gov_purchases_by_BEA'!A8</f>
      </c>
      <c r="B8" t="str">
        <f>'1_Gov_purchases_by_BEA'!B8+'2_HH_purchases_by_BEA'!B8+'3_Intl_purchases_by_BEA'!B8+'4_DomInd_purchases_by_BEA'!B8</f>
      </c>
    </row>
    <row r="9">
      <c r="A9" t="str">
        <f>'1_Gov_purchases_by_BEA'!A9</f>
      </c>
      <c r="B9" t="str">
        <f>'1_Gov_purchases_by_BEA'!B9+'2_HH_purchases_by_BEA'!B9+'3_Intl_purchases_by_BEA'!B9+'4_DomInd_purchases_by_BEA'!B9</f>
      </c>
    </row>
    <row r="10">
      <c r="A10" t="str">
        <f>'1_Gov_purchases_by_BEA'!A10</f>
      </c>
      <c r="B10" t="str">
        <f>'1_Gov_purchases_by_BEA'!B10+'2_HH_purchases_by_BEA'!B10+'3_Intl_purchases_by_BEA'!B10+'4_DomInd_purchases_by_BEA'!B10</f>
      </c>
    </row>
    <row r="11">
      <c r="A11" t="str">
        <f>'1_Gov_purchases_by_BEA'!A11</f>
      </c>
      <c r="B11" t="str">
        <f>'1_Gov_purchases_by_BEA'!B11+'2_HH_purchases_by_BEA'!B11+'3_Intl_purchases_by_BEA'!B11+'4_DomInd_purchases_by_BEA'!B11</f>
      </c>
    </row>
    <row r="12">
      <c r="A12" t="str">
        <f>'1_Gov_purchases_by_BEA'!A12</f>
      </c>
      <c r="B12" t="str">
        <f>'1_Gov_purchases_by_BEA'!B12+'2_HH_purchases_by_BEA'!B12+'3_Intl_purchases_by_BEA'!B12+'4_DomInd_purchases_by_BEA'!B12</f>
      </c>
    </row>
    <row r="13">
      <c r="A13" t="str">
        <f>'1_Gov_purchases_by_BEA'!A13</f>
      </c>
      <c r="B13" t="str">
        <f>'1_Gov_purchases_by_BEA'!B13+'2_HH_purchases_by_BEA'!B13+'3_Intl_purchases_by_BEA'!B13+'4_DomInd_purchases_by_BEA'!B13</f>
      </c>
    </row>
    <row r="14">
      <c r="A14" t="str">
        <f>'1_Gov_purchases_by_BEA'!A14</f>
      </c>
      <c r="B14" t="str">
        <f>'1_Gov_purchases_by_BEA'!B14+'2_HH_purchases_by_BEA'!B14+'3_Intl_purchases_by_BEA'!B14+'4_DomInd_purchases_by_BEA'!B14</f>
      </c>
    </row>
    <row r="15">
      <c r="A15" t="str">
        <f>'1_Gov_purchases_by_BEA'!A15</f>
      </c>
      <c r="B15" t="str">
        <f>'1_Gov_purchases_by_BEA'!B15+'2_HH_purchases_by_BEA'!B15+'3_Intl_purchases_by_BEA'!B15+'4_DomInd_purchases_by_BEA'!B15</f>
      </c>
    </row>
    <row r="16">
      <c r="A16" t="str">
        <f>'1_Gov_purchases_by_BEA'!A16</f>
      </c>
      <c r="B16" t="str">
        <f>'1_Gov_purchases_by_BEA'!B16+'2_HH_purchases_by_BEA'!B16+'3_Intl_purchases_by_BEA'!B16+'4_DomInd_purchases_by_BEA'!B16</f>
      </c>
    </row>
    <row r="17">
      <c r="A17" t="str">
        <f>'1_Gov_purchases_by_BEA'!A17</f>
      </c>
      <c r="B17" t="str">
        <f>'1_Gov_purchases_by_BEA'!B17+'2_HH_purchases_by_BEA'!B17+'3_Intl_purchases_by_BEA'!B17+'4_DomInd_purchases_by_BEA'!B17</f>
      </c>
    </row>
    <row r="18">
      <c r="A18" t="str">
        <f>'1_Gov_purchases_by_BEA'!A18</f>
      </c>
      <c r="B18" t="str">
        <f>'1_Gov_purchases_by_BEA'!B18+'2_HH_purchases_by_BEA'!B18+'3_Intl_purchases_by_BEA'!B18+'4_DomInd_purchases_by_BEA'!B18</f>
      </c>
    </row>
    <row r="19">
      <c r="A19" t="str">
        <f>'1_Gov_purchases_by_BEA'!A19</f>
      </c>
      <c r="B19" t="str">
        <f>'1_Gov_purchases_by_BEA'!B19+'2_HH_purchases_by_BEA'!B19+'3_Intl_purchases_by_BEA'!B19+'4_DomInd_purchases_by_BEA'!B19</f>
      </c>
    </row>
    <row r="20">
      <c r="A20" t="str">
        <f>'1_Gov_purchases_by_BEA'!A20</f>
      </c>
      <c r="B20" t="str">
        <f>'1_Gov_purchases_by_BEA'!B20+'2_HH_purchases_by_BEA'!B20+'3_Intl_purchases_by_BEA'!B20+'4_DomInd_purchases_by_BEA'!B20</f>
      </c>
    </row>
    <row r="21">
      <c r="A21" t="str">
        <f>'1_Gov_purchases_by_BEA'!A21</f>
      </c>
      <c r="B21" t="str">
        <f>'1_Gov_purchases_by_BEA'!B21+'2_HH_purchases_by_BEA'!B21+'3_Intl_purchases_by_BEA'!B21+'4_DomInd_purchases_by_BEA'!B21</f>
      </c>
    </row>
    <row r="22">
      <c r="A22" t="str">
        <f>'1_Gov_purchases_by_BEA'!A22</f>
      </c>
      <c r="B22" t="str">
        <f>'1_Gov_purchases_by_BEA'!B22+'2_HH_purchases_by_BEA'!B22+'3_Intl_purchases_by_BEA'!B22+'4_DomInd_purchases_by_BEA'!B22</f>
      </c>
    </row>
    <row r="23">
      <c r="A23" t="str">
        <f>'1_Gov_purchases_by_BEA'!A23</f>
      </c>
      <c r="B23" t="str">
        <f>'1_Gov_purchases_by_BEA'!B23+'2_HH_purchases_by_BEA'!B23+'3_Intl_purchases_by_BEA'!B23+'4_DomInd_purchases_by_BEA'!B23</f>
      </c>
    </row>
    <row r="24">
      <c r="A24" t="str">
        <f>'1_Gov_purchases_by_BEA'!A24</f>
      </c>
      <c r="B24" t="str">
        <f>'1_Gov_purchases_by_BEA'!B24+'2_HH_purchases_by_BEA'!B24+'3_Intl_purchases_by_BEA'!B24+'4_DomInd_purchases_by_BEA'!B24</f>
      </c>
    </row>
    <row r="25">
      <c r="A25" t="str">
        <f>'1_Gov_purchases_by_BEA'!A25</f>
      </c>
      <c r="B25" t="str">
        <f>'1_Gov_purchases_by_BEA'!B25+'2_HH_purchases_by_BEA'!B25+'3_Intl_purchases_by_BEA'!B25+'4_DomInd_purchases_by_BEA'!B25</f>
      </c>
    </row>
    <row r="26">
      <c r="A26" t="str">
        <f>'1_Gov_purchases_by_BEA'!A26</f>
      </c>
      <c r="B26" t="str">
        <f>'1_Gov_purchases_by_BEA'!B26+'2_HH_purchases_by_BEA'!B26+'3_Intl_purchases_by_BEA'!B26+'4_DomInd_purchases_by_BEA'!B26</f>
      </c>
    </row>
    <row r="27">
      <c r="A27" t="str">
        <f>'1_Gov_purchases_by_BEA'!A27</f>
      </c>
      <c r="B27" t="str">
        <f>'1_Gov_purchases_by_BEA'!B27+'2_HH_purchases_by_BEA'!B27+'3_Intl_purchases_by_BEA'!B27+'4_DomInd_purchases_by_BEA'!B27</f>
      </c>
    </row>
    <row r="28">
      <c r="A28" t="str">
        <f>'1_Gov_purchases_by_BEA'!A28</f>
      </c>
      <c r="B28" t="str">
        <f>'1_Gov_purchases_by_BEA'!B28+'2_HH_purchases_by_BEA'!B28+'3_Intl_purchases_by_BEA'!B28+'4_DomInd_purchases_by_BEA'!B28</f>
      </c>
    </row>
    <row r="29">
      <c r="A29" t="str">
        <f>'1_Gov_purchases_by_BEA'!A29</f>
      </c>
      <c r="B29" t="str">
        <f>'1_Gov_purchases_by_BEA'!B29+'2_HH_purchases_by_BEA'!B29+'3_Intl_purchases_by_BEA'!B29+'4_DomInd_purchases_by_BEA'!B29</f>
      </c>
    </row>
    <row r="30">
      <c r="A30" t="str">
        <f>'1_Gov_purchases_by_BEA'!A30</f>
      </c>
      <c r="B30" t="str">
        <f>'1_Gov_purchases_by_BEA'!B30+'2_HH_purchases_by_BEA'!B30+'3_Intl_purchases_by_BEA'!B30+'4_DomInd_purchases_by_BEA'!B30</f>
      </c>
    </row>
    <row r="31">
      <c r="A31" t="str">
        <f>'1_Gov_purchases_by_BEA'!A31</f>
      </c>
      <c r="B31" t="str">
        <f>'1_Gov_purchases_by_BEA'!B31+'2_HH_purchases_by_BEA'!B31+'3_Intl_purchases_by_BEA'!B31+'4_DomInd_purchases_by_BEA'!B31</f>
      </c>
    </row>
    <row r="32">
      <c r="A32" t="str">
        <f>'1_Gov_purchases_by_BEA'!A32</f>
      </c>
      <c r="B32" t="str">
        <f>'1_Gov_purchases_by_BEA'!B32+'2_HH_purchases_by_BEA'!B32+'3_Intl_purchases_by_BEA'!B32+'4_DomInd_purchases_by_BEA'!B32</f>
      </c>
    </row>
    <row r="33">
      <c r="A33" t="str">
        <f>'1_Gov_purchases_by_BEA'!A33</f>
      </c>
      <c r="B33" t="str">
        <f>'1_Gov_purchases_by_BEA'!B33+'2_HH_purchases_by_BEA'!B33+'3_Intl_purchases_by_BEA'!B33+'4_DomInd_purchases_by_BEA'!B33</f>
      </c>
    </row>
    <row r="34">
      <c r="A34" t="str">
        <f>'1_Gov_purchases_by_BEA'!A34</f>
      </c>
      <c r="B34" t="str">
        <f>'1_Gov_purchases_by_BEA'!B34+'2_HH_purchases_by_BEA'!B34+'3_Intl_purchases_by_BEA'!B34+'4_DomInd_purchases_by_BEA'!B34</f>
      </c>
    </row>
    <row r="35">
      <c r="A35" t="str">
        <f>'1_Gov_purchases_by_BEA'!A35</f>
      </c>
      <c r="B35" t="str">
        <f>'1_Gov_purchases_by_BEA'!B35+'2_HH_purchases_by_BEA'!B35+'3_Intl_purchases_by_BEA'!B35+'4_DomInd_purchases_by_BEA'!B35</f>
      </c>
    </row>
    <row r="36">
      <c r="A36" t="str">
        <f>'1_Gov_purchases_by_BEA'!A36</f>
      </c>
      <c r="B36" t="str">
        <f>'1_Gov_purchases_by_BEA'!B36+'2_HH_purchases_by_BEA'!B36+'3_Intl_purchases_by_BEA'!B36+'4_DomInd_purchases_by_BEA'!B36</f>
      </c>
    </row>
    <row r="37">
      <c r="A37" t="str">
        <f>'1_Gov_purchases_by_BEA'!A37</f>
      </c>
      <c r="B37" t="str">
        <f>'1_Gov_purchases_by_BEA'!B37+'2_HH_purchases_by_BEA'!B37+'3_Intl_purchases_by_BEA'!B37+'4_DomInd_purchases_by_BEA'!B37</f>
      </c>
    </row>
    <row r="38">
      <c r="A38" t="str">
        <f>'1_Gov_purchases_by_BEA'!A38</f>
      </c>
      <c r="B38" t="str">
        <f>'1_Gov_purchases_by_BEA'!B38+'2_HH_purchases_by_BEA'!B38+'3_Intl_purchases_by_BEA'!B38+'4_DomInd_purchases_by_BEA'!B38</f>
      </c>
    </row>
    <row r="39">
      <c r="A39" t="str">
        <f>'1_Gov_purchases_by_BEA'!A39</f>
      </c>
      <c r="B39" t="str">
        <f>'1_Gov_purchases_by_BEA'!B39+'2_HH_purchases_by_BEA'!B39+'3_Intl_purchases_by_BEA'!B39+'4_DomInd_purchases_by_BEA'!B39</f>
      </c>
    </row>
    <row r="40">
      <c r="A40" t="str">
        <f>'1_Gov_purchases_by_BEA'!A40</f>
      </c>
      <c r="B40" t="str">
        <f>'1_Gov_purchases_by_BEA'!B40+'2_HH_purchases_by_BEA'!B40+'3_Intl_purchases_by_BEA'!B40+'4_DomInd_purchases_by_BEA'!B40</f>
      </c>
    </row>
    <row r="41">
      <c r="A41" t="str">
        <f>'1_Gov_purchases_by_BEA'!A41</f>
      </c>
      <c r="B41" t="str">
        <f>'1_Gov_purchases_by_BEA'!B41+'2_HH_purchases_by_BEA'!B41+'3_Intl_purchases_by_BEA'!B41+'4_DomInd_purchases_by_BEA'!B41</f>
      </c>
    </row>
    <row r="42">
      <c r="A42" t="str">
        <f>'1_Gov_purchases_by_BEA'!A42</f>
      </c>
      <c r="B42" t="str">
        <f>'1_Gov_purchases_by_BEA'!B42+'2_HH_purchases_by_BEA'!B42+'3_Intl_purchases_by_BEA'!B42+'4_DomInd_purchases_by_BEA'!B42</f>
      </c>
    </row>
    <row r="43">
      <c r="A43" t="str">
        <f>'1_Gov_purchases_by_BEA'!A43</f>
      </c>
      <c r="B43" t="str">
        <f>'1_Gov_purchases_by_BEA'!B43+'2_HH_purchases_by_BEA'!B43+'3_Intl_purchases_by_BEA'!B43+'4_DomInd_purchases_by_BEA'!B43</f>
      </c>
    </row>
    <row r="44">
      <c r="A44" t="str">
        <f>'1_Gov_purchases_by_BEA'!A44</f>
      </c>
      <c r="B44" t="str">
        <f>'1_Gov_purchases_by_BEA'!B44+'2_HH_purchases_by_BEA'!B44+'3_Intl_purchases_by_BEA'!B44+'4_DomInd_purchases_by_BEA'!B44</f>
      </c>
    </row>
    <row r="45">
      <c r="A45" t="str">
        <f>'1_Gov_purchases_by_BEA'!A45</f>
      </c>
      <c r="B45" t="str">
        <f>'1_Gov_purchases_by_BEA'!B45+'2_HH_purchases_by_BEA'!B45+'3_Intl_purchases_by_BEA'!B45+'4_DomInd_purchases_by_BEA'!B45</f>
      </c>
    </row>
    <row r="46">
      <c r="A46" t="str">
        <f>'1_Gov_purchases_by_BEA'!A46</f>
      </c>
      <c r="B46" t="str">
        <f>'1_Gov_purchases_by_BEA'!B46+'2_HH_purchases_by_BEA'!B46+'3_Intl_purchases_by_BEA'!B46+'4_DomInd_purchases_by_BEA'!B46</f>
      </c>
    </row>
    <row r="47">
      <c r="A47" t="str">
        <f>'1_Gov_purchases_by_BEA'!A47</f>
      </c>
      <c r="B47" t="str">
        <f>'1_Gov_purchases_by_BEA'!B47+'2_HH_purchases_by_BEA'!B47+'3_Intl_purchases_by_BEA'!B47+'4_DomInd_purchases_by_BEA'!B47</f>
      </c>
    </row>
    <row r="48">
      <c r="A48" t="str">
        <f>'1_Gov_purchases_by_BEA'!A48</f>
      </c>
      <c r="B48" t="str">
        <f>'1_Gov_purchases_by_BEA'!B48+'2_HH_purchases_by_BEA'!B48+'3_Intl_purchases_by_BEA'!B48+'4_DomInd_purchases_by_BEA'!B48</f>
      </c>
    </row>
    <row r="49">
      <c r="A49" t="str">
        <f>'1_Gov_purchases_by_BEA'!A49</f>
      </c>
      <c r="B49" t="str">
        <f>'1_Gov_purchases_by_BEA'!B49+'2_HH_purchases_by_BEA'!B49+'3_Intl_purchases_by_BEA'!B49+'4_DomInd_purchases_by_BEA'!B49</f>
      </c>
    </row>
    <row r="50">
      <c r="A50" t="str">
        <f>'1_Gov_purchases_by_BEA'!A50</f>
      </c>
      <c r="B50" t="str">
        <f>'1_Gov_purchases_by_BEA'!B50+'2_HH_purchases_by_BEA'!B50+'3_Intl_purchases_by_BEA'!B50+'4_DomInd_purchases_by_BEA'!B50</f>
      </c>
    </row>
    <row r="51">
      <c r="A51" t="str">
        <f>'1_Gov_purchases_by_BEA'!A51</f>
      </c>
      <c r="B51" t="str">
        <f>'1_Gov_purchases_by_BEA'!B51+'2_HH_purchases_by_BEA'!B51+'3_Intl_purchases_by_BEA'!B51+'4_DomInd_purchases_by_BEA'!B51</f>
      </c>
    </row>
    <row r="52">
      <c r="A52" t="str">
        <f>'1_Gov_purchases_by_BEA'!A52</f>
      </c>
      <c r="B52" t="str">
        <f>'1_Gov_purchases_by_BEA'!B52+'2_HH_purchases_by_BEA'!B52+'3_Intl_purchases_by_BEA'!B52+'4_DomInd_purchases_by_BEA'!B52</f>
      </c>
    </row>
    <row r="53">
      <c r="A53" t="str">
        <f>'1_Gov_purchases_by_BEA'!A53</f>
      </c>
      <c r="B53" t="str">
        <f>'1_Gov_purchases_by_BEA'!B53+'2_HH_purchases_by_BEA'!B53+'3_Intl_purchases_by_BEA'!B53+'4_DomInd_purchases_by_BEA'!B53</f>
      </c>
    </row>
    <row r="54">
      <c r="A54" t="str">
        <f>'1_Gov_purchases_by_BEA'!A54</f>
      </c>
      <c r="B54" t="str">
        <f>'1_Gov_purchases_by_BEA'!B54+'2_HH_purchases_by_BEA'!B54+'3_Intl_purchases_by_BEA'!B54+'4_DomInd_purchases_by_BEA'!B54</f>
      </c>
    </row>
    <row r="55">
      <c r="A55" t="str">
        <f>'1_Gov_purchases_by_BEA'!A55</f>
      </c>
      <c r="B55" t="str">
        <f>'1_Gov_purchases_by_BEA'!B55+'2_HH_purchases_by_BEA'!B55+'3_Intl_purchases_by_BEA'!B55+'4_DomInd_purchases_by_BEA'!B55</f>
      </c>
    </row>
    <row r="56">
      <c r="A56" t="str">
        <f>'1_Gov_purchases_by_BEA'!A56</f>
      </c>
      <c r="B56" t="str">
        <f>'1_Gov_purchases_by_BEA'!B56+'2_HH_purchases_by_BEA'!B56+'3_Intl_purchases_by_BEA'!B56+'4_DomInd_purchases_by_BEA'!B56</f>
      </c>
    </row>
    <row r="57">
      <c r="A57" t="str">
        <f>'1_Gov_purchases_by_BEA'!A57</f>
      </c>
      <c r="B57" t="str">
        <f>'1_Gov_purchases_by_BEA'!B57+'2_HH_purchases_by_BEA'!B57+'3_Intl_purchases_by_BEA'!B57+'4_DomInd_purchases_by_BEA'!B57</f>
      </c>
    </row>
    <row r="58">
      <c r="A58" t="str">
        <f>'1_Gov_purchases_by_BEA'!A58</f>
      </c>
      <c r="B58" t="str">
        <f>'1_Gov_purchases_by_BEA'!B58+'2_HH_purchases_by_BEA'!B58+'3_Intl_purchases_by_BEA'!B58+'4_DomInd_purchases_by_BEA'!B58</f>
      </c>
    </row>
    <row r="59">
      <c r="A59" t="str">
        <f>'1_Gov_purchases_by_BEA'!A59</f>
      </c>
      <c r="B59" t="str">
        <f>'1_Gov_purchases_by_BEA'!B59+'2_HH_purchases_by_BEA'!B59+'3_Intl_purchases_by_BEA'!B59+'4_DomInd_purchases_by_BEA'!B59</f>
      </c>
    </row>
    <row r="60">
      <c r="A60" t="str">
        <f>'1_Gov_purchases_by_BEA'!A60</f>
      </c>
      <c r="B60" t="str">
        <f>'1_Gov_purchases_by_BEA'!B60+'2_HH_purchases_by_BEA'!B60+'3_Intl_purchases_by_BEA'!B60+'4_DomInd_purchases_by_BEA'!B60</f>
      </c>
    </row>
    <row r="61">
      <c r="A61" t="str">
        <f>'1_Gov_purchases_by_BEA'!A61</f>
      </c>
      <c r="B61" t="str">
        <f>'1_Gov_purchases_by_BEA'!B61+'2_HH_purchases_by_BEA'!B61+'3_Intl_purchases_by_BEA'!B61+'4_DomInd_purchases_by_BEA'!B61</f>
      </c>
    </row>
    <row r="62">
      <c r="A62" t="str">
        <f>'1_Gov_purchases_by_BEA'!A62</f>
      </c>
      <c r="B62" t="str">
        <f>'1_Gov_purchases_by_BEA'!B62+'2_HH_purchases_by_BEA'!B62+'3_Intl_purchases_by_BEA'!B62+'4_DomInd_purchases_by_BEA'!B62</f>
      </c>
    </row>
    <row r="63">
      <c r="A63" t="str">
        <f>'1_Gov_purchases_by_BEA'!A63</f>
      </c>
      <c r="B63" t="str">
        <f>'1_Gov_purchases_by_BEA'!B63+'2_HH_purchases_by_BEA'!B63+'3_Intl_purchases_by_BEA'!B63+'4_DomInd_purchases_by_BEA'!B63</f>
      </c>
    </row>
    <row r="64">
      <c r="A64" t="str">
        <f>'1_Gov_purchases_by_BEA'!A64</f>
      </c>
      <c r="B64" t="str">
        <f>'1_Gov_purchases_by_BEA'!B64+'2_HH_purchases_by_BEA'!B64+'3_Intl_purchases_by_BEA'!B64+'4_DomInd_purchases_by_BEA'!B64</f>
      </c>
    </row>
    <row r="65">
      <c r="A65" t="str">
        <f>'1_Gov_purchases_by_BEA'!A65</f>
      </c>
      <c r="B65" t="str">
        <f>'1_Gov_purchases_by_BEA'!B65+'2_HH_purchases_by_BEA'!B65+'3_Intl_purchases_by_BEA'!B65+'4_DomInd_purchases_by_BEA'!B65</f>
      </c>
    </row>
    <row r="66">
      <c r="A66" t="str">
        <f>'1_Gov_purchases_by_BEA'!A66</f>
      </c>
      <c r="B66" t="str">
        <f>'1_Gov_purchases_by_BEA'!B66+'2_HH_purchases_by_BEA'!B66+'3_Intl_purchases_by_BEA'!B66+'4_DomInd_purchases_by_BEA'!B66</f>
      </c>
    </row>
    <row r="67">
      <c r="A67" t="str">
        <f>'1_Gov_purchases_by_BEA'!A67</f>
      </c>
      <c r="B67" t="str">
        <f>'1_Gov_purchases_by_BEA'!B67+'2_HH_purchases_by_BEA'!B67+'3_Intl_purchases_by_BEA'!B67+'4_DomInd_purchases_by_BEA'!B67</f>
      </c>
    </row>
    <row r="68">
      <c r="A68" t="str">
        <f>'1_Gov_purchases_by_BEA'!A68</f>
      </c>
      <c r="B68" t="str">
        <f>'1_Gov_purchases_by_BEA'!B68+'2_HH_purchases_by_BEA'!B68+'3_Intl_purchases_by_BEA'!B68+'4_DomInd_purchases_by_BEA'!B68</f>
      </c>
    </row>
    <row r="69">
      <c r="A69" t="str">
        <f>'1_Gov_purchases_by_BEA'!A69</f>
      </c>
      <c r="B69" t="str">
        <f>'1_Gov_purchases_by_BEA'!B69+'2_HH_purchases_by_BEA'!B69+'3_Intl_purchases_by_BEA'!B69+'4_DomInd_purchases_by_BEA'!B69</f>
      </c>
    </row>
    <row r="70">
      <c r="A70" t="str">
        <f>'1_Gov_purchases_by_BEA'!A70</f>
      </c>
      <c r="B70" t="str">
        <f>'1_Gov_purchases_by_BEA'!B70+'2_HH_purchases_by_BEA'!B70+'3_Intl_purchases_by_BEA'!B70+'4_DomInd_purchases_by_BEA'!B70</f>
      </c>
    </row>
    <row r="71">
      <c r="A71" t="str">
        <f>'1_Gov_purchases_by_BEA'!A71</f>
      </c>
      <c r="B71" t="str">
        <f>'1_Gov_purchases_by_BEA'!B71+'2_HH_purchases_by_BEA'!B71+'3_Intl_purchases_by_BEA'!B71+'4_DomInd_purchases_by_BEA'!B71</f>
      </c>
    </row>
    <row r="72">
      <c r="A72" t="str">
        <f>'1_Gov_purchases_by_BEA'!A72</f>
      </c>
      <c r="B72" t="str">
        <f>'1_Gov_purchases_by_BEA'!B72+'2_HH_purchases_by_BEA'!B72+'3_Intl_purchases_by_BEA'!B72+'4_DomInd_purchases_by_BEA'!B72</f>
      </c>
    </row>
    <row r="73">
      <c r="A73" t="str">
        <f>'1_Gov_purchases_by_BEA'!A73</f>
      </c>
      <c r="B73" t="str">
        <f>'1_Gov_purchases_by_BEA'!B73+'2_HH_purchases_by_BEA'!B73+'3_Intl_purchases_by_BEA'!B73+'4_DomInd_purchases_by_BEA'!B73</f>
      </c>
    </row>
    <row r="74">
      <c r="A74" t="str">
        <f>'1_Gov_purchases_by_BEA'!A74</f>
      </c>
      <c r="B74" t="str">
        <f>'1_Gov_purchases_by_BEA'!B74+'2_HH_purchases_by_BEA'!B74+'3_Intl_purchases_by_BEA'!B74+'4_DomInd_purchases_by_BEA'!B74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182</v>
      </c>
      <c r="B1" t="s">
        <v>183</v>
      </c>
    </row>
    <row r="2">
      <c r="A2" t="s">
        <v>184</v>
      </c>
      <c r="B2" t="n">
        <v>28301055803.9959</v>
      </c>
    </row>
    <row r="3">
      <c r="A3" t="s">
        <v>185</v>
      </c>
      <c r="B3" t="n">
        <v>62161943352.438</v>
      </c>
    </row>
    <row r="4">
      <c r="A4" t="s">
        <v>186</v>
      </c>
      <c r="B4" t="n">
        <v>34123066900.8625</v>
      </c>
    </row>
    <row r="5">
      <c r="A5" t="s">
        <v>187</v>
      </c>
      <c r="B5" t="n">
        <v>186802816450.268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</cols>
  <sheetData>
    <row r="1">
      <c r="A1" t="s">
        <v>188</v>
      </c>
      <c r="B1" t="s">
        <v>189</v>
      </c>
    </row>
    <row r="2">
      <c r="A2" t="s">
        <v>190</v>
      </c>
      <c r="B2" t="n">
        <v>16287570264.7194</v>
      </c>
    </row>
    <row r="3">
      <c r="A3" t="s">
        <v>191</v>
      </c>
      <c r="B3" t="n">
        <v>1689071026.80398</v>
      </c>
    </row>
    <row r="4">
      <c r="A4" t="s">
        <v>192</v>
      </c>
      <c r="B4" t="n">
        <v>15898937356.6608</v>
      </c>
    </row>
    <row r="5">
      <c r="A5" t="s">
        <v>193</v>
      </c>
      <c r="B5" t="n">
        <v>1009688944.54985</v>
      </c>
    </row>
    <row r="6">
      <c r="A6" t="s">
        <v>194</v>
      </c>
      <c r="B6" t="n">
        <v>62680972.0405717</v>
      </c>
    </row>
    <row r="7">
      <c r="A7" t="s">
        <v>195</v>
      </c>
      <c r="B7" t="n">
        <v>17053267802.7654</v>
      </c>
    </row>
    <row r="8">
      <c r="A8" t="s">
        <v>196</v>
      </c>
      <c r="B8" t="n">
        <v>2420227601.82938</v>
      </c>
    </row>
    <row r="9">
      <c r="A9" t="s">
        <v>197</v>
      </c>
      <c r="B9" t="n">
        <v>3818246840.079</v>
      </c>
    </row>
    <row r="10">
      <c r="A10" t="s">
        <v>198</v>
      </c>
      <c r="B10" t="n">
        <v>10179802325.105</v>
      </c>
    </row>
    <row r="11">
      <c r="A11" t="s">
        <v>199</v>
      </c>
      <c r="B11" t="n">
        <v>14855366999.3382</v>
      </c>
    </row>
    <row r="12">
      <c r="A12" t="s">
        <v>200</v>
      </c>
      <c r="B12" t="n">
        <v>15661395096.2335</v>
      </c>
    </row>
    <row r="13">
      <c r="A13" t="s">
        <v>201</v>
      </c>
      <c r="B13" t="n">
        <v>12813868715.1001</v>
      </c>
    </row>
    <row r="14">
      <c r="A14" t="s">
        <v>110</v>
      </c>
      <c r="B14" t="n">
        <v>10800149592.4212</v>
      </c>
    </row>
    <row r="15">
      <c r="A15" t="s">
        <v>202</v>
      </c>
      <c r="B15" t="n">
        <v>508348476.358244</v>
      </c>
    </row>
    <row r="16">
      <c r="A16" t="s">
        <v>203</v>
      </c>
      <c r="B16" t="n">
        <v>4575136287.2242</v>
      </c>
    </row>
    <row r="17">
      <c r="A17" t="s">
        <v>204</v>
      </c>
      <c r="B17" t="n">
        <v>8428724828.70262</v>
      </c>
    </row>
    <row r="18">
      <c r="A18" t="s">
        <v>205</v>
      </c>
      <c r="B18" t="n">
        <v>6402971074.32422</v>
      </c>
    </row>
    <row r="19">
      <c r="A19" t="s">
        <v>206</v>
      </c>
      <c r="B19" t="n">
        <v>15493812062.218</v>
      </c>
    </row>
    <row r="20">
      <c r="A20" t="s">
        <v>207</v>
      </c>
      <c r="B20" t="n">
        <v>8078477061.43807</v>
      </c>
    </row>
    <row r="21">
      <c r="A21" t="s">
        <v>208</v>
      </c>
      <c r="B21" t="n">
        <v>5196830268.46024</v>
      </c>
    </row>
    <row r="22">
      <c r="A22" t="s">
        <v>209</v>
      </c>
      <c r="B22" t="n">
        <v>8398982927.54371</v>
      </c>
    </row>
    <row r="23">
      <c r="A23" t="s">
        <v>210</v>
      </c>
      <c r="B23" t="n">
        <v>11568991408.7743</v>
      </c>
    </row>
    <row r="24">
      <c r="A24" t="s">
        <v>211</v>
      </c>
      <c r="B24" t="n">
        <v>1431297462.8479</v>
      </c>
    </row>
    <row r="25">
      <c r="A25" t="s">
        <v>212</v>
      </c>
      <c r="B25" t="n">
        <v>4390909873.53591</v>
      </c>
    </row>
    <row r="26">
      <c r="A26" t="s">
        <v>213</v>
      </c>
      <c r="B26" t="n">
        <v>11078617910.4565</v>
      </c>
    </row>
    <row r="27">
      <c r="A27" t="s">
        <v>214</v>
      </c>
      <c r="B27" t="n">
        <v>5031432349.75834</v>
      </c>
    </row>
    <row r="28">
      <c r="A28" t="s">
        <v>215</v>
      </c>
      <c r="B28" t="n">
        <v>5180206109.89864</v>
      </c>
    </row>
    <row r="29">
      <c r="A29" t="s">
        <v>216</v>
      </c>
      <c r="B29" t="n">
        <v>11480453343.7265</v>
      </c>
    </row>
    <row r="30">
      <c r="A30" t="s">
        <v>217</v>
      </c>
      <c r="B30" t="n">
        <v>48482748544.2686</v>
      </c>
    </row>
    <row r="31">
      <c r="A31" t="s">
        <v>218</v>
      </c>
      <c r="B31" t="n">
        <v>38286742528.0944</v>
      </c>
    </row>
    <row r="32">
      <c r="A32" t="s">
        <v>219</v>
      </c>
      <c r="B32" t="n">
        <v>12517419777.5719</v>
      </c>
    </row>
    <row r="33">
      <c r="A33" t="s">
        <v>220</v>
      </c>
      <c r="B33" t="n">
        <v>8229717488.33858</v>
      </c>
    </row>
    <row r="34">
      <c r="A34" t="s">
        <v>161</v>
      </c>
      <c r="B34" t="n">
        <v>9745192426.62043</v>
      </c>
    </row>
    <row r="35">
      <c r="A35" t="s">
        <v>221</v>
      </c>
      <c r="B35" t="n">
        <v>20206323736.4111</v>
      </c>
    </row>
    <row r="36">
      <c r="A36" t="s">
        <v>222</v>
      </c>
      <c r="B36" t="n">
        <v>87445901652.5031</v>
      </c>
    </row>
    <row r="37">
      <c r="A37" t="s">
        <v>223</v>
      </c>
      <c r="B37" t="n">
        <v>52051274524.02</v>
      </c>
    </row>
    <row r="38">
      <c r="A38" t="s">
        <v>224</v>
      </c>
      <c r="B38" t="n">
        <v>142470959948.964</v>
      </c>
    </row>
    <row r="39">
      <c r="A39" t="s">
        <v>225</v>
      </c>
      <c r="B39" t="n">
        <v>4385459568.58687</v>
      </c>
    </row>
    <row r="40">
      <c r="A40" t="s">
        <v>226</v>
      </c>
      <c r="B40" t="n">
        <v>920520058.343017</v>
      </c>
    </row>
    <row r="41">
      <c r="A41" t="s">
        <v>227</v>
      </c>
      <c r="B41" t="n">
        <v>1744771759.91846</v>
      </c>
    </row>
    <row r="42">
      <c r="A42" t="s">
        <v>228</v>
      </c>
      <c r="B42" t="n">
        <v>15583055679.441</v>
      </c>
    </row>
    <row r="43">
      <c r="A43" t="s">
        <v>229</v>
      </c>
      <c r="B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xSplit="1" topLeftCell="B10" activePane="bottomRight" state="frozen"/>
      <selection pane="bottomRight"/>
    </sheetView>
  </sheetViews>
  <sheetFormatPr defaultRowHeight="15.0" baseColWidth="10"/>
  <cols>
    <col min="1" max="1" width="14.71" hidden="0" customWidth="1"/>
  </cols>
  <sheetData>
    <row r="1">
      <c r="A1" t="s">
        <v>230</v>
      </c>
    </row>
    <row r="2">
      <c r="A2" t="s">
        <v>231</v>
      </c>
    </row>
    <row r="3">
      <c r="A3" t="s">
        <v>232</v>
      </c>
    </row>
    <row r="4">
      <c r="A4" t="s">
        <v>233</v>
      </c>
    </row>
    <row r="5">
      <c r="A5" t="s">
        <v>234</v>
      </c>
    </row>
    <row r="6">
      <c r="A6" t="s">
        <v>235</v>
      </c>
    </row>
    <row r="7">
      <c r="A7" t="s">
        <v>1</v>
      </c>
    </row>
    <row r="9">
      <c r="A9" t="s">
        <v>236</v>
      </c>
      <c r="B9" t="s">
        <v>105</v>
      </c>
      <c r="C9" t="s">
        <v>106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 t="s">
        <v>124</v>
      </c>
      <c r="V9" t="s">
        <v>125</v>
      </c>
      <c r="W9" t="s">
        <v>126</v>
      </c>
      <c r="X9" t="s">
        <v>127</v>
      </c>
      <c r="Y9" t="s">
        <v>128</v>
      </c>
      <c r="Z9" t="s">
        <v>129</v>
      </c>
      <c r="AA9" t="s">
        <v>130</v>
      </c>
      <c r="AB9" t="s">
        <v>131</v>
      </c>
      <c r="AC9" t="s">
        <v>132</v>
      </c>
      <c r="AD9" t="s">
        <v>133</v>
      </c>
      <c r="AE9" t="s">
        <v>134</v>
      </c>
      <c r="AF9" t="s">
        <v>135</v>
      </c>
      <c r="AG9" t="s">
        <v>136</v>
      </c>
      <c r="AH9" t="s">
        <v>137</v>
      </c>
      <c r="AI9" t="s">
        <v>138</v>
      </c>
      <c r="AJ9" t="s">
        <v>139</v>
      </c>
      <c r="AK9" t="s">
        <v>140</v>
      </c>
      <c r="AL9" t="s">
        <v>141</v>
      </c>
      <c r="AM9" t="s">
        <v>142</v>
      </c>
      <c r="AN9" t="s">
        <v>143</v>
      </c>
      <c r="AO9" t="s">
        <v>144</v>
      </c>
      <c r="AP9" t="s">
        <v>145</v>
      </c>
      <c r="AQ9" t="s">
        <v>146</v>
      </c>
      <c r="AR9" t="s">
        <v>147</v>
      </c>
      <c r="AS9" t="s">
        <v>148</v>
      </c>
      <c r="AT9" t="s">
        <v>149</v>
      </c>
      <c r="AU9" t="s">
        <v>150</v>
      </c>
      <c r="AV9" t="s">
        <v>151</v>
      </c>
      <c r="AW9" t="s">
        <v>152</v>
      </c>
      <c r="AX9" t="s">
        <v>153</v>
      </c>
      <c r="AY9" t="s">
        <v>154</v>
      </c>
      <c r="AZ9" t="s">
        <v>155</v>
      </c>
      <c r="BA9" t="s">
        <v>156</v>
      </c>
      <c r="BB9" t="s">
        <v>157</v>
      </c>
      <c r="BC9" t="s">
        <v>158</v>
      </c>
      <c r="BD9" t="s">
        <v>159</v>
      </c>
      <c r="BE9" t="s">
        <v>160</v>
      </c>
      <c r="BF9" t="s">
        <v>161</v>
      </c>
      <c r="BG9" t="s">
        <v>162</v>
      </c>
      <c r="BH9" t="s">
        <v>163</v>
      </c>
      <c r="BI9" t="s">
        <v>164</v>
      </c>
      <c r="BJ9" t="s">
        <v>165</v>
      </c>
      <c r="BK9" t="s">
        <v>166</v>
      </c>
      <c r="BL9" t="s">
        <v>167</v>
      </c>
      <c r="BM9" t="s">
        <v>168</v>
      </c>
      <c r="BN9" t="s">
        <v>169</v>
      </c>
      <c r="BO9" t="s">
        <v>170</v>
      </c>
      <c r="BP9" t="s">
        <v>171</v>
      </c>
      <c r="BQ9" t="s">
        <v>172</v>
      </c>
      <c r="BR9" t="s">
        <v>173</v>
      </c>
      <c r="BS9" t="s">
        <v>174</v>
      </c>
      <c r="BT9" t="s">
        <v>175</v>
      </c>
      <c r="BU9" t="s">
        <v>237</v>
      </c>
      <c r="BV9" t="s">
        <v>238</v>
      </c>
      <c r="BW9" t="s">
        <v>239</v>
      </c>
      <c r="BX9" t="s">
        <v>240</v>
      </c>
      <c r="BY9" t="s">
        <v>241</v>
      </c>
      <c r="BZ9" t="s">
        <v>242</v>
      </c>
      <c r="CA9" t="s">
        <v>243</v>
      </c>
      <c r="CB9" t="s">
        <v>244</v>
      </c>
      <c r="CC9" t="s">
        <v>245</v>
      </c>
      <c r="CD9" t="s">
        <v>246</v>
      </c>
      <c r="CE9" t="s">
        <v>247</v>
      </c>
      <c r="CF9" t="s">
        <v>248</v>
      </c>
      <c r="CG9" t="s">
        <v>249</v>
      </c>
      <c r="CH9" t="s">
        <v>250</v>
      </c>
      <c r="CI9" t="s">
        <v>251</v>
      </c>
      <c r="CJ9" t="s">
        <v>252</v>
      </c>
      <c r="CK9" t="s">
        <v>253</v>
      </c>
      <c r="CL9" t="s">
        <v>254</v>
      </c>
      <c r="CM9" t="s">
        <v>255</v>
      </c>
      <c r="CN9" t="s">
        <v>256</v>
      </c>
    </row>
    <row r="10">
      <c r="A10" t="s">
        <v>105</v>
      </c>
      <c r="B10" t="n">
        <v>1468648407.43255</v>
      </c>
      <c r="C10" t="n">
        <v>1679936.82874407</v>
      </c>
      <c r="D10" t="n">
        <v>0</v>
      </c>
      <c r="E10" t="n">
        <v>286079.04485454</v>
      </c>
      <c r="F10" t="n">
        <v>22479.1696933222</v>
      </c>
      <c r="G10" t="n">
        <v>0</v>
      </c>
      <c r="H10" t="n">
        <v>24672102.2658172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8463113.44132615</v>
      </c>
      <c r="T10" t="n">
        <v>5168270334.96859</v>
      </c>
      <c r="U10" t="n">
        <v>11667275.0348343</v>
      </c>
      <c r="V10" t="n">
        <v>0</v>
      </c>
      <c r="W10" t="n">
        <v>0</v>
      </c>
      <c r="X10" t="n">
        <v>0</v>
      </c>
      <c r="Y10" t="n">
        <v>0</v>
      </c>
      <c r="Z10" t="n">
        <v>410306303.423174</v>
      </c>
      <c r="AA10" t="n">
        <v>0</v>
      </c>
      <c r="AB10" t="n">
        <v>19921801.5572696</v>
      </c>
      <c r="AC10" t="n">
        <v>11990501.4836341</v>
      </c>
      <c r="AD10" t="n">
        <v>19576412.5641982</v>
      </c>
      <c r="AE10" t="n">
        <v>3395319.30292648</v>
      </c>
      <c r="AF10" t="n">
        <v>6767083.47124163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978228.478641605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19165.0346122407</v>
      </c>
      <c r="AT10" t="n">
        <v>0</v>
      </c>
      <c r="AU10" t="n">
        <v>0</v>
      </c>
      <c r="AV10" t="n">
        <v>0</v>
      </c>
      <c r="AW10" t="n">
        <v>0</v>
      </c>
      <c r="AX10" t="n">
        <v>59771.6780401097</v>
      </c>
      <c r="AY10" t="n">
        <v>0</v>
      </c>
      <c r="AZ10" t="n">
        <v>31769.7976879652</v>
      </c>
      <c r="BA10" t="n">
        <v>0</v>
      </c>
      <c r="BB10" t="n">
        <v>24144104.2974789</v>
      </c>
      <c r="BC10" t="n">
        <v>443128.809940179</v>
      </c>
      <c r="BD10" t="n">
        <v>44661146.2723221</v>
      </c>
      <c r="BE10" t="n">
        <v>0</v>
      </c>
      <c r="BF10" t="n">
        <v>5094154.09112784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16653536.3761732</v>
      </c>
      <c r="BM10" t="n">
        <v>866075.620899367</v>
      </c>
      <c r="BN10" t="n">
        <v>144092378.991807</v>
      </c>
      <c r="BO10" t="n">
        <v>370855.28739482</v>
      </c>
      <c r="BP10" t="n">
        <v>125229.177042669</v>
      </c>
      <c r="BQ10" t="n">
        <v>-3153854.00638573</v>
      </c>
      <c r="BR10" t="n">
        <v>0</v>
      </c>
      <c r="BS10" t="n">
        <v>79544194.3479074</v>
      </c>
      <c r="BT10" t="n">
        <v>0</v>
      </c>
      <c r="BU10" t="n">
        <v>1826023901.07148</v>
      </c>
      <c r="BV10" t="n">
        <v>0</v>
      </c>
      <c r="BW10" t="n">
        <v>0</v>
      </c>
      <c r="BX10" t="n">
        <v>0</v>
      </c>
      <c r="BY10" t="n">
        <v>0</v>
      </c>
      <c r="BZ10" t="n">
        <v>-479876772.26204</v>
      </c>
      <c r="CA10" t="n">
        <v>1492746444.55937</v>
      </c>
      <c r="CB10" t="n">
        <v>-1734024530.16618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106</v>
      </c>
      <c r="B11" t="n">
        <v>427883596.274166</v>
      </c>
      <c r="C11" t="n">
        <v>28619593.1740349</v>
      </c>
      <c r="D11" t="n">
        <v>0</v>
      </c>
      <c r="E11" t="n">
        <v>1175627.17536885</v>
      </c>
      <c r="F11" t="n">
        <v>0</v>
      </c>
      <c r="G11" t="n">
        <v>0</v>
      </c>
      <c r="H11" t="n">
        <v>0</v>
      </c>
      <c r="I11" t="n">
        <v>94296747.4155064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2517151.994405</v>
      </c>
      <c r="S11" t="n">
        <v>11086018.1405566</v>
      </c>
      <c r="T11" t="n">
        <v>340122577.42663</v>
      </c>
      <c r="U11" t="n">
        <v>0</v>
      </c>
      <c r="V11" t="n">
        <v>1660825.54003114</v>
      </c>
      <c r="W11" t="n">
        <v>45769041.0718112</v>
      </c>
      <c r="X11" t="n">
        <v>1178145.72174577</v>
      </c>
      <c r="Y11" t="n">
        <v>0</v>
      </c>
      <c r="Z11" t="n">
        <v>15977612.1365491</v>
      </c>
      <c r="AA11" t="n">
        <v>101419840.750456</v>
      </c>
      <c r="AB11" t="n">
        <v>0</v>
      </c>
      <c r="AC11" t="n">
        <v>0</v>
      </c>
      <c r="AD11" t="n">
        <v>25645262.8612627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53072.2920847424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7696926.65832943</v>
      </c>
      <c r="BC11" t="n">
        <v>420087.241589798</v>
      </c>
      <c r="BD11" t="n">
        <v>94337.5051124745</v>
      </c>
      <c r="BE11" t="n">
        <v>0</v>
      </c>
      <c r="BF11" t="n">
        <v>2242833.16551748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10628340.2408064</v>
      </c>
      <c r="BM11" t="n">
        <v>11259133.7168824</v>
      </c>
      <c r="BN11" t="n">
        <v>189299615.315493</v>
      </c>
      <c r="BO11" t="n">
        <v>3260736.26025336</v>
      </c>
      <c r="BP11" t="n">
        <v>0</v>
      </c>
      <c r="BQ11" t="n">
        <v>599982.252830834</v>
      </c>
      <c r="BR11" t="n">
        <v>334355.840599903</v>
      </c>
      <c r="BS11" t="n">
        <v>102049678.070856</v>
      </c>
      <c r="BT11" t="n">
        <v>0</v>
      </c>
      <c r="BU11" t="n">
        <v>169344076.017692</v>
      </c>
      <c r="BV11" t="n">
        <v>0</v>
      </c>
      <c r="BW11" t="n">
        <v>0</v>
      </c>
      <c r="BX11" t="n">
        <v>0</v>
      </c>
      <c r="BY11" t="n">
        <v>0</v>
      </c>
      <c r="BZ11" t="n">
        <v>16229170.8170889</v>
      </c>
      <c r="CA11" t="n">
        <v>88963582.2786253</v>
      </c>
      <c r="CB11" t="n">
        <v>-800878347.833151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107</v>
      </c>
      <c r="B12" t="n">
        <v>0</v>
      </c>
      <c r="C12" t="n">
        <v>0</v>
      </c>
      <c r="D12" t="n">
        <v>2158508.40210739</v>
      </c>
      <c r="E12" t="n">
        <v>0</v>
      </c>
      <c r="F12" t="n">
        <v>6807.17495352239</v>
      </c>
      <c r="G12" t="n">
        <v>62291031.8211257</v>
      </c>
      <c r="H12" t="n">
        <v>0</v>
      </c>
      <c r="I12" t="n">
        <v>16890.8720807109</v>
      </c>
      <c r="J12" t="n">
        <v>61.2558247920228</v>
      </c>
      <c r="K12" t="n">
        <v>187.295952515098</v>
      </c>
      <c r="L12" t="n">
        <v>0</v>
      </c>
      <c r="M12" t="n">
        <v>0</v>
      </c>
      <c r="N12" t="n">
        <v>0</v>
      </c>
      <c r="O12" t="n">
        <v>0</v>
      </c>
      <c r="P12" t="n">
        <v>55.9896105971757</v>
      </c>
      <c r="Q12" t="n">
        <v>0</v>
      </c>
      <c r="R12" t="n">
        <v>0</v>
      </c>
      <c r="S12" t="n">
        <v>0</v>
      </c>
      <c r="T12" t="n">
        <v>79.6993941637099</v>
      </c>
      <c r="U12" t="n">
        <v>0</v>
      </c>
      <c r="V12" t="n">
        <v>0</v>
      </c>
      <c r="W12" t="n">
        <v>33953.0582325022</v>
      </c>
      <c r="X12" t="n">
        <v>115.902776245904</v>
      </c>
      <c r="Y12" t="n">
        <v>6997526598.65308</v>
      </c>
      <c r="Z12" t="n">
        <v>13029651.0390963</v>
      </c>
      <c r="AA12" t="n">
        <v>0</v>
      </c>
      <c r="AB12" t="n">
        <v>53393.9212783268</v>
      </c>
      <c r="AC12" t="n">
        <v>36196.0812115444</v>
      </c>
      <c r="AD12" t="n">
        <v>0</v>
      </c>
      <c r="AE12" t="n">
        <v>83.2085625576264</v>
      </c>
      <c r="AF12" t="n">
        <v>66665.5427464232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46027.2168869034</v>
      </c>
      <c r="AM12" t="n">
        <v>0</v>
      </c>
      <c r="AN12" t="n">
        <v>1146240.30514985</v>
      </c>
      <c r="AO12" t="n">
        <v>486625.989982107</v>
      </c>
      <c r="AP12" t="n">
        <v>0</v>
      </c>
      <c r="AQ12" t="n">
        <v>29729.2597063935</v>
      </c>
      <c r="AR12" t="n">
        <v>118874.575475566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241293.967924148</v>
      </c>
      <c r="AY12" t="n">
        <v>0</v>
      </c>
      <c r="AZ12" t="n">
        <v>0</v>
      </c>
      <c r="BA12" t="n">
        <v>63.4833310460793</v>
      </c>
      <c r="BB12" t="n">
        <v>44495.0040922739</v>
      </c>
      <c r="BC12" t="n">
        <v>38875.2292473985</v>
      </c>
      <c r="BD12" t="n">
        <v>0</v>
      </c>
      <c r="BE12" t="n">
        <v>37267.1028781715</v>
      </c>
      <c r="BF12" t="n">
        <v>3366458.85731709</v>
      </c>
      <c r="BG12" t="n">
        <v>58.5190671112323</v>
      </c>
      <c r="BH12" t="n">
        <v>0</v>
      </c>
      <c r="BI12" t="n">
        <v>75.1851151240319</v>
      </c>
      <c r="BJ12" t="n">
        <v>0</v>
      </c>
      <c r="BK12" t="n">
        <v>0</v>
      </c>
      <c r="BL12" t="n">
        <v>439089.370758994</v>
      </c>
      <c r="BM12" t="n">
        <v>56.3584793929534</v>
      </c>
      <c r="BN12" t="n">
        <v>69.8013523070954</v>
      </c>
      <c r="BO12" t="n">
        <v>87820.9608592499</v>
      </c>
      <c r="BP12" t="n">
        <v>0</v>
      </c>
      <c r="BQ12" t="n">
        <v>0</v>
      </c>
      <c r="BR12" t="n">
        <v>2366164.47631028</v>
      </c>
      <c r="BS12" t="n">
        <v>0</v>
      </c>
      <c r="BT12" t="n">
        <v>29702803.6491596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5637084.30592632</v>
      </c>
      <c r="CA12" t="n">
        <v>88289872.4718163</v>
      </c>
      <c r="CB12" t="n">
        <v>-7099093667.56916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</row>
    <row r="13">
      <c r="A13" t="s">
        <v>108</v>
      </c>
      <c r="B13" t="n">
        <v>23619041.8361453</v>
      </c>
      <c r="C13" t="n">
        <v>0</v>
      </c>
      <c r="D13" t="n">
        <v>39829.6289842225</v>
      </c>
      <c r="E13" t="n">
        <v>93650571.1187885</v>
      </c>
      <c r="F13" t="n">
        <v>189162.469369577</v>
      </c>
      <c r="G13" t="n">
        <v>126160878.654325</v>
      </c>
      <c r="H13" t="n">
        <v>278321235.125408</v>
      </c>
      <c r="I13" t="n">
        <v>72494.0637722745</v>
      </c>
      <c r="J13" t="n">
        <v>186978206.119433</v>
      </c>
      <c r="K13" t="n">
        <v>165142742.256408</v>
      </c>
      <c r="L13" t="n">
        <v>17308010.0212012</v>
      </c>
      <c r="M13" t="n">
        <v>5271503.47669455</v>
      </c>
      <c r="N13" t="n">
        <v>112467.471024892</v>
      </c>
      <c r="O13" t="n">
        <v>3520013.49975768</v>
      </c>
      <c r="P13" t="n">
        <v>1580253.96769705</v>
      </c>
      <c r="Q13" t="n">
        <v>226545.886283943</v>
      </c>
      <c r="R13" t="n">
        <v>263878.278158537</v>
      </c>
      <c r="S13" t="n">
        <v>3793829.71351158</v>
      </c>
      <c r="T13" t="n">
        <v>34024293.89512</v>
      </c>
      <c r="U13" t="n">
        <v>298522.78763775</v>
      </c>
      <c r="V13" t="n">
        <v>0</v>
      </c>
      <c r="W13" t="n">
        <v>24404564.0287476</v>
      </c>
      <c r="X13" t="n">
        <v>0</v>
      </c>
      <c r="Y13" t="n">
        <v>90146587.2504765</v>
      </c>
      <c r="Z13" t="n">
        <v>196115613.575908</v>
      </c>
      <c r="AA13" t="n">
        <v>4805671.88949465</v>
      </c>
      <c r="AB13" t="n">
        <v>663597.699285156</v>
      </c>
      <c r="AC13" t="n">
        <v>0</v>
      </c>
      <c r="AD13" t="n">
        <v>0</v>
      </c>
      <c r="AE13" t="n">
        <v>0</v>
      </c>
      <c r="AF13" t="n">
        <v>51175.7037520383</v>
      </c>
      <c r="AG13" t="n">
        <v>0</v>
      </c>
      <c r="AH13" t="n">
        <v>4127807.55742239</v>
      </c>
      <c r="AI13" t="n">
        <v>0</v>
      </c>
      <c r="AJ13" t="n">
        <v>173032.658339701</v>
      </c>
      <c r="AK13" t="n">
        <v>22599.9056592827</v>
      </c>
      <c r="AL13" t="n">
        <v>0</v>
      </c>
      <c r="AM13" t="n">
        <v>28619.4286683935</v>
      </c>
      <c r="AN13" t="n">
        <v>51344.1234666074</v>
      </c>
      <c r="AO13" t="n">
        <v>222307.831291272</v>
      </c>
      <c r="AP13" t="n">
        <v>141788.790027328</v>
      </c>
      <c r="AQ13" t="n">
        <v>4325465.62701401</v>
      </c>
      <c r="AR13" t="n">
        <v>11463992.0976538</v>
      </c>
      <c r="AS13" t="n">
        <v>0</v>
      </c>
      <c r="AT13" t="n">
        <v>0</v>
      </c>
      <c r="AU13" t="n">
        <v>0</v>
      </c>
      <c r="AV13" t="n">
        <v>0</v>
      </c>
      <c r="AW13" t="n">
        <v>111728.206497981</v>
      </c>
      <c r="AX13" t="n">
        <v>0</v>
      </c>
      <c r="AY13" t="n">
        <v>0</v>
      </c>
      <c r="AZ13" t="n">
        <v>0</v>
      </c>
      <c r="BA13" t="n">
        <v>0</v>
      </c>
      <c r="BB13" t="n">
        <v>33049104.9609957</v>
      </c>
      <c r="BC13" t="n">
        <v>665496.764388484</v>
      </c>
      <c r="BD13" t="n">
        <v>21208885.4428974</v>
      </c>
      <c r="BE13" t="n">
        <v>960053.063903516</v>
      </c>
      <c r="BF13" t="n">
        <v>10457471.5382108</v>
      </c>
      <c r="BG13" t="n">
        <v>0</v>
      </c>
      <c r="BH13" t="n">
        <v>472498.318086156</v>
      </c>
      <c r="BI13" t="n">
        <v>704508.308858862</v>
      </c>
      <c r="BJ13" t="n">
        <v>2642529.04072082</v>
      </c>
      <c r="BK13" t="n">
        <v>5235167.52351116</v>
      </c>
      <c r="BL13" t="n">
        <v>18615589.3608725</v>
      </c>
      <c r="BM13" t="n">
        <v>2400562.73283634</v>
      </c>
      <c r="BN13" t="n">
        <v>14900025.7776687</v>
      </c>
      <c r="BO13" t="n">
        <v>26805100.7791801</v>
      </c>
      <c r="BP13" t="n">
        <v>0</v>
      </c>
      <c r="BQ13" t="n">
        <v>31873914.9772572</v>
      </c>
      <c r="BR13" t="n">
        <v>0</v>
      </c>
      <c r="BS13" t="n">
        <v>59596417.2108856</v>
      </c>
      <c r="BT13" t="n">
        <v>60862836.9124167</v>
      </c>
      <c r="BU13" t="n">
        <v>3136243.02555007</v>
      </c>
      <c r="BV13" t="n">
        <v>0</v>
      </c>
      <c r="BW13" t="n">
        <v>998714.403712574</v>
      </c>
      <c r="BX13" t="n">
        <v>0</v>
      </c>
      <c r="BY13" t="n">
        <v>0</v>
      </c>
      <c r="BZ13" t="n">
        <v>18162816.8495221</v>
      </c>
      <c r="CA13" t="n">
        <v>127159721.319888</v>
      </c>
      <c r="CB13" t="n">
        <v>-246908095.859666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</row>
    <row r="14">
      <c r="A14" t="s">
        <v>109</v>
      </c>
      <c r="B14" t="n">
        <v>0</v>
      </c>
      <c r="C14" t="n">
        <v>0</v>
      </c>
      <c r="D14" t="n">
        <v>16826238.0979478</v>
      </c>
      <c r="E14" t="n">
        <v>25551690.1064003</v>
      </c>
      <c r="F14" t="n">
        <v>6819898.12041238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1028204.74195232</v>
      </c>
      <c r="BC14" t="n">
        <v>93090.9666189257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319531266.601174</v>
      </c>
      <c r="BW14" t="n">
        <v>6611696.58582794</v>
      </c>
      <c r="BX14" t="n">
        <v>0</v>
      </c>
      <c r="BY14" t="n">
        <v>0</v>
      </c>
      <c r="BZ14" t="n">
        <v>-16324.965297789</v>
      </c>
      <c r="CA14" t="n">
        <v>3532494.65137606</v>
      </c>
      <c r="CB14" t="n">
        <v>-2270417.95025945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</row>
    <row r="15">
      <c r="A15" t="s">
        <v>110</v>
      </c>
      <c r="B15" t="n">
        <v>85286260.322669</v>
      </c>
      <c r="C15" t="n">
        <v>131493.735756501</v>
      </c>
      <c r="D15" t="n">
        <v>1814892.492629</v>
      </c>
      <c r="E15" t="n">
        <v>30465726.5483707</v>
      </c>
      <c r="F15" t="n">
        <v>461838.97445923</v>
      </c>
      <c r="G15" t="n">
        <v>353133585.135855</v>
      </c>
      <c r="H15" t="n">
        <v>79150829.8095231</v>
      </c>
      <c r="I15" t="n">
        <v>7575449.44281887</v>
      </c>
      <c r="J15" t="n">
        <v>36825045.6350443</v>
      </c>
      <c r="K15" t="n">
        <v>47786447.0753659</v>
      </c>
      <c r="L15" t="n">
        <v>82958978.3400443</v>
      </c>
      <c r="M15" t="n">
        <v>57164766.4323481</v>
      </c>
      <c r="N15" t="n">
        <v>10039359.6783451</v>
      </c>
      <c r="O15" t="n">
        <v>12855213.9134159</v>
      </c>
      <c r="P15" t="n">
        <v>27076619.8424372</v>
      </c>
      <c r="Q15" t="n">
        <v>3765173.33884084</v>
      </c>
      <c r="R15" t="n">
        <v>6056318.81418376</v>
      </c>
      <c r="S15" t="n">
        <v>14720955.5876454</v>
      </c>
      <c r="T15" t="n">
        <v>110971843.851462</v>
      </c>
      <c r="U15" t="n">
        <v>3507600.80135265</v>
      </c>
      <c r="V15" t="n">
        <v>327223.017967135</v>
      </c>
      <c r="W15" t="n">
        <v>51051482.050815</v>
      </c>
      <c r="X15" t="n">
        <v>21657504.5054831</v>
      </c>
      <c r="Y15" t="n">
        <v>91407070.0526065</v>
      </c>
      <c r="Z15" t="n">
        <v>221155615.823923</v>
      </c>
      <c r="AA15" t="n">
        <v>97510006.6215441</v>
      </c>
      <c r="AB15" t="n">
        <v>214236435.193995</v>
      </c>
      <c r="AC15" t="n">
        <v>42298357.4650172</v>
      </c>
      <c r="AD15" t="n">
        <v>114161750.407221</v>
      </c>
      <c r="AE15" t="n">
        <v>102048928.020327</v>
      </c>
      <c r="AF15" t="n">
        <v>148283464.268808</v>
      </c>
      <c r="AG15" t="n">
        <v>25179297.3765659</v>
      </c>
      <c r="AH15" t="n">
        <v>1198498.65750394</v>
      </c>
      <c r="AI15" t="n">
        <v>1458314.45701903</v>
      </c>
      <c r="AJ15" t="n">
        <v>63402187.3370535</v>
      </c>
      <c r="AK15" t="n">
        <v>5104162.01898312</v>
      </c>
      <c r="AL15" t="n">
        <v>10813417.1606472</v>
      </c>
      <c r="AM15" t="n">
        <v>20965109.258423</v>
      </c>
      <c r="AN15" t="n">
        <v>32109546.1822298</v>
      </c>
      <c r="AO15" t="n">
        <v>5520566.83937597</v>
      </c>
      <c r="AP15" t="n">
        <v>1964654.37101336</v>
      </c>
      <c r="AQ15" t="n">
        <v>48239476.6728331</v>
      </c>
      <c r="AR15" t="n">
        <v>29891330.5381486</v>
      </c>
      <c r="AS15" t="n">
        <v>34188920.1102306</v>
      </c>
      <c r="AT15" t="n">
        <v>18264779.3092411</v>
      </c>
      <c r="AU15" t="n">
        <v>12508709.5464971</v>
      </c>
      <c r="AV15" t="n">
        <v>38478813.828535</v>
      </c>
      <c r="AW15" t="n">
        <v>2219040.31375199</v>
      </c>
      <c r="AX15" t="n">
        <v>228791135.704029</v>
      </c>
      <c r="AY15" t="n">
        <v>15469241.8119389</v>
      </c>
      <c r="AZ15" t="n">
        <v>11287112.7132515</v>
      </c>
      <c r="BA15" t="n">
        <v>8429953.91239901</v>
      </c>
      <c r="BB15" t="n">
        <v>69790261.5280743</v>
      </c>
      <c r="BC15" t="n">
        <v>55416388.952714</v>
      </c>
      <c r="BD15" t="n">
        <v>41624194.8230746</v>
      </c>
      <c r="BE15" t="n">
        <v>14492082.5222</v>
      </c>
      <c r="BF15" t="n">
        <v>72869267.7443274</v>
      </c>
      <c r="BG15" t="n">
        <v>38395416.5974144</v>
      </c>
      <c r="BH15" t="n">
        <v>106993872.401588</v>
      </c>
      <c r="BI15" t="n">
        <v>43727903.6168218</v>
      </c>
      <c r="BJ15" t="n">
        <v>12527906.5461662</v>
      </c>
      <c r="BK15" t="n">
        <v>11242875.9376396</v>
      </c>
      <c r="BL15" t="n">
        <v>49769431.8065093</v>
      </c>
      <c r="BM15" t="n">
        <v>53677334.2479753</v>
      </c>
      <c r="BN15" t="n">
        <v>214742385.944262</v>
      </c>
      <c r="BO15" t="n">
        <v>87343764.9715493</v>
      </c>
      <c r="BP15" t="n">
        <v>12725969.5135367</v>
      </c>
      <c r="BQ15" t="n">
        <v>10132883.870848</v>
      </c>
      <c r="BR15" t="n">
        <v>19233225.3985565</v>
      </c>
      <c r="BS15" t="n">
        <v>241570008.435334</v>
      </c>
      <c r="BT15" t="n">
        <v>23314652.7183849</v>
      </c>
      <c r="BU15" t="n">
        <v>2657942785.42029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173089276.171642</v>
      </c>
      <c r="CB15" t="n">
        <v>-80434205.4224607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</row>
    <row r="16">
      <c r="A16" t="s">
        <v>111</v>
      </c>
      <c r="B16" t="n">
        <v>54180689.8780235</v>
      </c>
      <c r="C16" t="n">
        <v>191992.305149392</v>
      </c>
      <c r="D16" t="n">
        <v>148008.611763456</v>
      </c>
      <c r="E16" t="n">
        <v>95899495.3043949</v>
      </c>
      <c r="F16" t="n">
        <v>6250200.30219412</v>
      </c>
      <c r="G16" t="n">
        <v>259943448.049753</v>
      </c>
      <c r="H16" t="n">
        <v>9371088.57778771</v>
      </c>
      <c r="I16" t="n">
        <v>5293341.29983018</v>
      </c>
      <c r="J16" t="n">
        <v>31695800.5466659</v>
      </c>
      <c r="K16" t="n">
        <v>38300136.4249725</v>
      </c>
      <c r="L16" t="n">
        <v>92121250.2912138</v>
      </c>
      <c r="M16" t="n">
        <v>79667088.2533266</v>
      </c>
      <c r="N16" t="n">
        <v>13371121.0188045</v>
      </c>
      <c r="O16" t="n">
        <v>10592189.373055</v>
      </c>
      <c r="P16" t="n">
        <v>27113360.3290004</v>
      </c>
      <c r="Q16" t="n">
        <v>2144347.35444005</v>
      </c>
      <c r="R16" t="n">
        <v>5081605.4530239</v>
      </c>
      <c r="S16" t="n">
        <v>19759994.3095353</v>
      </c>
      <c r="T16" t="n">
        <v>95559707.7598922</v>
      </c>
      <c r="U16" t="n">
        <v>1711014.53220659</v>
      </c>
      <c r="V16" t="n">
        <v>271836.989059289</v>
      </c>
      <c r="W16" t="n">
        <v>37314410.9975199</v>
      </c>
      <c r="X16" t="n">
        <v>21654663.7113554</v>
      </c>
      <c r="Y16" t="n">
        <v>484722862.827986</v>
      </c>
      <c r="Z16" t="n">
        <v>128834277.283959</v>
      </c>
      <c r="AA16" t="n">
        <v>61268133.6303833</v>
      </c>
      <c r="AB16" t="n">
        <v>206086504.312181</v>
      </c>
      <c r="AC16" t="n">
        <v>49527035.1013263</v>
      </c>
      <c r="AD16" t="n">
        <v>46138120.6423048</v>
      </c>
      <c r="AE16" t="n">
        <v>97248811.0654844</v>
      </c>
      <c r="AF16" t="n">
        <v>125640748.717036</v>
      </c>
      <c r="AG16" t="n">
        <v>22126007.4175914</v>
      </c>
      <c r="AH16" t="n">
        <v>158804551.16269</v>
      </c>
      <c r="AI16" t="n">
        <v>1504839.22933179</v>
      </c>
      <c r="AJ16" t="n">
        <v>28504335.6465654</v>
      </c>
      <c r="AK16" t="n">
        <v>23888471.7314488</v>
      </c>
      <c r="AL16" t="n">
        <v>26172831.4785782</v>
      </c>
      <c r="AM16" t="n">
        <v>66977232.6109448</v>
      </c>
      <c r="AN16" t="n">
        <v>43084019.3539594</v>
      </c>
      <c r="AO16" t="n">
        <v>3419257.73393247</v>
      </c>
      <c r="AP16" t="n">
        <v>1199641.9899486</v>
      </c>
      <c r="AQ16" t="n">
        <v>70752994.7026232</v>
      </c>
      <c r="AR16" t="n">
        <v>29308160.4053765</v>
      </c>
      <c r="AS16" t="n">
        <v>234201688.715817</v>
      </c>
      <c r="AT16" t="n">
        <v>94316238.3973049</v>
      </c>
      <c r="AU16" t="n">
        <v>60342775.622944</v>
      </c>
      <c r="AV16" t="n">
        <v>6907464.38746439</v>
      </c>
      <c r="AW16" t="n">
        <v>3635881430.82898</v>
      </c>
      <c r="AX16" t="n">
        <v>1037483048.02565</v>
      </c>
      <c r="AY16" t="n">
        <v>39032125.9101102</v>
      </c>
      <c r="AZ16" t="n">
        <v>12463920.9901393</v>
      </c>
      <c r="BA16" t="n">
        <v>2992935.08913595</v>
      </c>
      <c r="BB16" t="n">
        <v>106550283.998842</v>
      </c>
      <c r="BC16" t="n">
        <v>33047014.6604139</v>
      </c>
      <c r="BD16" t="n">
        <v>45800858.7321064</v>
      </c>
      <c r="BE16" t="n">
        <v>5468868.08269584</v>
      </c>
      <c r="BF16" t="n">
        <v>99385172.3589328</v>
      </c>
      <c r="BG16" t="n">
        <v>25783736.0185538</v>
      </c>
      <c r="BH16" t="n">
        <v>62405471.9108829</v>
      </c>
      <c r="BI16" t="n">
        <v>29319681.226672</v>
      </c>
      <c r="BJ16" t="n">
        <v>22037820.6175461</v>
      </c>
      <c r="BK16" t="n">
        <v>9582253.09410785</v>
      </c>
      <c r="BL16" t="n">
        <v>33522832.7139855</v>
      </c>
      <c r="BM16" t="n">
        <v>98244594.8650577</v>
      </c>
      <c r="BN16" t="n">
        <v>98033324.5610814</v>
      </c>
      <c r="BO16" t="n">
        <v>169978515.435354</v>
      </c>
      <c r="BP16" t="n">
        <v>119672325.703881</v>
      </c>
      <c r="BQ16" t="n">
        <v>14580789.718696</v>
      </c>
      <c r="BR16" t="n">
        <v>17593930.8962061</v>
      </c>
      <c r="BS16" t="n">
        <v>1397176875.92066</v>
      </c>
      <c r="BT16" t="n">
        <v>1385801736.52667</v>
      </c>
      <c r="BU16" t="n">
        <v>0</v>
      </c>
      <c r="BV16" t="n">
        <v>17607706808.8968</v>
      </c>
      <c r="BW16" t="n">
        <v>0</v>
      </c>
      <c r="BX16" t="n">
        <v>0</v>
      </c>
      <c r="BY16" t="n">
        <v>23524895679.1339</v>
      </c>
      <c r="BZ16" t="n">
        <v>0</v>
      </c>
      <c r="CA16" t="n">
        <v>3475530.68251316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223469056.778417</v>
      </c>
      <c r="CI16" t="n">
        <v>0</v>
      </c>
      <c r="CJ16" t="n">
        <v>0</v>
      </c>
      <c r="CK16" t="n">
        <v>0</v>
      </c>
      <c r="CL16" t="n">
        <v>11295871212.0071</v>
      </c>
      <c r="CM16" t="n">
        <v>0</v>
      </c>
      <c r="CN16" t="n">
        <v>0</v>
      </c>
    </row>
    <row r="17">
      <c r="A17" t="s">
        <v>112</v>
      </c>
      <c r="B17" t="n">
        <v>10919157.0090377</v>
      </c>
      <c r="C17" t="n">
        <v>301472.745709302</v>
      </c>
      <c r="D17" t="n">
        <v>0</v>
      </c>
      <c r="E17" t="n">
        <v>2348810.32681829</v>
      </c>
      <c r="F17" t="n">
        <v>389879.213933191</v>
      </c>
      <c r="G17" t="n">
        <v>117554.261099076</v>
      </c>
      <c r="H17" t="n">
        <v>826506145.86844</v>
      </c>
      <c r="I17" t="n">
        <v>244073602.357956</v>
      </c>
      <c r="J17" t="n">
        <v>3576300.76421217</v>
      </c>
      <c r="K17" t="n">
        <v>8519105.0704909</v>
      </c>
      <c r="L17" t="n">
        <v>7466088.57646797</v>
      </c>
      <c r="M17" t="n">
        <v>41461040.8494014</v>
      </c>
      <c r="N17" t="n">
        <v>3758348.06379315</v>
      </c>
      <c r="O17" t="n">
        <v>21343067.673854</v>
      </c>
      <c r="P17" t="n">
        <v>56776646.3990914</v>
      </c>
      <c r="Q17" t="n">
        <v>572307.167082854</v>
      </c>
      <c r="R17" t="n">
        <v>141308820.144942</v>
      </c>
      <c r="S17" t="n">
        <v>40628107.722738</v>
      </c>
      <c r="T17" t="n">
        <v>9912179.35735816</v>
      </c>
      <c r="U17" t="n">
        <v>586894.090491193</v>
      </c>
      <c r="V17" t="n">
        <v>0</v>
      </c>
      <c r="W17" t="n">
        <v>80796501.4146827</v>
      </c>
      <c r="X17" t="n">
        <v>67460.0115618549</v>
      </c>
      <c r="Y17" t="n">
        <v>0</v>
      </c>
      <c r="Z17" t="n">
        <v>8970406.88020446</v>
      </c>
      <c r="AA17" t="n">
        <v>84394696.0409712</v>
      </c>
      <c r="AB17" t="n">
        <v>183809857.684647</v>
      </c>
      <c r="AC17" t="n">
        <v>2765307.79628369</v>
      </c>
      <c r="AD17" t="n">
        <v>14586412.6360723</v>
      </c>
      <c r="AE17" t="n">
        <v>4014642.96318509</v>
      </c>
      <c r="AF17" t="n">
        <v>17554956.8401629</v>
      </c>
      <c r="AG17" t="n">
        <v>0</v>
      </c>
      <c r="AH17" t="n">
        <v>84675155.8342929</v>
      </c>
      <c r="AI17" t="n">
        <v>0</v>
      </c>
      <c r="AJ17" t="n">
        <v>4979988.9640214</v>
      </c>
      <c r="AK17" t="n">
        <v>0</v>
      </c>
      <c r="AL17" t="n">
        <v>163717.764323968</v>
      </c>
      <c r="AM17" t="n">
        <v>1606190.60352232</v>
      </c>
      <c r="AN17" t="n">
        <v>3641032.04700811</v>
      </c>
      <c r="AO17" t="n">
        <v>580460.138568226</v>
      </c>
      <c r="AP17" t="n">
        <v>750002.716927404</v>
      </c>
      <c r="AQ17" t="n">
        <v>12835549.5497662</v>
      </c>
      <c r="AR17" t="n">
        <v>19726046.2783515</v>
      </c>
      <c r="AS17" t="n">
        <v>6223644.35891062</v>
      </c>
      <c r="AT17" t="n">
        <v>218010.820977569</v>
      </c>
      <c r="AU17" t="n">
        <v>0</v>
      </c>
      <c r="AV17" t="n">
        <v>0</v>
      </c>
      <c r="AW17" t="n">
        <v>564489.82084451</v>
      </c>
      <c r="AX17" t="n">
        <v>101159918.976266</v>
      </c>
      <c r="AY17" t="n">
        <v>10458290.1983325</v>
      </c>
      <c r="AZ17" t="n">
        <v>556766.574891442</v>
      </c>
      <c r="BA17" t="n">
        <v>870606.679710038</v>
      </c>
      <c r="BB17" t="n">
        <v>21089144.8054477</v>
      </c>
      <c r="BC17" t="n">
        <v>101390.247907031</v>
      </c>
      <c r="BD17" t="n">
        <v>27369225.3991529</v>
      </c>
      <c r="BE17" t="n">
        <v>710033.151254987</v>
      </c>
      <c r="BF17" t="n">
        <v>1094466.80735094</v>
      </c>
      <c r="BG17" t="n">
        <v>7879915.19550689</v>
      </c>
      <c r="BH17" t="n">
        <v>14618519.5806213</v>
      </c>
      <c r="BI17" t="n">
        <v>135380.111532266</v>
      </c>
      <c r="BJ17" t="n">
        <v>12952424.2368091</v>
      </c>
      <c r="BK17" t="n">
        <v>159337.358893973</v>
      </c>
      <c r="BL17" t="n">
        <v>5213415.73299015</v>
      </c>
      <c r="BM17" t="n">
        <v>19348532.4577587</v>
      </c>
      <c r="BN17" t="n">
        <v>20684583.579528</v>
      </c>
      <c r="BO17" t="n">
        <v>9928724.59808362</v>
      </c>
      <c r="BP17" t="n">
        <v>195899.620070472</v>
      </c>
      <c r="BQ17" t="n">
        <v>647518.166671393</v>
      </c>
      <c r="BR17" t="n">
        <v>50720.6344659985</v>
      </c>
      <c r="BS17" t="n">
        <v>59524294.576478</v>
      </c>
      <c r="BT17" t="n">
        <v>4390089.68457643</v>
      </c>
      <c r="BU17" t="n">
        <v>108717616.274428</v>
      </c>
      <c r="BV17" t="n">
        <v>2505210.67950085</v>
      </c>
      <c r="BW17" t="n">
        <v>0</v>
      </c>
      <c r="BX17" t="n">
        <v>0</v>
      </c>
      <c r="BY17" t="n">
        <v>144536100.961547</v>
      </c>
      <c r="BZ17" t="n">
        <v>7974332.58545341</v>
      </c>
      <c r="CA17" t="n">
        <v>48928473.1163526</v>
      </c>
      <c r="CB17" t="n">
        <v>-650908523.748659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1243388.90607455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</row>
    <row r="18">
      <c r="A18" t="s">
        <v>113</v>
      </c>
      <c r="B18" t="n">
        <v>450633.21773703</v>
      </c>
      <c r="C18" t="n">
        <v>377727.147936048</v>
      </c>
      <c r="D18" t="n">
        <v>785325.262226371</v>
      </c>
      <c r="E18" t="n">
        <v>8681334.54006957</v>
      </c>
      <c r="F18" t="n">
        <v>1740639.69144326</v>
      </c>
      <c r="G18" t="n">
        <v>1759731.44690508</v>
      </c>
      <c r="H18" t="n">
        <v>1643993029.84611</v>
      </c>
      <c r="I18" t="n">
        <v>11342182.284853</v>
      </c>
      <c r="J18" t="n">
        <v>368569202.290967</v>
      </c>
      <c r="K18" t="n">
        <v>53317029.7905905</v>
      </c>
      <c r="L18" t="n">
        <v>75286928.0517402</v>
      </c>
      <c r="M18" t="n">
        <v>107919735.381885</v>
      </c>
      <c r="N18" t="n">
        <v>5577102.74771249</v>
      </c>
      <c r="O18" t="n">
        <v>79434288.6050609</v>
      </c>
      <c r="P18" t="n">
        <v>162407293.150782</v>
      </c>
      <c r="Q18" t="n">
        <v>1054241.64929317</v>
      </c>
      <c r="R18" t="n">
        <v>9483127.62486518</v>
      </c>
      <c r="S18" t="n">
        <v>34021260.7834725</v>
      </c>
      <c r="T18" t="n">
        <v>130761692.713937</v>
      </c>
      <c r="U18" t="n">
        <v>317712.888217038</v>
      </c>
      <c r="V18" t="n">
        <v>0</v>
      </c>
      <c r="W18" t="n">
        <v>10832743.968525</v>
      </c>
      <c r="X18" t="n">
        <v>45181.735882884</v>
      </c>
      <c r="Y18" t="n">
        <v>64558697.1316834</v>
      </c>
      <c r="Z18" t="n">
        <v>64453168.5473511</v>
      </c>
      <c r="AA18" t="n">
        <v>102179088.563185</v>
      </c>
      <c r="AB18" t="n">
        <v>3487634.75894135</v>
      </c>
      <c r="AC18" t="n">
        <v>5470170.43545174</v>
      </c>
      <c r="AD18" t="n">
        <v>1627309.45637619</v>
      </c>
      <c r="AE18" t="n">
        <v>9729673.12269037</v>
      </c>
      <c r="AF18" t="n">
        <v>13771410.9956532</v>
      </c>
      <c r="AG18" t="n">
        <v>0</v>
      </c>
      <c r="AH18" t="n">
        <v>696270.540249819</v>
      </c>
      <c r="AI18" t="n">
        <v>0</v>
      </c>
      <c r="AJ18" t="n">
        <v>4736208.2813027</v>
      </c>
      <c r="AK18" t="n">
        <v>0</v>
      </c>
      <c r="AL18" t="n">
        <v>0</v>
      </c>
      <c r="AM18" t="n">
        <v>514671.645406385</v>
      </c>
      <c r="AN18" t="n">
        <v>2955141.9263598</v>
      </c>
      <c r="AO18" t="n">
        <v>32483.231118333</v>
      </c>
      <c r="AP18" t="n">
        <v>11006.400191347</v>
      </c>
      <c r="AQ18" t="n">
        <v>56869170.831257</v>
      </c>
      <c r="AR18" t="n">
        <v>16417041.6874616</v>
      </c>
      <c r="AS18" t="n">
        <v>887907.510886107</v>
      </c>
      <c r="AT18" t="n">
        <v>1190698.39372683</v>
      </c>
      <c r="AU18" t="n">
        <v>2205541.11758536</v>
      </c>
      <c r="AV18" t="n">
        <v>0</v>
      </c>
      <c r="AW18" t="n">
        <v>3243438.71184478</v>
      </c>
      <c r="AX18" t="n">
        <v>1159791.89250234</v>
      </c>
      <c r="AY18" t="n">
        <v>19213811.1859764</v>
      </c>
      <c r="AZ18" t="n">
        <v>0</v>
      </c>
      <c r="BA18" t="n">
        <v>4664020.25188155</v>
      </c>
      <c r="BB18" t="n">
        <v>151288681.503208</v>
      </c>
      <c r="BC18" t="n">
        <v>1267490.28494731</v>
      </c>
      <c r="BD18" t="n">
        <v>30902173.7480582</v>
      </c>
      <c r="BE18" t="n">
        <v>8277725.01421545</v>
      </c>
      <c r="BF18" t="n">
        <v>2801521.84958463</v>
      </c>
      <c r="BG18" t="n">
        <v>54454466.7184046</v>
      </c>
      <c r="BH18" t="n">
        <v>100507439.970571</v>
      </c>
      <c r="BI18" t="n">
        <v>4431593.5430608</v>
      </c>
      <c r="BJ18" t="n">
        <v>11233609.8742887</v>
      </c>
      <c r="BK18" t="n">
        <v>334707.649456592</v>
      </c>
      <c r="BL18" t="n">
        <v>5357436.21385761</v>
      </c>
      <c r="BM18" t="n">
        <v>2403425.49216569</v>
      </c>
      <c r="BN18" t="n">
        <v>69632213.1258779</v>
      </c>
      <c r="BO18" t="n">
        <v>48841942.5229301</v>
      </c>
      <c r="BP18" t="n">
        <v>648032.45934907</v>
      </c>
      <c r="BQ18" t="n">
        <v>10728712.4270201</v>
      </c>
      <c r="BR18" t="n">
        <v>0</v>
      </c>
      <c r="BS18" t="n">
        <v>51741820.7485313</v>
      </c>
      <c r="BT18" t="n">
        <v>53011294.4832764</v>
      </c>
      <c r="BU18" t="n">
        <v>354321813.982518</v>
      </c>
      <c r="BV18" t="n">
        <v>0</v>
      </c>
      <c r="BW18" t="n">
        <v>0</v>
      </c>
      <c r="BX18" t="n">
        <v>0</v>
      </c>
      <c r="BY18" t="n">
        <v>0</v>
      </c>
      <c r="BZ18" t="n">
        <v>40579356.6323371</v>
      </c>
      <c r="CA18" t="n">
        <v>412246226.885608</v>
      </c>
      <c r="CB18" t="n">
        <v>-1093950544.08834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</row>
    <row r="19">
      <c r="A19" t="s">
        <v>114</v>
      </c>
      <c r="B19" t="n">
        <v>2351741.22382958</v>
      </c>
      <c r="C19" t="n">
        <v>0</v>
      </c>
      <c r="D19" t="n">
        <v>2207252.93063442</v>
      </c>
      <c r="E19" t="n">
        <v>6572522.11742475</v>
      </c>
      <c r="F19" t="n">
        <v>780813.221747331</v>
      </c>
      <c r="G19" t="n">
        <v>63709.6058880946</v>
      </c>
      <c r="H19" t="n">
        <v>91033095.2644274</v>
      </c>
      <c r="I19" t="n">
        <v>2476930.09072511</v>
      </c>
      <c r="J19" t="n">
        <v>26797776.5124216</v>
      </c>
      <c r="K19" t="n">
        <v>1482987621.56145</v>
      </c>
      <c r="L19" t="n">
        <v>2334963419.94831</v>
      </c>
      <c r="M19" t="n">
        <v>1546376463.28329</v>
      </c>
      <c r="N19" t="n">
        <v>71738343.5473478</v>
      </c>
      <c r="O19" t="n">
        <v>466971049.885239</v>
      </c>
      <c r="P19" t="n">
        <v>682725581.483694</v>
      </c>
      <c r="Q19" t="n">
        <v>17946888.6595441</v>
      </c>
      <c r="R19" t="n">
        <v>62341352.3390142</v>
      </c>
      <c r="S19" t="n">
        <v>182292906.579937</v>
      </c>
      <c r="T19" t="n">
        <v>53878922.7770975</v>
      </c>
      <c r="U19" t="n">
        <v>505902.020132263</v>
      </c>
      <c r="V19" t="n">
        <v>0</v>
      </c>
      <c r="W19" t="n">
        <v>17764691.7801092</v>
      </c>
      <c r="X19" t="n">
        <v>461202.148087372</v>
      </c>
      <c r="Y19" t="n">
        <v>482687.193694309</v>
      </c>
      <c r="Z19" t="n">
        <v>2076504.73053935</v>
      </c>
      <c r="AA19" t="n">
        <v>60792966.9595153</v>
      </c>
      <c r="AB19" t="n">
        <v>15089109.6339066</v>
      </c>
      <c r="AC19" t="n">
        <v>123306.709132285</v>
      </c>
      <c r="AD19" t="n">
        <v>0</v>
      </c>
      <c r="AE19" t="n">
        <v>0</v>
      </c>
      <c r="AF19" t="n">
        <v>12146594.1160089</v>
      </c>
      <c r="AG19" t="n">
        <v>0</v>
      </c>
      <c r="AH19" t="n">
        <v>18416441.959161</v>
      </c>
      <c r="AI19" t="n">
        <v>0</v>
      </c>
      <c r="AJ19" t="n">
        <v>0</v>
      </c>
      <c r="AK19" t="n">
        <v>0</v>
      </c>
      <c r="AL19" t="n">
        <v>0</v>
      </c>
      <c r="AM19" t="n">
        <v>3663279.05796713</v>
      </c>
      <c r="AN19" t="n">
        <v>0</v>
      </c>
      <c r="AO19" t="n">
        <v>172842.410377379</v>
      </c>
      <c r="AP19" t="n">
        <v>89041.9855543581</v>
      </c>
      <c r="AQ19" t="n">
        <v>6213428.45396653</v>
      </c>
      <c r="AR19" t="n">
        <v>10991915.2259255</v>
      </c>
      <c r="AS19" t="n">
        <v>0</v>
      </c>
      <c r="AT19" t="n">
        <v>0</v>
      </c>
      <c r="AU19" t="n">
        <v>0</v>
      </c>
      <c r="AV19" t="n">
        <v>0</v>
      </c>
      <c r="AW19" t="n">
        <v>18366.6206011792</v>
      </c>
      <c r="AX19" t="n">
        <v>33337587.1841664</v>
      </c>
      <c r="AY19" t="n">
        <v>2133574.29572849</v>
      </c>
      <c r="AZ19" t="n">
        <v>0</v>
      </c>
      <c r="BA19" t="n">
        <v>0</v>
      </c>
      <c r="BB19" t="n">
        <v>42136505.3362361</v>
      </c>
      <c r="BC19" t="n">
        <v>1093270.88797046</v>
      </c>
      <c r="BD19" t="n">
        <v>15836533.390071</v>
      </c>
      <c r="BE19" t="n">
        <v>6203762.66330088</v>
      </c>
      <c r="BF19" t="n">
        <v>5059178.29396148</v>
      </c>
      <c r="BG19" t="n">
        <v>3482042.60266926</v>
      </c>
      <c r="BH19" t="n">
        <v>654540.466111336</v>
      </c>
      <c r="BI19" t="n">
        <v>358455.374303997</v>
      </c>
      <c r="BJ19" t="n">
        <v>5741480.23236283</v>
      </c>
      <c r="BK19" t="n">
        <v>523737.331960423</v>
      </c>
      <c r="BL19" t="n">
        <v>9519407.42308256</v>
      </c>
      <c r="BM19" t="n">
        <v>647433.592258759</v>
      </c>
      <c r="BN19" t="n">
        <v>2377589.89330694</v>
      </c>
      <c r="BO19" t="n">
        <v>21581110.0009382</v>
      </c>
      <c r="BP19" t="n">
        <v>2845684.17857758</v>
      </c>
      <c r="BQ19" t="n">
        <v>7636540.45447105</v>
      </c>
      <c r="BR19" t="n">
        <v>0</v>
      </c>
      <c r="BS19" t="n">
        <v>1852344.96748062</v>
      </c>
      <c r="BT19" t="n">
        <v>9754502.05535908</v>
      </c>
      <c r="BU19" t="n">
        <v>13450271.545341</v>
      </c>
      <c r="BV19" t="n">
        <v>0</v>
      </c>
      <c r="BW19" t="n">
        <v>0</v>
      </c>
      <c r="BX19" t="n">
        <v>0</v>
      </c>
      <c r="BY19" t="n">
        <v>0</v>
      </c>
      <c r="BZ19" t="n">
        <v>64562956.0724349</v>
      </c>
      <c r="CA19" t="n">
        <v>737380025.854999</v>
      </c>
      <c r="CB19" t="n">
        <v>-3606583397.13889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</row>
    <row r="20">
      <c r="A20" t="s">
        <v>115</v>
      </c>
      <c r="B20" t="n">
        <v>43525005.7838147</v>
      </c>
      <c r="C20" t="n">
        <v>713263.61502978</v>
      </c>
      <c r="D20" t="n">
        <v>5246660.06266557</v>
      </c>
      <c r="E20" t="n">
        <v>17444486.4293287</v>
      </c>
      <c r="F20" t="n">
        <v>1609853.2741944</v>
      </c>
      <c r="G20" t="n">
        <v>23710811.160455</v>
      </c>
      <c r="H20" t="n">
        <v>1733346130.51337</v>
      </c>
      <c r="I20" t="n">
        <v>30525057.202991</v>
      </c>
      <c r="J20" t="n">
        <v>38948530.4020719</v>
      </c>
      <c r="K20" t="n">
        <v>89096129.9557799</v>
      </c>
      <c r="L20" t="n">
        <v>1503773701.98374</v>
      </c>
      <c r="M20" t="n">
        <v>1289423490.15877</v>
      </c>
      <c r="N20" t="n">
        <v>102957444.823555</v>
      </c>
      <c r="O20" t="n">
        <v>327513698.943489</v>
      </c>
      <c r="P20" t="n">
        <v>501187255.788862</v>
      </c>
      <c r="Q20" t="n">
        <v>34592127.1763496</v>
      </c>
      <c r="R20" t="n">
        <v>94867333.7120507</v>
      </c>
      <c r="S20" t="n">
        <v>154701706.408094</v>
      </c>
      <c r="T20" t="n">
        <v>453098628.389445</v>
      </c>
      <c r="U20" t="n">
        <v>4118925.85956019</v>
      </c>
      <c r="V20" t="n">
        <v>989424.929485954</v>
      </c>
      <c r="W20" t="n">
        <v>117431157.269132</v>
      </c>
      <c r="X20" t="n">
        <v>28777604.9160294</v>
      </c>
      <c r="Y20" t="n">
        <v>58942492.5483039</v>
      </c>
      <c r="Z20" t="n">
        <v>343359944.613113</v>
      </c>
      <c r="AA20" t="n">
        <v>339640486.751094</v>
      </c>
      <c r="AB20" t="n">
        <v>79310215.7536069</v>
      </c>
      <c r="AC20" t="n">
        <v>7417663.91786005</v>
      </c>
      <c r="AD20" t="n">
        <v>5755275.15304989</v>
      </c>
      <c r="AE20" t="n">
        <v>4261526.58204588</v>
      </c>
      <c r="AF20" t="n">
        <v>39627548.6742712</v>
      </c>
      <c r="AG20" t="n">
        <v>13516062.4556715</v>
      </c>
      <c r="AH20" t="n">
        <v>16643488.7332919</v>
      </c>
      <c r="AI20" t="n">
        <v>22409161.3940497</v>
      </c>
      <c r="AJ20" t="n">
        <v>56272910.3724994</v>
      </c>
      <c r="AK20" t="n">
        <v>10264565.0531846</v>
      </c>
      <c r="AL20" t="n">
        <v>25834979.9717439</v>
      </c>
      <c r="AM20" t="n">
        <v>12936077.2081946</v>
      </c>
      <c r="AN20" t="n">
        <v>25391821.4456729</v>
      </c>
      <c r="AO20" t="n">
        <v>9356818.89200325</v>
      </c>
      <c r="AP20" t="n">
        <v>416271.869507312</v>
      </c>
      <c r="AQ20" t="n">
        <v>204915052.170941</v>
      </c>
      <c r="AR20" t="n">
        <v>35609612.432005</v>
      </c>
      <c r="AS20" t="n">
        <v>10271492.090017</v>
      </c>
      <c r="AT20" t="n">
        <v>6631843.28241041</v>
      </c>
      <c r="AU20" t="n">
        <v>0</v>
      </c>
      <c r="AV20" t="n">
        <v>2079842.8345659</v>
      </c>
      <c r="AW20" t="n">
        <v>550809.573750125</v>
      </c>
      <c r="AX20" t="n">
        <v>28238777.9579813</v>
      </c>
      <c r="AY20" t="n">
        <v>41786015.5180238</v>
      </c>
      <c r="AZ20" t="n">
        <v>1349315.59233615</v>
      </c>
      <c r="BA20" t="n">
        <v>57947895.5411388</v>
      </c>
      <c r="BB20" t="n">
        <v>154886461.634948</v>
      </c>
      <c r="BC20" t="n">
        <v>13952823.9971542</v>
      </c>
      <c r="BD20" t="n">
        <v>73613806.721284</v>
      </c>
      <c r="BE20" t="n">
        <v>79815912.092178</v>
      </c>
      <c r="BF20" t="n">
        <v>13619450.6099372</v>
      </c>
      <c r="BG20" t="n">
        <v>7269901.25071703</v>
      </c>
      <c r="BH20" t="n">
        <v>48236373.0313192</v>
      </c>
      <c r="BI20" t="n">
        <v>707753.325651328</v>
      </c>
      <c r="BJ20" t="n">
        <v>54593839.1156992</v>
      </c>
      <c r="BK20" t="n">
        <v>991922.342034574</v>
      </c>
      <c r="BL20" t="n">
        <v>18207831.8952754</v>
      </c>
      <c r="BM20" t="n">
        <v>31253037.5274668</v>
      </c>
      <c r="BN20" t="n">
        <v>81792820.3830349</v>
      </c>
      <c r="BO20" t="n">
        <v>121441463.053693</v>
      </c>
      <c r="BP20" t="n">
        <v>59103237.721698</v>
      </c>
      <c r="BQ20" t="n">
        <v>22621215.9655507</v>
      </c>
      <c r="BR20" t="n">
        <v>3815471.42618447</v>
      </c>
      <c r="BS20" t="n">
        <v>91810701.0422715</v>
      </c>
      <c r="BT20" t="n">
        <v>79403442.9601948</v>
      </c>
      <c r="BU20" t="n">
        <v>475502392.894291</v>
      </c>
      <c r="BV20" t="n">
        <v>0</v>
      </c>
      <c r="BW20" t="n">
        <v>629497149.953659</v>
      </c>
      <c r="BX20" t="n">
        <v>0</v>
      </c>
      <c r="BY20" t="n">
        <v>0</v>
      </c>
      <c r="BZ20" t="n">
        <v>253646312.720592</v>
      </c>
      <c r="CA20" t="n">
        <v>2395251270.61051</v>
      </c>
      <c r="CB20" t="n">
        <v>-2957534047.67844</v>
      </c>
      <c r="CC20" t="n">
        <v>0</v>
      </c>
      <c r="CD20" t="n">
        <v>0</v>
      </c>
      <c r="CE20" t="n">
        <v>2275284.27369553</v>
      </c>
      <c r="CF20" t="n">
        <v>0</v>
      </c>
      <c r="CG20" t="n">
        <v>0</v>
      </c>
      <c r="CH20" t="n">
        <v>0</v>
      </c>
      <c r="CI20" t="n">
        <v>12634948.8344169</v>
      </c>
      <c r="CJ20" t="n">
        <v>0</v>
      </c>
      <c r="CK20" t="n">
        <v>0</v>
      </c>
      <c r="CL20" t="n">
        <v>0</v>
      </c>
      <c r="CM20" t="n">
        <v>5740318.91879658</v>
      </c>
      <c r="CN20" t="n">
        <v>0</v>
      </c>
    </row>
    <row r="21">
      <c r="A21" t="s">
        <v>116</v>
      </c>
      <c r="B21" t="n">
        <v>63101639.8271595</v>
      </c>
      <c r="C21" t="n">
        <v>225109.076098067</v>
      </c>
      <c r="D21" t="n">
        <v>5414770.57416989</v>
      </c>
      <c r="E21" t="n">
        <v>70785132.672587</v>
      </c>
      <c r="F21" t="n">
        <v>8961968.98932068</v>
      </c>
      <c r="G21" t="n">
        <v>48431000.8239109</v>
      </c>
      <c r="H21" t="n">
        <v>726456272.536465</v>
      </c>
      <c r="I21" t="n">
        <v>5019676.09947827</v>
      </c>
      <c r="J21" t="n">
        <v>2702124.78444917</v>
      </c>
      <c r="K21" t="n">
        <v>18644214.3966426</v>
      </c>
      <c r="L21" t="n">
        <v>216512502.558343</v>
      </c>
      <c r="M21" t="n">
        <v>2040094135.05411</v>
      </c>
      <c r="N21" t="n">
        <v>7545238.99461796</v>
      </c>
      <c r="O21" t="n">
        <v>87814864.0999874</v>
      </c>
      <c r="P21" t="n">
        <v>727513476.908428</v>
      </c>
      <c r="Q21" t="n">
        <v>10751826.7822554</v>
      </c>
      <c r="R21" t="n">
        <v>2642390.09472278</v>
      </c>
      <c r="S21" t="n">
        <v>31710367.3361734</v>
      </c>
      <c r="T21" t="n">
        <v>136295918.647226</v>
      </c>
      <c r="U21" t="n">
        <v>270832.878731986</v>
      </c>
      <c r="V21" t="n">
        <v>21292.9999584422</v>
      </c>
      <c r="W21" t="n">
        <v>30901792.9341351</v>
      </c>
      <c r="X21" t="n">
        <v>60165991.6140931</v>
      </c>
      <c r="Y21" t="n">
        <v>2829718.90803839</v>
      </c>
      <c r="Z21" t="n">
        <v>164949124.273714</v>
      </c>
      <c r="AA21" t="n">
        <v>90890333.2133414</v>
      </c>
      <c r="AB21" t="n">
        <v>89609279.4358833</v>
      </c>
      <c r="AC21" t="n">
        <v>4870713.29994976</v>
      </c>
      <c r="AD21" t="n">
        <v>3614215.6230181</v>
      </c>
      <c r="AE21" t="n">
        <v>3685950.85415718</v>
      </c>
      <c r="AF21" t="n">
        <v>16365288.8276647</v>
      </c>
      <c r="AG21" t="n">
        <v>292053.857226586</v>
      </c>
      <c r="AH21" t="n">
        <v>2117332.17908437</v>
      </c>
      <c r="AI21" t="n">
        <v>1265229.89497421</v>
      </c>
      <c r="AJ21" t="n">
        <v>15507055.2994525</v>
      </c>
      <c r="AK21" t="n">
        <v>1419460.70117661</v>
      </c>
      <c r="AL21" t="n">
        <v>1553486.50802128</v>
      </c>
      <c r="AM21" t="n">
        <v>234749847.863444</v>
      </c>
      <c r="AN21" t="n">
        <v>49310784.0992238</v>
      </c>
      <c r="AO21" t="n">
        <v>999324.103405242</v>
      </c>
      <c r="AP21" t="n">
        <v>326355.984261942</v>
      </c>
      <c r="AQ21" t="n">
        <v>22464504.6424413</v>
      </c>
      <c r="AR21" t="n">
        <v>12829980.4349654</v>
      </c>
      <c r="AS21" t="n">
        <v>165408.753332798</v>
      </c>
      <c r="AT21" t="n">
        <v>1414426.65620188</v>
      </c>
      <c r="AU21" t="n">
        <v>36566040.1778405</v>
      </c>
      <c r="AV21" t="n">
        <v>0</v>
      </c>
      <c r="AW21" t="n">
        <v>1049895.48244323</v>
      </c>
      <c r="AX21" t="n">
        <v>1531740.38872197</v>
      </c>
      <c r="AY21" t="n">
        <v>18655955.9869972</v>
      </c>
      <c r="AZ21" t="n">
        <v>728634.672138451</v>
      </c>
      <c r="BA21" t="n">
        <v>62746093.3167966</v>
      </c>
      <c r="BB21" t="n">
        <v>84441931.7260326</v>
      </c>
      <c r="BC21" t="n">
        <v>8605722.91689589</v>
      </c>
      <c r="BD21" t="n">
        <v>138529002.999044</v>
      </c>
      <c r="BE21" t="n">
        <v>138896340.339342</v>
      </c>
      <c r="BF21" t="n">
        <v>64378893.3881071</v>
      </c>
      <c r="BG21" t="n">
        <v>21816869.5245782</v>
      </c>
      <c r="BH21" t="n">
        <v>26546894.7445598</v>
      </c>
      <c r="BI21" t="n">
        <v>4080987.6132882</v>
      </c>
      <c r="BJ21" t="n">
        <v>4044846.6754544</v>
      </c>
      <c r="BK21" t="n">
        <v>615329.317066453</v>
      </c>
      <c r="BL21" t="n">
        <v>6432634.81993557</v>
      </c>
      <c r="BM21" t="n">
        <v>1436739.70144728</v>
      </c>
      <c r="BN21" t="n">
        <v>16317078.3875308</v>
      </c>
      <c r="BO21" t="n">
        <v>178271528.041445</v>
      </c>
      <c r="BP21" t="n">
        <v>13324317.5626715</v>
      </c>
      <c r="BQ21" t="n">
        <v>4206210.8360967</v>
      </c>
      <c r="BR21" t="n">
        <v>1142095.62503498</v>
      </c>
      <c r="BS21" t="n">
        <v>120479440.160025</v>
      </c>
      <c r="BT21" t="n">
        <v>44926155.1957975</v>
      </c>
      <c r="BU21" t="n">
        <v>286684615.009429</v>
      </c>
      <c r="BV21" t="n">
        <v>0</v>
      </c>
      <c r="BW21" t="n">
        <v>13638826166.5594</v>
      </c>
      <c r="BX21" t="n">
        <v>0</v>
      </c>
      <c r="BY21" t="n">
        <v>0</v>
      </c>
      <c r="BZ21" t="n">
        <v>293617013.999536</v>
      </c>
      <c r="CA21" t="n">
        <v>8136787068.24644</v>
      </c>
      <c r="CB21" t="n">
        <v>-11787458271.1521</v>
      </c>
      <c r="CC21" t="n">
        <v>0</v>
      </c>
      <c r="CD21" t="n">
        <v>0</v>
      </c>
      <c r="CE21" t="n">
        <v>1815747.89234728</v>
      </c>
      <c r="CF21" t="n">
        <v>0</v>
      </c>
      <c r="CG21" t="n">
        <v>0</v>
      </c>
      <c r="CH21" t="n">
        <v>0</v>
      </c>
      <c r="CI21" t="n">
        <v>10555333.4963734</v>
      </c>
      <c r="CJ21" t="n">
        <v>0</v>
      </c>
      <c r="CK21" t="n">
        <v>0</v>
      </c>
      <c r="CL21" t="n">
        <v>0</v>
      </c>
      <c r="CM21" t="n">
        <v>258433614.647681</v>
      </c>
      <c r="CN21" t="n">
        <v>0</v>
      </c>
    </row>
    <row r="22">
      <c r="A22" t="s">
        <v>117</v>
      </c>
      <c r="B22" t="n">
        <v>337970.976574041</v>
      </c>
      <c r="C22" t="n">
        <v>0</v>
      </c>
      <c r="D22" t="n">
        <v>43055.2719303067</v>
      </c>
      <c r="E22" t="n">
        <v>573057.458137431</v>
      </c>
      <c r="F22" t="n">
        <v>296022.150056315</v>
      </c>
      <c r="G22" t="n">
        <v>1882314.84065539</v>
      </c>
      <c r="H22" t="n">
        <v>131774684.81804</v>
      </c>
      <c r="I22" t="n">
        <v>8331246.50804119</v>
      </c>
      <c r="J22" t="n">
        <v>8235159.18451442</v>
      </c>
      <c r="K22" t="n">
        <v>17106628.0864533</v>
      </c>
      <c r="L22" t="n">
        <v>170286979.518698</v>
      </c>
      <c r="M22" t="n">
        <v>253622786.352301</v>
      </c>
      <c r="N22" t="n">
        <v>470634264.956229</v>
      </c>
      <c r="O22" t="n">
        <v>69270445.3413138</v>
      </c>
      <c r="P22" t="n">
        <v>345604596.021163</v>
      </c>
      <c r="Q22" t="n">
        <v>32936135.0020902</v>
      </c>
      <c r="R22" t="n">
        <v>13457350.5997353</v>
      </c>
      <c r="S22" t="n">
        <v>46089001.8590187</v>
      </c>
      <c r="T22" t="n">
        <v>74182990.1757676</v>
      </c>
      <c r="U22" t="n">
        <v>1934176.38476347</v>
      </c>
      <c r="V22" t="n">
        <v>205899.193183512</v>
      </c>
      <c r="W22" t="n">
        <v>346768.487837072</v>
      </c>
      <c r="X22" t="n">
        <v>22657820.8855504</v>
      </c>
      <c r="Y22" t="n">
        <v>12748888.8320401</v>
      </c>
      <c r="Z22" t="n">
        <v>134431806.268836</v>
      </c>
      <c r="AA22" t="n">
        <v>65674036.7416592</v>
      </c>
      <c r="AB22" t="n">
        <v>1269431623.38179</v>
      </c>
      <c r="AC22" t="n">
        <v>17887842.5002566</v>
      </c>
      <c r="AD22" t="n">
        <v>12037167.1867927</v>
      </c>
      <c r="AE22" t="n">
        <v>17769567.3749066</v>
      </c>
      <c r="AF22" t="n">
        <v>35072076.181346</v>
      </c>
      <c r="AG22" t="n">
        <v>259928.755934308</v>
      </c>
      <c r="AH22" t="n">
        <v>1690655.58269622</v>
      </c>
      <c r="AI22" t="n">
        <v>6411.15334838597</v>
      </c>
      <c r="AJ22" t="n">
        <v>8964975.56814125</v>
      </c>
      <c r="AK22" t="n">
        <v>83819.199057715</v>
      </c>
      <c r="AL22" t="n">
        <v>227787.915392326</v>
      </c>
      <c r="AM22" t="n">
        <v>2446136.52211536</v>
      </c>
      <c r="AN22" t="n">
        <v>4951058.01171989</v>
      </c>
      <c r="AO22" t="n">
        <v>36944615.106029</v>
      </c>
      <c r="AP22" t="n">
        <v>5610894.90971715</v>
      </c>
      <c r="AQ22" t="n">
        <v>325252017.547014</v>
      </c>
      <c r="AR22" t="n">
        <v>163382280.618216</v>
      </c>
      <c r="AS22" t="n">
        <v>17003861.0411465</v>
      </c>
      <c r="AT22" t="n">
        <v>36930341.9544994</v>
      </c>
      <c r="AU22" t="n">
        <v>2705301.06141664</v>
      </c>
      <c r="AV22" t="n">
        <v>72303744.710137</v>
      </c>
      <c r="AW22" t="n">
        <v>14123.2860521427</v>
      </c>
      <c r="AX22" t="n">
        <v>10271891.3280625</v>
      </c>
      <c r="AY22" t="n">
        <v>3938800.97387045</v>
      </c>
      <c r="AZ22" t="n">
        <v>52562854.4913617</v>
      </c>
      <c r="BA22" t="n">
        <v>117806114.271896</v>
      </c>
      <c r="BB22" t="n">
        <v>268803019.014303</v>
      </c>
      <c r="BC22" t="n">
        <v>150276615.342852</v>
      </c>
      <c r="BD22" t="n">
        <v>213186559.883463</v>
      </c>
      <c r="BE22" t="n">
        <v>23237735.9662218</v>
      </c>
      <c r="BF22" t="n">
        <v>22979978.0974156</v>
      </c>
      <c r="BG22" t="n">
        <v>136219839.567342</v>
      </c>
      <c r="BH22" t="n">
        <v>24302564.4942768</v>
      </c>
      <c r="BI22" t="n">
        <v>3779165.71360213</v>
      </c>
      <c r="BJ22" t="n">
        <v>15132555.8418829</v>
      </c>
      <c r="BK22" t="n">
        <v>741668.809702945</v>
      </c>
      <c r="BL22" t="n">
        <v>5612803.75031724</v>
      </c>
      <c r="BM22" t="n">
        <v>5388452.14480978</v>
      </c>
      <c r="BN22" t="n">
        <v>4790235.03598418</v>
      </c>
      <c r="BO22" t="n">
        <v>99027538.7042257</v>
      </c>
      <c r="BP22" t="n">
        <v>84618952.1262351</v>
      </c>
      <c r="BQ22" t="n">
        <v>51170799.8239136</v>
      </c>
      <c r="BR22" t="n">
        <v>0</v>
      </c>
      <c r="BS22" t="n">
        <v>49230716.5441637</v>
      </c>
      <c r="BT22" t="n">
        <v>23978554.5832866</v>
      </c>
      <c r="BU22" t="n">
        <v>2780501299.44796</v>
      </c>
      <c r="BV22" t="n">
        <v>0</v>
      </c>
      <c r="BW22" t="n">
        <v>3903629045.3995</v>
      </c>
      <c r="BX22" t="n">
        <v>0</v>
      </c>
      <c r="BY22" t="n">
        <v>7210395.97953608</v>
      </c>
      <c r="BZ22" t="n">
        <v>50618715.3836643</v>
      </c>
      <c r="CA22" t="n">
        <v>3728033357.47325</v>
      </c>
      <c r="CB22" t="n">
        <v>-10647752926.86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174718122.651078</v>
      </c>
      <c r="CJ22" t="n">
        <v>0</v>
      </c>
      <c r="CK22" t="n">
        <v>0</v>
      </c>
      <c r="CL22" t="n">
        <v>0</v>
      </c>
      <c r="CM22" t="n">
        <v>250950825.514402</v>
      </c>
      <c r="CN22" t="n">
        <v>0</v>
      </c>
    </row>
    <row r="23">
      <c r="A23" t="s">
        <v>118</v>
      </c>
      <c r="B23" t="n">
        <v>64297994.1846405</v>
      </c>
      <c r="C23" t="n">
        <v>295310.688209968</v>
      </c>
      <c r="D23" t="n">
        <v>85861.7861193072</v>
      </c>
      <c r="E23" t="n">
        <v>1326563.12343317</v>
      </c>
      <c r="F23" t="n">
        <v>1083233.96047927</v>
      </c>
      <c r="G23" t="n">
        <v>575313.710289422</v>
      </c>
      <c r="H23" t="n">
        <v>818158339.729541</v>
      </c>
      <c r="I23" t="n">
        <v>5406232.07093842</v>
      </c>
      <c r="J23" t="n">
        <v>2560191.43672196</v>
      </c>
      <c r="K23" t="n">
        <v>36342129.5495258</v>
      </c>
      <c r="L23" t="n">
        <v>130474956.14745</v>
      </c>
      <c r="M23" t="n">
        <v>872460226.783211</v>
      </c>
      <c r="N23" t="n">
        <v>46819449.180379</v>
      </c>
      <c r="O23" t="n">
        <v>422781470.824935</v>
      </c>
      <c r="P23" t="n">
        <v>127227420.80471</v>
      </c>
      <c r="Q23" t="n">
        <v>4702291.82422748</v>
      </c>
      <c r="R23" t="n">
        <v>3289911.71540274</v>
      </c>
      <c r="S23" t="n">
        <v>35110027.7665647</v>
      </c>
      <c r="T23" t="n">
        <v>57281053.4579763</v>
      </c>
      <c r="U23" t="n">
        <v>511841.954078896</v>
      </c>
      <c r="V23" t="n">
        <v>45306.1648432148</v>
      </c>
      <c r="W23" t="n">
        <v>12861495.496674</v>
      </c>
      <c r="X23" t="n">
        <v>3642840.62434017</v>
      </c>
      <c r="Y23" t="n">
        <v>8800641.81944158</v>
      </c>
      <c r="Z23" t="n">
        <v>44676189.3535461</v>
      </c>
      <c r="AA23" t="n">
        <v>50876255.1429888</v>
      </c>
      <c r="AB23" t="n">
        <v>37001919.3199604</v>
      </c>
      <c r="AC23" t="n">
        <v>8195330.54629278</v>
      </c>
      <c r="AD23" t="n">
        <v>3199436.59151704</v>
      </c>
      <c r="AE23" t="n">
        <v>32860727.6007484</v>
      </c>
      <c r="AF23" t="n">
        <v>7558566.51248858</v>
      </c>
      <c r="AG23" t="n">
        <v>95389.2674483604</v>
      </c>
      <c r="AH23" t="n">
        <v>5486120.47324889</v>
      </c>
      <c r="AI23" t="n">
        <v>160342.646194133</v>
      </c>
      <c r="AJ23" t="n">
        <v>2441921.08335263</v>
      </c>
      <c r="AK23" t="n">
        <v>5084578.39270939</v>
      </c>
      <c r="AL23" t="n">
        <v>77473.7333406945</v>
      </c>
      <c r="AM23" t="n">
        <v>3284503.78307308</v>
      </c>
      <c r="AN23" t="n">
        <v>3697732.7006491</v>
      </c>
      <c r="AO23" t="n">
        <v>53432.6543542293</v>
      </c>
      <c r="AP23" t="n">
        <v>0</v>
      </c>
      <c r="AQ23" t="n">
        <v>83388528.7770253</v>
      </c>
      <c r="AR23" t="n">
        <v>4611921.90474049</v>
      </c>
      <c r="AS23" t="n">
        <v>4475360.18005828</v>
      </c>
      <c r="AT23" t="n">
        <v>3185429.16768995</v>
      </c>
      <c r="AU23" t="n">
        <v>2444035.17546503</v>
      </c>
      <c r="AV23" t="n">
        <v>0</v>
      </c>
      <c r="AW23" t="n">
        <v>114131.03204768</v>
      </c>
      <c r="AX23" t="n">
        <v>31257049.2223937</v>
      </c>
      <c r="AY23" t="n">
        <v>5582397.74221521</v>
      </c>
      <c r="AZ23" t="n">
        <v>0</v>
      </c>
      <c r="BA23" t="n">
        <v>80965667.8521503</v>
      </c>
      <c r="BB23" t="n">
        <v>175047762.546984</v>
      </c>
      <c r="BC23" t="n">
        <v>1536560.73387039</v>
      </c>
      <c r="BD23" t="n">
        <v>72858328.9045715</v>
      </c>
      <c r="BE23" t="n">
        <v>33900331.0689728</v>
      </c>
      <c r="BF23" t="n">
        <v>14358942.385957</v>
      </c>
      <c r="BG23" t="n">
        <v>272676.544184629</v>
      </c>
      <c r="BH23" t="n">
        <v>36121798.9870219</v>
      </c>
      <c r="BI23" t="n">
        <v>36698681.5918184</v>
      </c>
      <c r="BJ23" t="n">
        <v>9276367.0484265</v>
      </c>
      <c r="BK23" t="n">
        <v>1585628.27361787</v>
      </c>
      <c r="BL23" t="n">
        <v>16658734.6782109</v>
      </c>
      <c r="BM23" t="n">
        <v>22153819.2825094</v>
      </c>
      <c r="BN23" t="n">
        <v>14203470.3147025</v>
      </c>
      <c r="BO23" t="n">
        <v>110365316.992896</v>
      </c>
      <c r="BP23" t="n">
        <v>16912363.9709552</v>
      </c>
      <c r="BQ23" t="n">
        <v>60900025.8260866</v>
      </c>
      <c r="BR23" t="n">
        <v>1412470.50856866</v>
      </c>
      <c r="BS23" t="n">
        <v>34632988.6562497</v>
      </c>
      <c r="BT23" t="n">
        <v>54199456.8279366</v>
      </c>
      <c r="BU23" t="n">
        <v>1234839367.04637</v>
      </c>
      <c r="BV23" t="n">
        <v>0</v>
      </c>
      <c r="BW23" t="n">
        <v>1476537079.20937</v>
      </c>
      <c r="BX23" t="n">
        <v>0</v>
      </c>
      <c r="BY23" t="n">
        <v>182679407.862717</v>
      </c>
      <c r="BZ23" t="n">
        <v>100150665.131047</v>
      </c>
      <c r="CA23" t="n">
        <v>1812586605.21895</v>
      </c>
      <c r="CB23" t="n">
        <v>-4985190808.8438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7047273.30180168</v>
      </c>
      <c r="CJ23" t="n">
        <v>0</v>
      </c>
      <c r="CK23" t="n">
        <v>0</v>
      </c>
      <c r="CL23" t="n">
        <v>0</v>
      </c>
      <c r="CM23" t="n">
        <v>27866875.2606947</v>
      </c>
      <c r="CN23" t="n">
        <v>0</v>
      </c>
    </row>
    <row r="24">
      <c r="A24" t="s">
        <v>119</v>
      </c>
      <c r="B24" t="n">
        <v>28136137.0929487</v>
      </c>
      <c r="C24" t="n">
        <v>349301.767327066</v>
      </c>
      <c r="D24" t="n">
        <v>577482.460413615</v>
      </c>
      <c r="E24" t="n">
        <v>14655275.3775658</v>
      </c>
      <c r="F24" t="n">
        <v>1006152.29217499</v>
      </c>
      <c r="G24" t="n">
        <v>1040853.01562787</v>
      </c>
      <c r="H24" t="n">
        <v>43841854.8963854</v>
      </c>
      <c r="I24" t="n">
        <v>20678918.8576581</v>
      </c>
      <c r="J24" t="n">
        <v>11796510.3943066</v>
      </c>
      <c r="K24" t="n">
        <v>16690749.0056682</v>
      </c>
      <c r="L24" t="n">
        <v>63884967.5367409</v>
      </c>
      <c r="M24" t="n">
        <v>662243131.265881</v>
      </c>
      <c r="N24" t="n">
        <v>17940549.094221</v>
      </c>
      <c r="O24" t="n">
        <v>30170255.2415665</v>
      </c>
      <c r="P24" t="n">
        <v>3561954302.29291</v>
      </c>
      <c r="Q24" t="n">
        <v>8033186.96749681</v>
      </c>
      <c r="R24" t="n">
        <v>11480547.4478472</v>
      </c>
      <c r="S24" t="n">
        <v>33495325.9475509</v>
      </c>
      <c r="T24" t="n">
        <v>164596700.912276</v>
      </c>
      <c r="U24" t="n">
        <v>621831.169468302</v>
      </c>
      <c r="V24" t="n">
        <v>18642.0559099546</v>
      </c>
      <c r="W24" t="n">
        <v>30431872.0696609</v>
      </c>
      <c r="X24" t="n">
        <v>5728873.52301512</v>
      </c>
      <c r="Y24" t="n">
        <v>8393822.9905901</v>
      </c>
      <c r="Z24" t="n">
        <v>60475306.24685</v>
      </c>
      <c r="AA24" t="n">
        <v>34233625.0078958</v>
      </c>
      <c r="AB24" t="n">
        <v>285636321.763963</v>
      </c>
      <c r="AC24" t="n">
        <v>107056240.587905</v>
      </c>
      <c r="AD24" t="n">
        <v>55110907.3626373</v>
      </c>
      <c r="AE24" t="n">
        <v>12269719.2072968</v>
      </c>
      <c r="AF24" t="n">
        <v>98128415.0376757</v>
      </c>
      <c r="AG24" t="n">
        <v>0</v>
      </c>
      <c r="AH24" t="n">
        <v>3151297.26691041</v>
      </c>
      <c r="AI24" t="n">
        <v>0</v>
      </c>
      <c r="AJ24" t="n">
        <v>220248933.373864</v>
      </c>
      <c r="AK24" t="n">
        <v>13798033.2527166</v>
      </c>
      <c r="AL24" t="n">
        <v>32151.5448257904</v>
      </c>
      <c r="AM24" t="n">
        <v>4010587.34333655</v>
      </c>
      <c r="AN24" t="n">
        <v>57684634.0399984</v>
      </c>
      <c r="AO24" t="n">
        <v>3003370.68540844</v>
      </c>
      <c r="AP24" t="n">
        <v>1444787.57060022</v>
      </c>
      <c r="AQ24" t="n">
        <v>25459229.1807075</v>
      </c>
      <c r="AR24" t="n">
        <v>7355480.04893318</v>
      </c>
      <c r="AS24" t="n">
        <v>4304072.03360102</v>
      </c>
      <c r="AT24" t="n">
        <v>880115.497890362</v>
      </c>
      <c r="AU24" t="n">
        <v>0</v>
      </c>
      <c r="AV24" t="n">
        <v>0</v>
      </c>
      <c r="AW24" t="n">
        <v>0</v>
      </c>
      <c r="AX24" t="n">
        <v>0</v>
      </c>
      <c r="AY24" t="n">
        <v>54964433.0957626</v>
      </c>
      <c r="AZ24" t="n">
        <v>0</v>
      </c>
      <c r="BA24" t="n">
        <v>2151192.21434493</v>
      </c>
      <c r="BB24" t="n">
        <v>95261090.0700866</v>
      </c>
      <c r="BC24" t="n">
        <v>16438885.5473724</v>
      </c>
      <c r="BD24" t="n">
        <v>387947562.947936</v>
      </c>
      <c r="BE24" t="n">
        <v>35245512.3911095</v>
      </c>
      <c r="BF24" t="n">
        <v>17702665.9926864</v>
      </c>
      <c r="BG24" t="n">
        <v>15677689.3898078</v>
      </c>
      <c r="BH24" t="n">
        <v>70571586.3278333</v>
      </c>
      <c r="BI24" t="n">
        <v>4220662.75948212</v>
      </c>
      <c r="BJ24" t="n">
        <v>55279614.7144933</v>
      </c>
      <c r="BK24" t="n">
        <v>1538736.25982947</v>
      </c>
      <c r="BL24" t="n">
        <v>4122888.47213552</v>
      </c>
      <c r="BM24" t="n">
        <v>3846514.5569155</v>
      </c>
      <c r="BN24" t="n">
        <v>33413985.1103375</v>
      </c>
      <c r="BO24" t="n">
        <v>322720574.662093</v>
      </c>
      <c r="BP24" t="n">
        <v>72118821.8320413</v>
      </c>
      <c r="BQ24" t="n">
        <v>2239808.19043585</v>
      </c>
      <c r="BR24" t="n">
        <v>56372278.7679603</v>
      </c>
      <c r="BS24" t="n">
        <v>178505327.827726</v>
      </c>
      <c r="BT24" t="n">
        <v>19853651.2063905</v>
      </c>
      <c r="BU24" t="n">
        <v>4476419143.21497</v>
      </c>
      <c r="BV24" t="n">
        <v>0</v>
      </c>
      <c r="BW24" t="n">
        <v>6897519361.64956</v>
      </c>
      <c r="BX24" t="n">
        <v>0</v>
      </c>
      <c r="BY24" t="n">
        <v>0</v>
      </c>
      <c r="BZ24" t="n">
        <v>240806089.359859</v>
      </c>
      <c r="CA24" t="n">
        <v>3701470377.48597</v>
      </c>
      <c r="CB24" t="n">
        <v>-11929728730.0346</v>
      </c>
      <c r="CC24" t="n">
        <v>0</v>
      </c>
      <c r="CD24" t="n">
        <v>0</v>
      </c>
      <c r="CE24" t="n">
        <v>58889152.1475211</v>
      </c>
      <c r="CF24" t="n">
        <v>0</v>
      </c>
      <c r="CG24" t="n">
        <v>0</v>
      </c>
      <c r="CH24" t="n">
        <v>0</v>
      </c>
      <c r="CI24" t="n">
        <v>94102346.4373446</v>
      </c>
      <c r="CJ24" t="n">
        <v>0</v>
      </c>
      <c r="CK24" t="n">
        <v>0</v>
      </c>
      <c r="CL24" t="n">
        <v>0</v>
      </c>
      <c r="CM24" t="n">
        <v>677258827.51563</v>
      </c>
      <c r="CN24" t="n">
        <v>0</v>
      </c>
    </row>
    <row r="25">
      <c r="A25" t="s">
        <v>120</v>
      </c>
      <c r="B25" t="n">
        <v>0</v>
      </c>
      <c r="C25" t="n">
        <v>38848.5570770872</v>
      </c>
      <c r="D25" t="n">
        <v>0</v>
      </c>
      <c r="E25" t="n">
        <v>82223.0597065403</v>
      </c>
      <c r="F25" t="n">
        <v>0</v>
      </c>
      <c r="G25" t="n">
        <v>0</v>
      </c>
      <c r="H25" t="n">
        <v>408999.493895609</v>
      </c>
      <c r="I25" t="n">
        <v>74805.4248470276</v>
      </c>
      <c r="J25" t="n">
        <v>0</v>
      </c>
      <c r="K25" t="n">
        <v>0</v>
      </c>
      <c r="L25" t="n">
        <v>2077052.41459667</v>
      </c>
      <c r="M25" t="n">
        <v>6455052.32575501</v>
      </c>
      <c r="N25" t="n">
        <v>0</v>
      </c>
      <c r="O25" t="n">
        <v>0</v>
      </c>
      <c r="P25" t="n">
        <v>8387609.45444382</v>
      </c>
      <c r="Q25" t="n">
        <v>253848978.974222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651835.312709259</v>
      </c>
      <c r="AD25" t="n">
        <v>0</v>
      </c>
      <c r="AE25" t="n">
        <v>0</v>
      </c>
      <c r="AF25" t="n">
        <v>0</v>
      </c>
      <c r="AG25" t="n">
        <v>39839057.0964305</v>
      </c>
      <c r="AH25" t="n">
        <v>34211530.5507816</v>
      </c>
      <c r="AI25" t="n">
        <v>10257699.129126</v>
      </c>
      <c r="AJ25" t="n">
        <v>173138.94493925</v>
      </c>
      <c r="AK25" t="n">
        <v>1797796.13166714</v>
      </c>
      <c r="AL25" t="n">
        <v>0</v>
      </c>
      <c r="AM25" t="n">
        <v>104895752.416471</v>
      </c>
      <c r="AN25" t="n">
        <v>0</v>
      </c>
      <c r="AO25" t="n">
        <v>0</v>
      </c>
      <c r="AP25" t="n">
        <v>0</v>
      </c>
      <c r="AQ25" t="n">
        <v>36031.379983282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25554215.001584</v>
      </c>
      <c r="BC25" t="n">
        <v>768246.070231683</v>
      </c>
      <c r="BD25" t="n">
        <v>1317117.58178225</v>
      </c>
      <c r="BE25" t="n">
        <v>1370069.41278967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464751.281000583</v>
      </c>
      <c r="BM25" t="n">
        <v>0</v>
      </c>
      <c r="BN25" t="n">
        <v>0</v>
      </c>
      <c r="BO25" t="n">
        <v>3376388.17718556</v>
      </c>
      <c r="BP25" t="n">
        <v>260719929.054361</v>
      </c>
      <c r="BQ25" t="n">
        <v>26660422.6086875</v>
      </c>
      <c r="BR25" t="n">
        <v>10028.2603073524</v>
      </c>
      <c r="BS25" t="n">
        <v>0</v>
      </c>
      <c r="BT25" t="n">
        <v>891641.887212989</v>
      </c>
      <c r="BU25" t="n">
        <v>465592215.757723</v>
      </c>
      <c r="BV25" t="n">
        <v>0</v>
      </c>
      <c r="BW25" t="n">
        <v>133718654.395219</v>
      </c>
      <c r="BX25" t="n">
        <v>0</v>
      </c>
      <c r="BY25" t="n">
        <v>0</v>
      </c>
      <c r="BZ25" t="n">
        <v>103426993.692679</v>
      </c>
      <c r="CA25" t="n">
        <v>683717535.334495</v>
      </c>
      <c r="CB25" t="n">
        <v>-623163480.691468</v>
      </c>
      <c r="CC25" t="n">
        <v>0</v>
      </c>
      <c r="CD25" t="n">
        <v>0</v>
      </c>
      <c r="CE25" t="n">
        <v>46988010.6109293</v>
      </c>
      <c r="CF25" t="n">
        <v>0</v>
      </c>
      <c r="CG25" t="n">
        <v>0</v>
      </c>
      <c r="CH25" t="n">
        <v>0</v>
      </c>
      <c r="CI25" t="n">
        <v>2314273.15893664</v>
      </c>
      <c r="CJ25" t="n">
        <v>0</v>
      </c>
      <c r="CK25" t="n">
        <v>0</v>
      </c>
      <c r="CL25" t="n">
        <v>0</v>
      </c>
      <c r="CM25" t="n">
        <v>3184260.06096178</v>
      </c>
      <c r="CN25" t="n">
        <v>0</v>
      </c>
    </row>
    <row r="26">
      <c r="A26" t="s">
        <v>121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368935069.833938</v>
      </c>
      <c r="I26" t="n">
        <v>5095881.71529563</v>
      </c>
      <c r="J26" t="n">
        <v>0</v>
      </c>
      <c r="K26" t="n">
        <v>0</v>
      </c>
      <c r="L26" t="n">
        <v>0</v>
      </c>
      <c r="M26" t="n">
        <v>13891750.9330394</v>
      </c>
      <c r="N26" t="n">
        <v>826136.633156331</v>
      </c>
      <c r="O26" t="n">
        <v>0</v>
      </c>
      <c r="P26" t="n">
        <v>467665.962058669</v>
      </c>
      <c r="Q26" t="n">
        <v>658857.235210696</v>
      </c>
      <c r="R26" t="n">
        <v>110658474.871237</v>
      </c>
      <c r="S26" t="n">
        <v>3317740.61401419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15248162.9866879</v>
      </c>
      <c r="AB26" t="n">
        <v>35876550.4050211</v>
      </c>
      <c r="AC26" t="n">
        <v>2994210.20931547</v>
      </c>
      <c r="AD26" t="n">
        <v>0</v>
      </c>
      <c r="AE26" t="n">
        <v>379100.973571702</v>
      </c>
      <c r="AF26" t="n">
        <v>41204094.2519355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15818.5177784518</v>
      </c>
      <c r="AP26" t="n">
        <v>0</v>
      </c>
      <c r="AQ26" t="n">
        <v>1839141.91590205</v>
      </c>
      <c r="AR26" t="n">
        <v>6720253.73373139</v>
      </c>
      <c r="AS26" t="n">
        <v>0</v>
      </c>
      <c r="AT26" t="n">
        <v>0</v>
      </c>
      <c r="AU26" t="n">
        <v>0</v>
      </c>
      <c r="AV26" t="n">
        <v>0</v>
      </c>
      <c r="AW26" t="n">
        <v>97051555.9289152</v>
      </c>
      <c r="AX26" t="n">
        <v>1239399.23521833</v>
      </c>
      <c r="AY26" t="n">
        <v>0</v>
      </c>
      <c r="AZ26" t="n">
        <v>416939.592532524</v>
      </c>
      <c r="BA26" t="n">
        <v>72308.0409797848</v>
      </c>
      <c r="BB26" t="n">
        <v>19837675.8378546</v>
      </c>
      <c r="BC26" t="n">
        <v>180240.22086196</v>
      </c>
      <c r="BD26" t="n">
        <v>92305.7397802427</v>
      </c>
      <c r="BE26" t="n">
        <v>0</v>
      </c>
      <c r="BF26" t="n">
        <v>0</v>
      </c>
      <c r="BG26" t="n">
        <v>6185897.2543706</v>
      </c>
      <c r="BH26" t="n">
        <v>4112939.05069473</v>
      </c>
      <c r="BI26" t="n">
        <v>28545.490056869</v>
      </c>
      <c r="BJ26" t="n">
        <v>4060063.81408527</v>
      </c>
      <c r="BK26" t="n">
        <v>11586800.6047527</v>
      </c>
      <c r="BL26" t="n">
        <v>16686961.3341153</v>
      </c>
      <c r="BM26" t="n">
        <v>42795.1838732393</v>
      </c>
      <c r="BN26" t="n">
        <v>6863872.92860235</v>
      </c>
      <c r="BO26" t="n">
        <v>13546000.6135384</v>
      </c>
      <c r="BP26" t="n">
        <v>0</v>
      </c>
      <c r="BQ26" t="n">
        <v>0</v>
      </c>
      <c r="BR26" t="n">
        <v>1933161.29055035</v>
      </c>
      <c r="BS26" t="n">
        <v>261675.730718489</v>
      </c>
      <c r="BT26" t="n">
        <v>19137835.5697443</v>
      </c>
      <c r="BU26" t="n">
        <v>1570599742.12908</v>
      </c>
      <c r="BV26" t="n">
        <v>0</v>
      </c>
      <c r="BW26" t="n">
        <v>991449159.214421</v>
      </c>
      <c r="BX26" t="n">
        <v>0</v>
      </c>
      <c r="BY26" t="n">
        <v>18574428.7799719</v>
      </c>
      <c r="BZ26" t="n">
        <v>22301351.3959928</v>
      </c>
      <c r="CA26" t="n">
        <v>136478863.488961</v>
      </c>
      <c r="CB26" t="n">
        <v>-1789180376.71201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1287420.64192184</v>
      </c>
      <c r="CJ26" t="n">
        <v>0</v>
      </c>
      <c r="CK26" t="n">
        <v>0</v>
      </c>
      <c r="CL26" t="n">
        <v>0</v>
      </c>
      <c r="CM26" t="n">
        <v>41390833.5467673</v>
      </c>
      <c r="CN26" t="n">
        <v>0</v>
      </c>
    </row>
    <row r="27">
      <c r="A27" t="s">
        <v>122</v>
      </c>
      <c r="B27" t="n">
        <v>1963310.16846336</v>
      </c>
      <c r="C27" t="n">
        <v>0</v>
      </c>
      <c r="D27" t="n">
        <v>23479.2473500061</v>
      </c>
      <c r="E27" t="n">
        <v>597978.46673568</v>
      </c>
      <c r="F27" t="n">
        <v>43709.096983946</v>
      </c>
      <c r="G27" t="n">
        <v>0</v>
      </c>
      <c r="H27" t="n">
        <v>24395762.1758237</v>
      </c>
      <c r="I27" t="n">
        <v>231817.259272318</v>
      </c>
      <c r="J27" t="n">
        <v>1367757.17097249</v>
      </c>
      <c r="K27" t="n">
        <v>480222.879823956</v>
      </c>
      <c r="L27" t="n">
        <v>2501133.78540921</v>
      </c>
      <c r="M27" t="n">
        <v>121888650.623196</v>
      </c>
      <c r="N27" t="n">
        <v>11900.5275865201</v>
      </c>
      <c r="O27" t="n">
        <v>20688718.6088767</v>
      </c>
      <c r="P27" t="n">
        <v>51117208.4177836</v>
      </c>
      <c r="Q27" t="n">
        <v>64702.5473440483</v>
      </c>
      <c r="R27" t="n">
        <v>147139.034275075</v>
      </c>
      <c r="S27" t="n">
        <v>219011670.172511</v>
      </c>
      <c r="T27" t="n">
        <v>1518634.05849387</v>
      </c>
      <c r="U27" t="n">
        <v>79600.1572394253</v>
      </c>
      <c r="V27" t="n">
        <v>2887701.78965383</v>
      </c>
      <c r="W27" t="n">
        <v>0</v>
      </c>
      <c r="X27" t="n">
        <v>133384.557509788</v>
      </c>
      <c r="Y27" t="n">
        <v>51679.0340579576</v>
      </c>
      <c r="Z27" t="n">
        <v>15249976.919286</v>
      </c>
      <c r="AA27" t="n">
        <v>5772700.53409715</v>
      </c>
      <c r="AB27" t="n">
        <v>27509572.4507682</v>
      </c>
      <c r="AC27" t="n">
        <v>13355228.6186267</v>
      </c>
      <c r="AD27" t="n">
        <v>3400188.36182702</v>
      </c>
      <c r="AE27" t="n">
        <v>165649.21127374</v>
      </c>
      <c r="AF27" t="n">
        <v>29089038.5285948</v>
      </c>
      <c r="AG27" t="n">
        <v>0</v>
      </c>
      <c r="AH27" t="n">
        <v>31775.1804375036</v>
      </c>
      <c r="AI27" t="n">
        <v>0</v>
      </c>
      <c r="AJ27" t="n">
        <v>264960.782099849</v>
      </c>
      <c r="AK27" t="n">
        <v>557671.362502647</v>
      </c>
      <c r="AL27" t="n">
        <v>11130.1603327596</v>
      </c>
      <c r="AM27" t="n">
        <v>3870574.32102552</v>
      </c>
      <c r="AN27" t="n">
        <v>4149292.81629515</v>
      </c>
      <c r="AO27" t="n">
        <v>47948.1512224099</v>
      </c>
      <c r="AP27" t="n">
        <v>24463.1559662867</v>
      </c>
      <c r="AQ27" t="n">
        <v>2435600.43556799</v>
      </c>
      <c r="AR27" t="n">
        <v>1783620.1268458</v>
      </c>
      <c r="AS27" t="n">
        <v>1755240.88230287</v>
      </c>
      <c r="AT27" t="n">
        <v>790353.6823856</v>
      </c>
      <c r="AU27" t="n">
        <v>894401.117365566</v>
      </c>
      <c r="AV27" t="n">
        <v>0</v>
      </c>
      <c r="AW27" t="n">
        <v>0</v>
      </c>
      <c r="AX27" t="n">
        <v>4865615.37930854</v>
      </c>
      <c r="AY27" t="n">
        <v>1617942.07139149</v>
      </c>
      <c r="AZ27" t="n">
        <v>504066.172993944</v>
      </c>
      <c r="BA27" t="n">
        <v>601682.279240939</v>
      </c>
      <c r="BB27" t="n">
        <v>57780062.5910583</v>
      </c>
      <c r="BC27" t="n">
        <v>326221.535223997</v>
      </c>
      <c r="BD27" t="n">
        <v>68539006.6902213</v>
      </c>
      <c r="BE27" t="n">
        <v>5908365.77142838</v>
      </c>
      <c r="BF27" t="n">
        <v>10937548.8556338</v>
      </c>
      <c r="BG27" t="n">
        <v>382204853.710776</v>
      </c>
      <c r="BH27" t="n">
        <v>845260196.179805</v>
      </c>
      <c r="BI27" t="n">
        <v>17626409.5338433</v>
      </c>
      <c r="BJ27" t="n">
        <v>39300956.6463339</v>
      </c>
      <c r="BK27" t="n">
        <v>1960411.70585794</v>
      </c>
      <c r="BL27" t="n">
        <v>10852661.2811666</v>
      </c>
      <c r="BM27" t="n">
        <v>1039239.00951971</v>
      </c>
      <c r="BN27" t="n">
        <v>25800464.3391202</v>
      </c>
      <c r="BO27" t="n">
        <v>40859795.1270657</v>
      </c>
      <c r="BP27" t="n">
        <v>10612517.7384832</v>
      </c>
      <c r="BQ27" t="n">
        <v>8009643.45796727</v>
      </c>
      <c r="BR27" t="n">
        <v>0</v>
      </c>
      <c r="BS27" t="n">
        <v>155794404.144365</v>
      </c>
      <c r="BT27" t="n">
        <v>644647.057236182</v>
      </c>
      <c r="BU27" t="n">
        <v>3154309458.55785</v>
      </c>
      <c r="BV27" t="n">
        <v>0</v>
      </c>
      <c r="BW27" t="n">
        <v>1759772303.08153</v>
      </c>
      <c r="BX27" t="n">
        <v>0</v>
      </c>
      <c r="BY27" t="n">
        <v>0</v>
      </c>
      <c r="BZ27" t="n">
        <v>106172621.190552</v>
      </c>
      <c r="CA27" t="n">
        <v>847512990.521813</v>
      </c>
      <c r="CB27" t="n">
        <v>-4548444070.20451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2052003.65140812</v>
      </c>
      <c r="CJ27" t="n">
        <v>0</v>
      </c>
      <c r="CK27" t="n">
        <v>0</v>
      </c>
      <c r="CL27" t="n">
        <v>0</v>
      </c>
      <c r="CM27" t="n">
        <v>19837995.7141775</v>
      </c>
      <c r="CN27" t="n">
        <v>0</v>
      </c>
    </row>
    <row r="28">
      <c r="A28" t="s">
        <v>123</v>
      </c>
      <c r="B28" t="n">
        <v>440996407.433858</v>
      </c>
      <c r="C28" t="n">
        <v>572498.840688873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162574.01346054</v>
      </c>
      <c r="J28" t="n">
        <v>8172276.57492376</v>
      </c>
      <c r="K28" t="n">
        <v>78803.9161924981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185243.698763471</v>
      </c>
      <c r="T28" t="n">
        <v>3909663053.26793</v>
      </c>
      <c r="U28" t="n">
        <v>69771.5880044459</v>
      </c>
      <c r="V28" t="n">
        <v>3372259.29162467</v>
      </c>
      <c r="W28" t="n">
        <v>6341393.7628929</v>
      </c>
      <c r="X28" t="n">
        <v>7528591.22713711</v>
      </c>
      <c r="Y28" t="n">
        <v>14577023.9380132</v>
      </c>
      <c r="Z28" t="n">
        <v>161449828.753967</v>
      </c>
      <c r="AA28" t="n">
        <v>8242686.21726962</v>
      </c>
      <c r="AB28" t="n">
        <v>56170276.9157502</v>
      </c>
      <c r="AC28" t="n">
        <v>15645.5155618781</v>
      </c>
      <c r="AD28" t="n">
        <v>51805091.917083</v>
      </c>
      <c r="AE28" t="n">
        <v>19269338.5170006</v>
      </c>
      <c r="AF28" t="n">
        <v>27450515.6924464</v>
      </c>
      <c r="AG28" t="n">
        <v>21241631.7508316</v>
      </c>
      <c r="AH28" t="n">
        <v>56411.2037026752</v>
      </c>
      <c r="AI28" t="n">
        <v>4807951.73228686</v>
      </c>
      <c r="AJ28" t="n">
        <v>952307.67412905</v>
      </c>
      <c r="AK28" t="n">
        <v>0</v>
      </c>
      <c r="AL28" t="n">
        <v>0</v>
      </c>
      <c r="AM28" t="n">
        <v>191186.125917213</v>
      </c>
      <c r="AN28" t="n">
        <v>0</v>
      </c>
      <c r="AO28" t="n">
        <v>387413.017229684</v>
      </c>
      <c r="AP28" t="n">
        <v>125526.464522779</v>
      </c>
      <c r="AQ28" t="n">
        <v>0</v>
      </c>
      <c r="AR28" t="n">
        <v>2771359.11596762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102457189.375977</v>
      </c>
      <c r="BC28" t="n">
        <v>1270536.93209803</v>
      </c>
      <c r="BD28" t="n">
        <v>0</v>
      </c>
      <c r="BE28" t="n">
        <v>0</v>
      </c>
      <c r="BF28" t="n">
        <v>130831477.23341</v>
      </c>
      <c r="BG28" t="n">
        <v>107925.307733617</v>
      </c>
      <c r="BH28" t="n">
        <v>150305973.511208</v>
      </c>
      <c r="BI28" t="n">
        <v>100528731.725783</v>
      </c>
      <c r="BJ28" t="n">
        <v>286730827.340025</v>
      </c>
      <c r="BK28" t="n">
        <v>18487329.4454073</v>
      </c>
      <c r="BL28" t="n">
        <v>149569223.120562</v>
      </c>
      <c r="BM28" t="n">
        <v>113599007.35338</v>
      </c>
      <c r="BN28" t="n">
        <v>1471404203.41725</v>
      </c>
      <c r="BO28" t="n">
        <v>31058506.9481078</v>
      </c>
      <c r="BP28" t="n">
        <v>21303401.2300936</v>
      </c>
      <c r="BQ28" t="n">
        <v>582089.6925439</v>
      </c>
      <c r="BR28" t="n">
        <v>10094683.7317383</v>
      </c>
      <c r="BS28" t="n">
        <v>1065994431.78561</v>
      </c>
      <c r="BT28" t="n">
        <v>0</v>
      </c>
      <c r="BU28" t="n">
        <v>10994091762.9373</v>
      </c>
      <c r="BV28" t="n">
        <v>0</v>
      </c>
      <c r="BW28" t="n">
        <v>0</v>
      </c>
      <c r="BX28" t="n">
        <v>0</v>
      </c>
      <c r="BY28" t="n">
        <v>0</v>
      </c>
      <c r="BZ28" t="n">
        <v>366125433.665431</v>
      </c>
      <c r="CA28" t="n">
        <v>4061665870.40918</v>
      </c>
      <c r="CB28" t="n">
        <v>-4013676471.7347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</row>
    <row r="29">
      <c r="A29" t="s">
        <v>124</v>
      </c>
      <c r="B29" t="n">
        <v>1594840.89284918</v>
      </c>
      <c r="C29" t="n">
        <v>156621.338826821</v>
      </c>
      <c r="D29" t="n">
        <v>0</v>
      </c>
      <c r="E29" t="n">
        <v>27407.6865688468</v>
      </c>
      <c r="F29" t="n">
        <v>0</v>
      </c>
      <c r="G29" t="n">
        <v>0</v>
      </c>
      <c r="H29" t="n">
        <v>26925458.4764817</v>
      </c>
      <c r="I29" t="n">
        <v>4129402.91867003</v>
      </c>
      <c r="J29" t="n">
        <v>5196743.03457765</v>
      </c>
      <c r="K29" t="n">
        <v>0</v>
      </c>
      <c r="L29" t="n">
        <v>19291.8944035812</v>
      </c>
      <c r="M29" t="n">
        <v>20717642.6816533</v>
      </c>
      <c r="N29" t="n">
        <v>14281.3268521733</v>
      </c>
      <c r="O29" t="n">
        <v>0</v>
      </c>
      <c r="P29" t="n">
        <v>37946406.331578</v>
      </c>
      <c r="Q29" t="n">
        <v>2810298.83459942</v>
      </c>
      <c r="R29" t="n">
        <v>69666605.2370563</v>
      </c>
      <c r="S29" t="n">
        <v>37403563.911558</v>
      </c>
      <c r="T29" t="n">
        <v>6003709.9611969</v>
      </c>
      <c r="U29" t="n">
        <v>58245268.3488659</v>
      </c>
      <c r="V29" t="n">
        <v>33100513.8227237</v>
      </c>
      <c r="W29" t="n">
        <v>51016104.8652239</v>
      </c>
      <c r="X29" t="n">
        <v>5303473.97534613</v>
      </c>
      <c r="Y29" t="n">
        <v>1078690.21118214</v>
      </c>
      <c r="Z29" t="n">
        <v>122808.52742412</v>
      </c>
      <c r="AA29" t="n">
        <v>131306880.347008</v>
      </c>
      <c r="AB29" t="n">
        <v>80136424.720727</v>
      </c>
      <c r="AC29" t="n">
        <v>847209.954622527</v>
      </c>
      <c r="AD29" t="n">
        <v>3035801.07654869</v>
      </c>
      <c r="AE29" t="n">
        <v>146160732.202581</v>
      </c>
      <c r="AF29" t="n">
        <v>23950623.0182848</v>
      </c>
      <c r="AG29" t="n">
        <v>0</v>
      </c>
      <c r="AH29" t="n">
        <v>0</v>
      </c>
      <c r="AI29" t="n">
        <v>406729.085252384</v>
      </c>
      <c r="AJ29" t="n">
        <v>420544.203245191</v>
      </c>
      <c r="AK29" t="n">
        <v>0</v>
      </c>
      <c r="AL29" t="n">
        <v>29457.2121585537</v>
      </c>
      <c r="AM29" t="n">
        <v>1133948.39668124</v>
      </c>
      <c r="AN29" t="n">
        <v>218341.803152812</v>
      </c>
      <c r="AO29" t="n">
        <v>7109.77428521092</v>
      </c>
      <c r="AP29" t="n">
        <v>3160016.30444484</v>
      </c>
      <c r="AQ29" t="n">
        <v>43506.251689084</v>
      </c>
      <c r="AR29" t="n">
        <v>43397.6744517741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1398574.13016881</v>
      </c>
      <c r="AY29" t="n">
        <v>4816268.90055953</v>
      </c>
      <c r="AZ29" t="n">
        <v>0</v>
      </c>
      <c r="BA29" t="n">
        <v>0</v>
      </c>
      <c r="BB29" t="n">
        <v>10896733.9535316</v>
      </c>
      <c r="BC29" t="n">
        <v>252529.977624533</v>
      </c>
      <c r="BD29" t="n">
        <v>5892132.81143575</v>
      </c>
      <c r="BE29" t="n">
        <v>5700459.57716154</v>
      </c>
      <c r="BF29" t="n">
        <v>959024.983337033</v>
      </c>
      <c r="BG29" t="n">
        <v>2283289.87159688</v>
      </c>
      <c r="BH29" t="n">
        <v>18492091.6717874</v>
      </c>
      <c r="BI29" t="n">
        <v>89234905.4467338</v>
      </c>
      <c r="BJ29" t="n">
        <v>46037423.2663472</v>
      </c>
      <c r="BK29" t="n">
        <v>0</v>
      </c>
      <c r="BL29" t="n">
        <v>11148694.2966908</v>
      </c>
      <c r="BM29" t="n">
        <v>52817718.2352066</v>
      </c>
      <c r="BN29" t="n">
        <v>12495909.9269951</v>
      </c>
      <c r="BO29" t="n">
        <v>20932416.1768176</v>
      </c>
      <c r="BP29" t="n">
        <v>8545895.97567558</v>
      </c>
      <c r="BQ29" t="n">
        <v>5831349.00007147</v>
      </c>
      <c r="BR29" t="n">
        <v>29060.8031424447</v>
      </c>
      <c r="BS29" t="n">
        <v>73044120.1384286</v>
      </c>
      <c r="BT29" t="n">
        <v>467850.731994917</v>
      </c>
      <c r="BU29" t="n">
        <v>658492460.391833</v>
      </c>
      <c r="BV29" t="n">
        <v>0</v>
      </c>
      <c r="BW29" t="n">
        <v>9058699.54278974</v>
      </c>
      <c r="BX29" t="n">
        <v>0</v>
      </c>
      <c r="BY29" t="n">
        <v>11030968.1140608</v>
      </c>
      <c r="BZ29" t="n">
        <v>6515871.69641414</v>
      </c>
      <c r="CA29" t="n">
        <v>153073407.939133</v>
      </c>
      <c r="CB29" t="n">
        <v>-1399890663.63184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193427.206847297</v>
      </c>
      <c r="CJ29" t="n">
        <v>0</v>
      </c>
      <c r="CK29" t="n">
        <v>0</v>
      </c>
      <c r="CL29" t="n">
        <v>0</v>
      </c>
      <c r="CM29" t="n">
        <v>105325.208391863</v>
      </c>
      <c r="CN29" t="n">
        <v>0</v>
      </c>
    </row>
    <row r="30">
      <c r="A30" t="s">
        <v>125</v>
      </c>
      <c r="B30" t="n">
        <v>1685700.0128197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36272361.964172</v>
      </c>
      <c r="Q30" t="n">
        <v>0</v>
      </c>
      <c r="R30" t="n">
        <v>0</v>
      </c>
      <c r="S30" t="n">
        <v>7668780.33877798</v>
      </c>
      <c r="T30" t="n">
        <v>571273.349626347</v>
      </c>
      <c r="U30" t="n">
        <v>6078387.97941118</v>
      </c>
      <c r="V30" t="n">
        <v>43221276.9034432</v>
      </c>
      <c r="W30" t="n">
        <v>0</v>
      </c>
      <c r="X30" t="n">
        <v>140150365.545173</v>
      </c>
      <c r="Y30" t="n">
        <v>0</v>
      </c>
      <c r="Z30" t="n">
        <v>0</v>
      </c>
      <c r="AA30" t="n">
        <v>23454.2644667319</v>
      </c>
      <c r="AB30" t="n">
        <v>16841398.6020791</v>
      </c>
      <c r="AC30" t="n">
        <v>2988052.92852464</v>
      </c>
      <c r="AD30" t="n">
        <v>180579.72854131</v>
      </c>
      <c r="AE30" t="n">
        <v>3283876.4757401</v>
      </c>
      <c r="AF30" t="n">
        <v>7342506.19334558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1405173.46260413</v>
      </c>
      <c r="AP30" t="n">
        <v>400023.026480303</v>
      </c>
      <c r="AQ30" t="n">
        <v>31051992.4833625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2846005.73682735</v>
      </c>
      <c r="AZ30" t="n">
        <v>0</v>
      </c>
      <c r="BA30" t="n">
        <v>0</v>
      </c>
      <c r="BB30" t="n">
        <v>223144.150216254</v>
      </c>
      <c r="BC30" t="n">
        <v>111977.570810994</v>
      </c>
      <c r="BD30" t="n">
        <v>7486854.58693826</v>
      </c>
      <c r="BE30" t="n">
        <v>949406.354051675</v>
      </c>
      <c r="BF30" t="n">
        <v>2922946.98788874</v>
      </c>
      <c r="BG30" t="n">
        <v>2215319.7722905</v>
      </c>
      <c r="BH30" t="n">
        <v>5253899.1554263</v>
      </c>
      <c r="BI30" t="n">
        <v>0</v>
      </c>
      <c r="BJ30" t="n">
        <v>18892519.6957834</v>
      </c>
      <c r="BK30" t="n">
        <v>2859288.80090547</v>
      </c>
      <c r="BL30" t="n">
        <v>3030222.16367075</v>
      </c>
      <c r="BM30" t="n">
        <v>882080.081552874</v>
      </c>
      <c r="BN30" t="n">
        <v>20003021.1073504</v>
      </c>
      <c r="BO30" t="n">
        <v>65825429.9422002</v>
      </c>
      <c r="BP30" t="n">
        <v>5314470.35662742</v>
      </c>
      <c r="BQ30" t="n">
        <v>1862107.49045142</v>
      </c>
      <c r="BR30" t="n">
        <v>1607256.0462257</v>
      </c>
      <c r="BS30" t="n">
        <v>90098245.6653096</v>
      </c>
      <c r="BT30" t="n">
        <v>233293.16486045</v>
      </c>
      <c r="BU30" t="n">
        <v>5972251148.97568</v>
      </c>
      <c r="BV30" t="n">
        <v>0</v>
      </c>
      <c r="BW30" t="n">
        <v>0</v>
      </c>
      <c r="BX30" t="n">
        <v>0</v>
      </c>
      <c r="BY30" t="n">
        <v>0</v>
      </c>
      <c r="BZ30" t="n">
        <v>-14491056.7089322</v>
      </c>
      <c r="CA30" t="n">
        <v>70283098.3647557</v>
      </c>
      <c r="CB30" t="n">
        <v>-6301410614.80356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126</v>
      </c>
      <c r="B31" t="n">
        <v>9708533.89799832</v>
      </c>
      <c r="C31" t="n">
        <v>0</v>
      </c>
      <c r="D31" t="n">
        <v>36937.3460912064</v>
      </c>
      <c r="E31" t="n">
        <v>2060717.32821071</v>
      </c>
      <c r="F31" t="n">
        <v>90089.971425197</v>
      </c>
      <c r="G31" t="n">
        <v>445924.108621922</v>
      </c>
      <c r="H31" t="n">
        <v>45103826.2562951</v>
      </c>
      <c r="I31" t="n">
        <v>7463910.10634467</v>
      </c>
      <c r="J31" t="n">
        <v>23984027.3646974</v>
      </c>
      <c r="K31" t="n">
        <v>20581180.0803024</v>
      </c>
      <c r="L31" t="n">
        <v>56696696.8160928</v>
      </c>
      <c r="M31" t="n">
        <v>72078794.9238579</v>
      </c>
      <c r="N31" t="n">
        <v>6667290.34535901</v>
      </c>
      <c r="O31" t="n">
        <v>32406171.5340848</v>
      </c>
      <c r="P31" t="n">
        <v>67503826.6971132</v>
      </c>
      <c r="Q31" t="n">
        <v>1008066.71246547</v>
      </c>
      <c r="R31" t="n">
        <v>21059867.4050296</v>
      </c>
      <c r="S31" t="n">
        <v>52540119.6556607</v>
      </c>
      <c r="T31" t="n">
        <v>557769635.459551</v>
      </c>
      <c r="U31" t="n">
        <v>2480547.57856569</v>
      </c>
      <c r="V31" t="n">
        <v>284308.976223963</v>
      </c>
      <c r="W31" t="n">
        <v>789261494.313468</v>
      </c>
      <c r="X31" t="n">
        <v>291036472.603455</v>
      </c>
      <c r="Y31" t="n">
        <v>9931872.0100483</v>
      </c>
      <c r="Z31" t="n">
        <v>168667796.593311</v>
      </c>
      <c r="AA31" t="n">
        <v>153058989.418315</v>
      </c>
      <c r="AB31" t="n">
        <v>185552992.595354</v>
      </c>
      <c r="AC31" t="n">
        <v>2814640.00943898</v>
      </c>
      <c r="AD31" t="n">
        <v>25792510.7168061</v>
      </c>
      <c r="AE31" t="n">
        <v>9140655.01524504</v>
      </c>
      <c r="AF31" t="n">
        <v>22344217.4846172</v>
      </c>
      <c r="AG31" t="n">
        <v>1296462.84366066</v>
      </c>
      <c r="AH31" t="n">
        <v>2933877.95795787</v>
      </c>
      <c r="AI31" t="n">
        <v>38165.6337212954</v>
      </c>
      <c r="AJ31" t="n">
        <v>4831651.1038163</v>
      </c>
      <c r="AK31" t="n">
        <v>35706551.8311214</v>
      </c>
      <c r="AL31" t="n">
        <v>829270.253430526</v>
      </c>
      <c r="AM31" t="n">
        <v>43038794.4119726</v>
      </c>
      <c r="AN31" t="n">
        <v>5105577.88642732</v>
      </c>
      <c r="AO31" t="n">
        <v>19489796.0905946</v>
      </c>
      <c r="AP31" t="n">
        <v>528959.845277007</v>
      </c>
      <c r="AQ31" t="n">
        <v>4154471.38729718</v>
      </c>
      <c r="AR31" t="n">
        <v>3479953.01234052</v>
      </c>
      <c r="AS31" t="n">
        <v>17164841.2874446</v>
      </c>
      <c r="AT31" t="n">
        <v>8951507.94833626</v>
      </c>
      <c r="AU31" t="n">
        <v>36401852.1733564</v>
      </c>
      <c r="AV31" t="n">
        <v>57203.8067678542</v>
      </c>
      <c r="AW31" t="n">
        <v>0</v>
      </c>
      <c r="AX31" t="n">
        <v>10532419.2651375</v>
      </c>
      <c r="AY31" t="n">
        <v>15000495.3885734</v>
      </c>
      <c r="AZ31" t="n">
        <v>10138667.3157587</v>
      </c>
      <c r="BA31" t="n">
        <v>8908005.45884256</v>
      </c>
      <c r="BB31" t="n">
        <v>54439177.3219259</v>
      </c>
      <c r="BC31" t="n">
        <v>20420760.0546206</v>
      </c>
      <c r="BD31" t="n">
        <v>110839723.898021</v>
      </c>
      <c r="BE31" t="n">
        <v>6205843.05171775</v>
      </c>
      <c r="BF31" t="n">
        <v>6301338.95401161</v>
      </c>
      <c r="BG31" t="n">
        <v>20375287.6594215</v>
      </c>
      <c r="BH31" t="n">
        <v>36186538.7517334</v>
      </c>
      <c r="BI31" t="n">
        <v>16807088.4598109</v>
      </c>
      <c r="BJ31" t="n">
        <v>20675046.1225063</v>
      </c>
      <c r="BK31" t="n">
        <v>1317883.17656646</v>
      </c>
      <c r="BL31" t="n">
        <v>4227452.7693819</v>
      </c>
      <c r="BM31" t="n">
        <v>50454551.6554359</v>
      </c>
      <c r="BN31" t="n">
        <v>93605651.3398846</v>
      </c>
      <c r="BO31" t="n">
        <v>19449700.5663751</v>
      </c>
      <c r="BP31" t="n">
        <v>2375362.77571949</v>
      </c>
      <c r="BQ31" t="n">
        <v>24564468.4642156</v>
      </c>
      <c r="BR31" t="n">
        <v>1957967.01898426</v>
      </c>
      <c r="BS31" t="n">
        <v>212238439.805056</v>
      </c>
      <c r="BT31" t="n">
        <v>401219.706435533</v>
      </c>
      <c r="BU31" t="n">
        <v>417018587.127197</v>
      </c>
      <c r="BV31" t="n">
        <v>0</v>
      </c>
      <c r="BW31" t="n">
        <v>0</v>
      </c>
      <c r="BX31" t="n">
        <v>0</v>
      </c>
      <c r="BY31" t="n">
        <v>0</v>
      </c>
      <c r="BZ31" t="n">
        <v>27460819.6532434</v>
      </c>
      <c r="CA31" t="n">
        <v>635099492.497856</v>
      </c>
      <c r="CB31" t="n">
        <v>-1042807053.43453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127</v>
      </c>
      <c r="B32" t="n">
        <v>379758.948983141</v>
      </c>
      <c r="C32" t="n">
        <v>0</v>
      </c>
      <c r="D32" t="n">
        <v>5697.775466156</v>
      </c>
      <c r="E32" t="n">
        <v>45218.2696636341</v>
      </c>
      <c r="F32" t="n">
        <v>0</v>
      </c>
      <c r="G32" t="n">
        <v>304297.6265015</v>
      </c>
      <c r="H32" t="n">
        <v>1074129.76780969</v>
      </c>
      <c r="I32" t="n">
        <v>55448.6400823852</v>
      </c>
      <c r="J32" t="n">
        <v>0</v>
      </c>
      <c r="K32" t="n">
        <v>0</v>
      </c>
      <c r="L32" t="n">
        <v>620125.738585862</v>
      </c>
      <c r="M32" t="n">
        <v>284497.549035979</v>
      </c>
      <c r="N32" t="n">
        <v>0</v>
      </c>
      <c r="O32" t="n">
        <v>101013.912805514</v>
      </c>
      <c r="P32" t="n">
        <v>107530.477788903</v>
      </c>
      <c r="Q32" t="n">
        <v>0</v>
      </c>
      <c r="R32" t="n">
        <v>0</v>
      </c>
      <c r="S32" t="n">
        <v>0</v>
      </c>
      <c r="T32" t="n">
        <v>2006103.24560528</v>
      </c>
      <c r="U32" t="n">
        <v>0</v>
      </c>
      <c r="V32" t="n">
        <v>37373.9384051878</v>
      </c>
      <c r="W32" t="n">
        <v>0</v>
      </c>
      <c r="X32" t="n">
        <v>58581886.0552771</v>
      </c>
      <c r="Y32" t="n">
        <v>87247.9460812283</v>
      </c>
      <c r="Z32" t="n">
        <v>6895867.18163391</v>
      </c>
      <c r="AA32" t="n">
        <v>0</v>
      </c>
      <c r="AB32" t="n">
        <v>433491757.723071</v>
      </c>
      <c r="AC32" t="n">
        <v>5732214.44474045</v>
      </c>
      <c r="AD32" t="n">
        <v>5998069.4929858</v>
      </c>
      <c r="AE32" t="n">
        <v>6705803.24034133</v>
      </c>
      <c r="AF32" t="n">
        <v>143733494.163818</v>
      </c>
      <c r="AG32" t="n">
        <v>449284.301759658</v>
      </c>
      <c r="AH32" t="n">
        <v>536449.506084707</v>
      </c>
      <c r="AI32" t="n">
        <v>0</v>
      </c>
      <c r="AJ32" t="n">
        <v>10228228.6367371</v>
      </c>
      <c r="AK32" t="n">
        <v>3872069.09349699</v>
      </c>
      <c r="AL32" t="n">
        <v>195882.935909011</v>
      </c>
      <c r="AM32" t="n">
        <v>9387582.62774299</v>
      </c>
      <c r="AN32" t="n">
        <v>566473.155890082</v>
      </c>
      <c r="AO32" t="n">
        <v>68017865.3972201</v>
      </c>
      <c r="AP32" t="n">
        <v>10421509.7824652</v>
      </c>
      <c r="AQ32" t="n">
        <v>12230189.1511608</v>
      </c>
      <c r="AR32" t="n">
        <v>100635787.482558</v>
      </c>
      <c r="AS32" t="n">
        <v>33670677.0695965</v>
      </c>
      <c r="AT32" t="n">
        <v>55502398.5129973</v>
      </c>
      <c r="AU32" t="n">
        <v>236564579.613573</v>
      </c>
      <c r="AV32" t="n">
        <v>0</v>
      </c>
      <c r="AW32" t="n">
        <v>0</v>
      </c>
      <c r="AX32" t="n">
        <v>2596694.92018878</v>
      </c>
      <c r="AY32" t="n">
        <v>13353096.4877184</v>
      </c>
      <c r="AZ32" t="n">
        <v>33526298.2830542</v>
      </c>
      <c r="BA32" t="n">
        <v>9537696.5821448</v>
      </c>
      <c r="BB32" t="n">
        <v>201263122.649959</v>
      </c>
      <c r="BC32" t="n">
        <v>30223669.99804</v>
      </c>
      <c r="BD32" t="n">
        <v>120621094.911561</v>
      </c>
      <c r="BE32" t="n">
        <v>497547.660840625</v>
      </c>
      <c r="BF32" t="n">
        <v>27686035.3631773</v>
      </c>
      <c r="BG32" t="n">
        <v>45485074.3221224</v>
      </c>
      <c r="BH32" t="n">
        <v>147158488.249989</v>
      </c>
      <c r="BI32" t="n">
        <v>4563806.04065527</v>
      </c>
      <c r="BJ32" t="n">
        <v>53158905.4158613</v>
      </c>
      <c r="BK32" t="n">
        <v>22227559.6805716</v>
      </c>
      <c r="BL32" t="n">
        <v>9131767.1776434</v>
      </c>
      <c r="BM32" t="n">
        <v>23074159.3094245</v>
      </c>
      <c r="BN32" t="n">
        <v>32079307.9511062</v>
      </c>
      <c r="BO32" t="n">
        <v>44256567.7598824</v>
      </c>
      <c r="BP32" t="n">
        <v>6026721.08057893</v>
      </c>
      <c r="BQ32" t="n">
        <v>30184833.1131812</v>
      </c>
      <c r="BR32" t="n">
        <v>1165174.45184494</v>
      </c>
      <c r="BS32" t="n">
        <v>255099740.484242</v>
      </c>
      <c r="BT32" t="n">
        <v>7768951.35852565</v>
      </c>
      <c r="BU32" t="n">
        <v>94574279.8167019</v>
      </c>
      <c r="BV32" t="n">
        <v>0</v>
      </c>
      <c r="BW32" t="n">
        <v>0</v>
      </c>
      <c r="BX32" t="n">
        <v>0</v>
      </c>
      <c r="BY32" t="n">
        <v>0</v>
      </c>
      <c r="BZ32" t="n">
        <v>7788831.29203761</v>
      </c>
      <c r="CA32" t="n">
        <v>110479371.160651</v>
      </c>
      <c r="CB32" t="n">
        <v>-121072871.976956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128</v>
      </c>
      <c r="B33" t="n">
        <v>277637610.852172</v>
      </c>
      <c r="C33" t="n">
        <v>1856027.23897487</v>
      </c>
      <c r="D33" t="n">
        <v>4335435.46677088</v>
      </c>
      <c r="E33" t="n">
        <v>81446219.1062349</v>
      </c>
      <c r="F33" t="n">
        <v>5797766.53510047</v>
      </c>
      <c r="G33" t="n">
        <v>630666919.724981</v>
      </c>
      <c r="H33" t="n">
        <v>1150128298.97707</v>
      </c>
      <c r="I33" t="n">
        <v>12066188.0257142</v>
      </c>
      <c r="J33" t="n">
        <v>17744737.1091656</v>
      </c>
      <c r="K33" t="n">
        <v>45481521.1283009</v>
      </c>
      <c r="L33" t="n">
        <v>68629431.7649399</v>
      </c>
      <c r="M33" t="n">
        <v>64428867.0841878</v>
      </c>
      <c r="N33" t="n">
        <v>3453643.80665054</v>
      </c>
      <c r="O33" t="n">
        <v>31817381.1022792</v>
      </c>
      <c r="P33" t="n">
        <v>12419946.8318986</v>
      </c>
      <c r="Q33" t="n">
        <v>718178.106494574</v>
      </c>
      <c r="R33" t="n">
        <v>8216480.47063008</v>
      </c>
      <c r="S33" t="n">
        <v>46780227.4634537</v>
      </c>
      <c r="T33" t="n">
        <v>117194788.139124</v>
      </c>
      <c r="U33" t="n">
        <v>896925.427945759</v>
      </c>
      <c r="V33" t="n">
        <v>147892.426180144</v>
      </c>
      <c r="W33" t="n">
        <v>45216591.6399557</v>
      </c>
      <c r="X33" t="n">
        <v>27574304.6647043</v>
      </c>
      <c r="Y33" t="n">
        <v>1009311102.72229</v>
      </c>
      <c r="Z33" t="n">
        <v>515095328.290024</v>
      </c>
      <c r="AA33" t="n">
        <v>48462596.9237255</v>
      </c>
      <c r="AB33" t="n">
        <v>200755702.194632</v>
      </c>
      <c r="AC33" t="n">
        <v>25857365.0350901</v>
      </c>
      <c r="AD33" t="n">
        <v>17889986.2210172</v>
      </c>
      <c r="AE33" t="n">
        <v>10916718.423239</v>
      </c>
      <c r="AF33" t="n">
        <v>50363687.8467356</v>
      </c>
      <c r="AG33" t="n">
        <v>1736831180.41005</v>
      </c>
      <c r="AH33" t="n">
        <v>285889852.198472</v>
      </c>
      <c r="AI33" t="n">
        <v>87102288.6226625</v>
      </c>
      <c r="AJ33" t="n">
        <v>825186914.130092</v>
      </c>
      <c r="AK33" t="n">
        <v>92239978.8190043</v>
      </c>
      <c r="AL33" t="n">
        <v>4572155.2933825</v>
      </c>
      <c r="AM33" t="n">
        <v>492480773.190448</v>
      </c>
      <c r="AN33" t="n">
        <v>159068242.169112</v>
      </c>
      <c r="AO33" t="n">
        <v>8290841.4874652</v>
      </c>
      <c r="AP33" t="n">
        <v>1499377.89013315</v>
      </c>
      <c r="AQ33" t="n">
        <v>15570188.852275</v>
      </c>
      <c r="AR33" t="n">
        <v>17507255.8737842</v>
      </c>
      <c r="AS33" t="n">
        <v>159613410.874493</v>
      </c>
      <c r="AT33" t="n">
        <v>152940135.333023</v>
      </c>
      <c r="AU33" t="n">
        <v>5179873.10894018</v>
      </c>
      <c r="AV33" t="n">
        <v>50093888.9712937</v>
      </c>
      <c r="AW33" t="n">
        <v>1235374.27320603</v>
      </c>
      <c r="AX33" t="n">
        <v>120480027.571066</v>
      </c>
      <c r="AY33" t="n">
        <v>60777342.5428706</v>
      </c>
      <c r="AZ33" t="n">
        <v>3136299.93334355</v>
      </c>
      <c r="BA33" t="n">
        <v>39510346.4581674</v>
      </c>
      <c r="BB33" t="n">
        <v>79777777.6874589</v>
      </c>
      <c r="BC33" t="n">
        <v>29477716.3976074</v>
      </c>
      <c r="BD33" t="n">
        <v>219349402.658341</v>
      </c>
      <c r="BE33" t="n">
        <v>50573058.5378476</v>
      </c>
      <c r="BF33" t="n">
        <v>54268878.4208427</v>
      </c>
      <c r="BG33" t="n">
        <v>26512898.7431371</v>
      </c>
      <c r="BH33" t="n">
        <v>59209368.2836985</v>
      </c>
      <c r="BI33" t="n">
        <v>31202749.8739758</v>
      </c>
      <c r="BJ33" t="n">
        <v>28444351.3353137</v>
      </c>
      <c r="BK33" t="n">
        <v>8120183.27544831</v>
      </c>
      <c r="BL33" t="n">
        <v>38548756.0533372</v>
      </c>
      <c r="BM33" t="n">
        <v>26519269.5247418</v>
      </c>
      <c r="BN33" t="n">
        <v>134870524.634628</v>
      </c>
      <c r="BO33" t="n">
        <v>94749406.6609107</v>
      </c>
      <c r="BP33" t="n">
        <v>145402132.035152</v>
      </c>
      <c r="BQ33" t="n">
        <v>23911277.9255405</v>
      </c>
      <c r="BR33" t="n">
        <v>36420709.5539806</v>
      </c>
      <c r="BS33" t="n">
        <v>2693503888.72463</v>
      </c>
      <c r="BT33" t="n">
        <v>440281508.288652</v>
      </c>
      <c r="BU33" t="n">
        <v>5308200562.94858</v>
      </c>
      <c r="BV33" t="n">
        <v>0</v>
      </c>
      <c r="BW33" t="n">
        <v>0</v>
      </c>
      <c r="BX33" t="n">
        <v>0</v>
      </c>
      <c r="BY33" t="n">
        <v>0</v>
      </c>
      <c r="BZ33" t="n">
        <v>184379562.97379</v>
      </c>
      <c r="CA33" t="n">
        <v>2373544461.0162</v>
      </c>
      <c r="CB33" t="n">
        <v>-2880602879.80323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</row>
    <row r="34">
      <c r="A34" t="s">
        <v>129</v>
      </c>
      <c r="B34" t="n">
        <v>475148866.083855</v>
      </c>
      <c r="C34" t="n">
        <v>5890709.49433846</v>
      </c>
      <c r="D34" t="n">
        <v>3560994.34553551</v>
      </c>
      <c r="E34" t="n">
        <v>29095194.6038862</v>
      </c>
      <c r="F34" t="n">
        <v>2790444.42945287</v>
      </c>
      <c r="G34" t="n">
        <v>26771204.5670286</v>
      </c>
      <c r="H34" t="n">
        <v>253005312.043596</v>
      </c>
      <c r="I34" t="n">
        <v>30787015.4782994</v>
      </c>
      <c r="J34" t="n">
        <v>76792060.6517416</v>
      </c>
      <c r="K34" t="n">
        <v>26532159.0328345</v>
      </c>
      <c r="L34" t="n">
        <v>231368299.145434</v>
      </c>
      <c r="M34" t="n">
        <v>121655851.607662</v>
      </c>
      <c r="N34" t="n">
        <v>33007913.6487888</v>
      </c>
      <c r="O34" t="n">
        <v>78079305.4728311</v>
      </c>
      <c r="P34" t="n">
        <v>206546657.107989</v>
      </c>
      <c r="Q34" t="n">
        <v>3267091.10261367</v>
      </c>
      <c r="R34" t="n">
        <v>38089985.55196</v>
      </c>
      <c r="S34" t="n">
        <v>226827268.859422</v>
      </c>
      <c r="T34" t="n">
        <v>232136496.639544</v>
      </c>
      <c r="U34" t="n">
        <v>96678722.4764847</v>
      </c>
      <c r="V34" t="n">
        <v>2029221.29491022</v>
      </c>
      <c r="W34" t="n">
        <v>173433423.114084</v>
      </c>
      <c r="X34" t="n">
        <v>109941841.807152</v>
      </c>
      <c r="Y34" t="n">
        <v>1168105796.64168</v>
      </c>
      <c r="Z34" t="n">
        <v>7989366007.81037</v>
      </c>
      <c r="AA34" t="n">
        <v>2822538449.02571</v>
      </c>
      <c r="AB34" t="n">
        <v>60358356.1482711</v>
      </c>
      <c r="AC34" t="n">
        <v>3143658.680311</v>
      </c>
      <c r="AD34" t="n">
        <v>2227933.24768197</v>
      </c>
      <c r="AE34" t="n">
        <v>1313595.72757387</v>
      </c>
      <c r="AF34" t="n">
        <v>14388731.3847788</v>
      </c>
      <c r="AG34" t="n">
        <v>68725.2802819814</v>
      </c>
      <c r="AH34" t="n">
        <v>8482164.39663077</v>
      </c>
      <c r="AI34" t="n">
        <v>82630.178691894</v>
      </c>
      <c r="AJ34" t="n">
        <v>7643698.94538206</v>
      </c>
      <c r="AK34" t="n">
        <v>549194.171060799</v>
      </c>
      <c r="AL34" t="n">
        <v>57270.8224191371</v>
      </c>
      <c r="AM34" t="n">
        <v>1893875.16713191</v>
      </c>
      <c r="AN34" t="n">
        <v>10925608.0287133</v>
      </c>
      <c r="AO34" t="n">
        <v>5002461.10212767</v>
      </c>
      <c r="AP34" t="n">
        <v>3575987.80348342</v>
      </c>
      <c r="AQ34" t="n">
        <v>15863733.6430097</v>
      </c>
      <c r="AR34" t="n">
        <v>15599650.5248005</v>
      </c>
      <c r="AS34" t="n">
        <v>1358668.54879505</v>
      </c>
      <c r="AT34" t="n">
        <v>2196111.70744544</v>
      </c>
      <c r="AU34" t="n">
        <v>3244592.65057872</v>
      </c>
      <c r="AV34" t="n">
        <v>0</v>
      </c>
      <c r="AW34" t="n">
        <v>8873833.5049271</v>
      </c>
      <c r="AX34" t="n">
        <v>175156955.585153</v>
      </c>
      <c r="AY34" t="n">
        <v>2972189.97061224</v>
      </c>
      <c r="AZ34" t="n">
        <v>4146610.88680535</v>
      </c>
      <c r="BA34" t="n">
        <v>6175344.15142498</v>
      </c>
      <c r="BB34" t="n">
        <v>815205272.635331</v>
      </c>
      <c r="BC34" t="n">
        <v>38409482.150482</v>
      </c>
      <c r="BD34" t="n">
        <v>279817075.888033</v>
      </c>
      <c r="BE34" t="n">
        <v>41555759.9802506</v>
      </c>
      <c r="BF34" t="n">
        <v>22334253.5590562</v>
      </c>
      <c r="BG34" t="n">
        <v>774539492.481404</v>
      </c>
      <c r="BH34" t="n">
        <v>394873832.180845</v>
      </c>
      <c r="BI34" t="n">
        <v>86682869.889309</v>
      </c>
      <c r="BJ34" t="n">
        <v>12173196.9069087</v>
      </c>
      <c r="BK34" t="n">
        <v>8293250.77358763</v>
      </c>
      <c r="BL34" t="n">
        <v>26652660.8079913</v>
      </c>
      <c r="BM34" t="n">
        <v>1850018.63935978</v>
      </c>
      <c r="BN34" t="n">
        <v>31557470.6309525</v>
      </c>
      <c r="BO34" t="n">
        <v>148190477.121332</v>
      </c>
      <c r="BP34" t="n">
        <v>29668183.1824052</v>
      </c>
      <c r="BQ34" t="n">
        <v>40827832.5279756</v>
      </c>
      <c r="BR34" t="n">
        <v>1582114.27095643</v>
      </c>
      <c r="BS34" t="n">
        <v>736045373.148252</v>
      </c>
      <c r="BT34" t="n">
        <v>32177815.1542333</v>
      </c>
      <c r="BU34" t="n">
        <v>8233783838.32045</v>
      </c>
      <c r="BV34" t="n">
        <v>0</v>
      </c>
      <c r="BW34" t="n">
        <v>86093569.412719</v>
      </c>
      <c r="BX34" t="n">
        <v>0</v>
      </c>
      <c r="BY34" t="n">
        <v>0</v>
      </c>
      <c r="BZ34" t="n">
        <v>504834922.891844</v>
      </c>
      <c r="CA34" t="n">
        <v>7811728036.5802</v>
      </c>
      <c r="CB34" t="n">
        <v>-12859843280.5823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</row>
    <row r="35">
      <c r="A35" t="s">
        <v>130</v>
      </c>
      <c r="B35" t="n">
        <v>38997464.1260222</v>
      </c>
      <c r="C35" t="n">
        <v>254466.221847773</v>
      </c>
      <c r="D35" t="n">
        <v>53746.9210529187</v>
      </c>
      <c r="E35" t="n">
        <v>23934171.947082</v>
      </c>
      <c r="F35" t="n">
        <v>1695009.66594682</v>
      </c>
      <c r="G35" t="n">
        <v>610262.357127666</v>
      </c>
      <c r="H35" t="n">
        <v>584373432.939261</v>
      </c>
      <c r="I35" t="n">
        <v>11289378.5079811</v>
      </c>
      <c r="J35" t="n">
        <v>21509623.8376959</v>
      </c>
      <c r="K35" t="n">
        <v>11414078.147094</v>
      </c>
      <c r="L35" t="n">
        <v>92354022.8465977</v>
      </c>
      <c r="M35" t="n">
        <v>512681870.069655</v>
      </c>
      <c r="N35" t="n">
        <v>39841790.7523686</v>
      </c>
      <c r="O35" t="n">
        <v>74366127.9589839</v>
      </c>
      <c r="P35" t="n">
        <v>432008987.46943</v>
      </c>
      <c r="Q35" t="n">
        <v>8204701.20318342</v>
      </c>
      <c r="R35" t="n">
        <v>59604316.4703602</v>
      </c>
      <c r="S35" t="n">
        <v>160530639.934648</v>
      </c>
      <c r="T35" t="n">
        <v>521860930.785069</v>
      </c>
      <c r="U35" t="n">
        <v>3126120.01294846</v>
      </c>
      <c r="V35" t="n">
        <v>1735139.47285417</v>
      </c>
      <c r="W35" t="n">
        <v>54254995.0538942</v>
      </c>
      <c r="X35" t="n">
        <v>94598354.8177691</v>
      </c>
      <c r="Y35" t="n">
        <v>20855455.53829</v>
      </c>
      <c r="Z35" t="n">
        <v>353729261.597945</v>
      </c>
      <c r="AA35" t="n">
        <v>843492850.318955</v>
      </c>
      <c r="AB35" t="n">
        <v>583124245.443497</v>
      </c>
      <c r="AC35" t="n">
        <v>22021735.9478015</v>
      </c>
      <c r="AD35" t="n">
        <v>39469723.4415096</v>
      </c>
      <c r="AE35" t="n">
        <v>12606722.1013697</v>
      </c>
      <c r="AF35" t="n">
        <v>76265895.918913</v>
      </c>
      <c r="AG35" t="n">
        <v>30913013.5498635</v>
      </c>
      <c r="AH35" t="n">
        <v>164440.244747774</v>
      </c>
      <c r="AI35" t="n">
        <v>0</v>
      </c>
      <c r="AJ35" t="n">
        <v>34233405.8985595</v>
      </c>
      <c r="AK35" t="n">
        <v>2000556.01835842</v>
      </c>
      <c r="AL35" t="n">
        <v>2480508.79153128</v>
      </c>
      <c r="AM35" t="n">
        <v>53822332.4173028</v>
      </c>
      <c r="AN35" t="n">
        <v>10200801.1733529</v>
      </c>
      <c r="AO35" t="n">
        <v>3713254.75783515</v>
      </c>
      <c r="AP35" t="n">
        <v>919310.291297941</v>
      </c>
      <c r="AQ35" t="n">
        <v>86001382.9150208</v>
      </c>
      <c r="AR35" t="n">
        <v>11752603.8549943</v>
      </c>
      <c r="AS35" t="n">
        <v>1147851.44846375</v>
      </c>
      <c r="AT35" t="n">
        <v>3601117.80985126</v>
      </c>
      <c r="AU35" t="n">
        <v>47835631.2939485</v>
      </c>
      <c r="AV35" t="n">
        <v>0</v>
      </c>
      <c r="AW35" t="n">
        <v>261363.469377743</v>
      </c>
      <c r="AX35" t="n">
        <v>8087408.87941342</v>
      </c>
      <c r="AY35" t="n">
        <v>47859475.7074166</v>
      </c>
      <c r="AZ35" t="n">
        <v>934498.874686718</v>
      </c>
      <c r="BA35" t="n">
        <v>41226390.1207944</v>
      </c>
      <c r="BB35" t="n">
        <v>188552764.318606</v>
      </c>
      <c r="BC35" t="n">
        <v>2498149.99120202</v>
      </c>
      <c r="BD35" t="n">
        <v>63313141.6009479</v>
      </c>
      <c r="BE35" t="n">
        <v>9671737.40655988</v>
      </c>
      <c r="BF35" t="n">
        <v>19528712.1389034</v>
      </c>
      <c r="BG35" t="n">
        <v>163162972.421411</v>
      </c>
      <c r="BH35" t="n">
        <v>137682202.65212</v>
      </c>
      <c r="BI35" t="n">
        <v>40681857.0277062</v>
      </c>
      <c r="BJ35" t="n">
        <v>32861205.1348197</v>
      </c>
      <c r="BK35" t="n">
        <v>1146056.33817072</v>
      </c>
      <c r="BL35" t="n">
        <v>8272571.34165396</v>
      </c>
      <c r="BM35" t="n">
        <v>3112051.98382802</v>
      </c>
      <c r="BN35" t="n">
        <v>162693063.370054</v>
      </c>
      <c r="BO35" t="n">
        <v>85556028.5927114</v>
      </c>
      <c r="BP35" t="n">
        <v>28194298.3443822</v>
      </c>
      <c r="BQ35" t="n">
        <v>14625346.8220755</v>
      </c>
      <c r="BR35" t="n">
        <v>596713.142766988</v>
      </c>
      <c r="BS35" t="n">
        <v>278401107.349056</v>
      </c>
      <c r="BT35" t="n">
        <v>46607452.6333822</v>
      </c>
      <c r="BU35" t="n">
        <v>1123695940.21288</v>
      </c>
      <c r="BV35" t="n">
        <v>0</v>
      </c>
      <c r="BW35" t="n">
        <v>15016157.008167</v>
      </c>
      <c r="BX35" t="n">
        <v>0</v>
      </c>
      <c r="BY35" t="n">
        <v>746685.262519798</v>
      </c>
      <c r="BZ35" t="n">
        <v>109369282.289989</v>
      </c>
      <c r="CA35" t="n">
        <v>1426049319.96302</v>
      </c>
      <c r="CB35" t="n">
        <v>-2607023070.2509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112172.448821725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131</v>
      </c>
      <c r="B36" t="n">
        <v>422025618.658933</v>
      </c>
      <c r="C36" t="n">
        <v>3951003.01819724</v>
      </c>
      <c r="D36" t="n">
        <v>2214059.81295138</v>
      </c>
      <c r="E36" t="n">
        <v>33003550.9586793</v>
      </c>
      <c r="F36" t="n">
        <v>2737956.90854683</v>
      </c>
      <c r="G36" t="n">
        <v>88368231.069964</v>
      </c>
      <c r="H36" t="n">
        <v>880553927.161607</v>
      </c>
      <c r="I36" t="n">
        <v>46114750.1590419</v>
      </c>
      <c r="J36" t="n">
        <v>63882448.4137043</v>
      </c>
      <c r="K36" t="n">
        <v>223880025.01037</v>
      </c>
      <c r="L36" t="n">
        <v>361381667.471928</v>
      </c>
      <c r="M36" t="n">
        <v>680908292.806652</v>
      </c>
      <c r="N36" t="n">
        <v>87607834.9522381</v>
      </c>
      <c r="O36" t="n">
        <v>169033576.20868</v>
      </c>
      <c r="P36" t="n">
        <v>615123120.21269</v>
      </c>
      <c r="Q36" t="n">
        <v>16730987.8503384</v>
      </c>
      <c r="R36" t="n">
        <v>58489599.3182439</v>
      </c>
      <c r="S36" t="n">
        <v>154332775.55767</v>
      </c>
      <c r="T36" t="n">
        <v>1118684960.66872</v>
      </c>
      <c r="U36" t="n">
        <v>13303261.158888</v>
      </c>
      <c r="V36" t="n">
        <v>12354276.665471</v>
      </c>
      <c r="W36" t="n">
        <v>132963905.948063</v>
      </c>
      <c r="X36" t="n">
        <v>74716866.2318343</v>
      </c>
      <c r="Y36" t="n">
        <v>375321339.544854</v>
      </c>
      <c r="Z36" t="n">
        <v>963874829.787332</v>
      </c>
      <c r="AA36" t="n">
        <v>401622473.104669</v>
      </c>
      <c r="AB36" t="n">
        <v>896098982.4995</v>
      </c>
      <c r="AC36" t="n">
        <v>43576406.8304268</v>
      </c>
      <c r="AD36" t="n">
        <v>35348534.8635305</v>
      </c>
      <c r="AE36" t="n">
        <v>38790115.9294853</v>
      </c>
      <c r="AF36" t="n">
        <v>172987265.014324</v>
      </c>
      <c r="AG36" t="n">
        <v>78936061.1535623</v>
      </c>
      <c r="AH36" t="n">
        <v>46593469.5012385</v>
      </c>
      <c r="AI36" t="n">
        <v>11869349.365236</v>
      </c>
      <c r="AJ36" t="n">
        <v>149341829.323885</v>
      </c>
      <c r="AK36" t="n">
        <v>18275685.4783807</v>
      </c>
      <c r="AL36" t="n">
        <v>4136753.57807522</v>
      </c>
      <c r="AM36" t="n">
        <v>87403124.7987283</v>
      </c>
      <c r="AN36" t="n">
        <v>37420595.5916139</v>
      </c>
      <c r="AO36" t="n">
        <v>71533956.756841</v>
      </c>
      <c r="AP36" t="n">
        <v>2045542.07866096</v>
      </c>
      <c r="AQ36" t="n">
        <v>123128452.175188</v>
      </c>
      <c r="AR36" t="n">
        <v>35370730.4352852</v>
      </c>
      <c r="AS36" t="n">
        <v>27828513.2956258</v>
      </c>
      <c r="AT36" t="n">
        <v>29367465.7998662</v>
      </c>
      <c r="AU36" t="n">
        <v>25860831.9944084</v>
      </c>
      <c r="AV36" t="n">
        <v>15659992.0280719</v>
      </c>
      <c r="AW36" t="n">
        <v>7862768.47349351</v>
      </c>
      <c r="AX36" t="n">
        <v>45084974.2043917</v>
      </c>
      <c r="AY36" t="n">
        <v>178280575.16151</v>
      </c>
      <c r="AZ36" t="n">
        <v>11537212.7626282</v>
      </c>
      <c r="BA36" t="n">
        <v>48032618.5862932</v>
      </c>
      <c r="BB36" t="n">
        <v>260293388.640528</v>
      </c>
      <c r="BC36" t="n">
        <v>46277888.0851047</v>
      </c>
      <c r="BD36" t="n">
        <v>180760424.432672</v>
      </c>
      <c r="BE36" t="n">
        <v>39244054.7633837</v>
      </c>
      <c r="BF36" t="n">
        <v>44849430.9589866</v>
      </c>
      <c r="BG36" t="n">
        <v>264578345.925437</v>
      </c>
      <c r="BH36" t="n">
        <v>260249416.861489</v>
      </c>
      <c r="BI36" t="n">
        <v>48202464.8632626</v>
      </c>
      <c r="BJ36" t="n">
        <v>61662489.3767089</v>
      </c>
      <c r="BK36" t="n">
        <v>8231387.94512324</v>
      </c>
      <c r="BL36" t="n">
        <v>59105241.4628177</v>
      </c>
      <c r="BM36" t="n">
        <v>39101923.4209656</v>
      </c>
      <c r="BN36" t="n">
        <v>319243606.061848</v>
      </c>
      <c r="BO36" t="n">
        <v>154774401.048154</v>
      </c>
      <c r="BP36" t="n">
        <v>59424653.2786446</v>
      </c>
      <c r="BQ36" t="n">
        <v>32948017.3799831</v>
      </c>
      <c r="BR36" t="n">
        <v>13350189.3017478</v>
      </c>
      <c r="BS36" t="n">
        <v>452599140.310174</v>
      </c>
      <c r="BT36" t="n">
        <v>91808477.8627938</v>
      </c>
      <c r="BU36" t="n">
        <v>6345515082.73722</v>
      </c>
      <c r="BV36" t="n">
        <v>1371522.48005768</v>
      </c>
      <c r="BW36" t="n">
        <v>3426061784.35743</v>
      </c>
      <c r="BX36" t="n">
        <v>395496249.275757</v>
      </c>
      <c r="BY36" t="n">
        <v>43224516.4489784</v>
      </c>
      <c r="BZ36" t="n">
        <v>487154234.743563</v>
      </c>
      <c r="CA36" t="n">
        <v>11011004476.82</v>
      </c>
      <c r="CB36" t="n">
        <v>4101488949.55692</v>
      </c>
      <c r="CC36" t="n">
        <v>0</v>
      </c>
      <c r="CD36" t="n">
        <v>0</v>
      </c>
      <c r="CE36" t="n">
        <v>68111528.8613318</v>
      </c>
      <c r="CF36" t="n">
        <v>6023210.83923902</v>
      </c>
      <c r="CG36" t="n">
        <v>0</v>
      </c>
      <c r="CH36" t="n">
        <v>0</v>
      </c>
      <c r="CI36" t="n">
        <v>108017315.291496</v>
      </c>
      <c r="CJ36" t="n">
        <v>0</v>
      </c>
      <c r="CK36" t="n">
        <v>0</v>
      </c>
      <c r="CL36" t="n">
        <v>0</v>
      </c>
      <c r="CM36" t="n">
        <v>111467493.879195</v>
      </c>
      <c r="CN36" t="n">
        <v>25324359.1223158</v>
      </c>
    </row>
    <row r="37">
      <c r="A37" t="s">
        <v>132</v>
      </c>
      <c r="B37" t="n">
        <v>460358.802885167</v>
      </c>
      <c r="C37" t="n">
        <v>11999.519071837</v>
      </c>
      <c r="D37" t="n">
        <v>160836.024782956</v>
      </c>
      <c r="E37" t="n">
        <v>4467452.91072203</v>
      </c>
      <c r="F37" t="n">
        <v>404770.5694981</v>
      </c>
      <c r="G37" t="n">
        <v>628859.214220934</v>
      </c>
      <c r="H37" t="n">
        <v>69419163.25886</v>
      </c>
      <c r="I37" t="n">
        <v>4789213.55698921</v>
      </c>
      <c r="J37" t="n">
        <v>4777544.73931746</v>
      </c>
      <c r="K37" t="n">
        <v>3197734.35047209</v>
      </c>
      <c r="L37" t="n">
        <v>22767109.0005428</v>
      </c>
      <c r="M37" t="n">
        <v>153298791.032916</v>
      </c>
      <c r="N37" t="n">
        <v>3361046.81346999</v>
      </c>
      <c r="O37" t="n">
        <v>183679.584503843</v>
      </c>
      <c r="P37" t="n">
        <v>105487917.530017</v>
      </c>
      <c r="Q37" t="n">
        <v>2382608.17160005</v>
      </c>
      <c r="R37" t="n">
        <v>3651227.62180236</v>
      </c>
      <c r="S37" t="n">
        <v>14381534.3199577</v>
      </c>
      <c r="T37" t="n">
        <v>62577692.1204343</v>
      </c>
      <c r="U37" t="n">
        <v>248608.949124035</v>
      </c>
      <c r="V37" t="n">
        <v>0</v>
      </c>
      <c r="W37" t="n">
        <v>10491494.9938432</v>
      </c>
      <c r="X37" t="n">
        <v>2226180.38154121</v>
      </c>
      <c r="Y37" t="n">
        <v>158648.11133362</v>
      </c>
      <c r="Z37" t="n">
        <v>26508864.2994861</v>
      </c>
      <c r="AA37" t="n">
        <v>10347837.8792506</v>
      </c>
      <c r="AB37" t="n">
        <v>5321107.7798136</v>
      </c>
      <c r="AC37" t="n">
        <v>39318622.1853209</v>
      </c>
      <c r="AD37" t="n">
        <v>23881669.0995883</v>
      </c>
      <c r="AE37" t="n">
        <v>5472667.15657358</v>
      </c>
      <c r="AF37" t="n">
        <v>42390038.2678542</v>
      </c>
      <c r="AG37" t="n">
        <v>0</v>
      </c>
      <c r="AH37" t="n">
        <v>520244.229853202</v>
      </c>
      <c r="AI37" t="n">
        <v>0</v>
      </c>
      <c r="AJ37" t="n">
        <v>66848817.1823766</v>
      </c>
      <c r="AK37" t="n">
        <v>251457.597173145</v>
      </c>
      <c r="AL37" t="n">
        <v>22778.7915392326</v>
      </c>
      <c r="AM37" t="n">
        <v>583795.212932166</v>
      </c>
      <c r="AN37" t="n">
        <v>2475545.86343192</v>
      </c>
      <c r="AO37" t="n">
        <v>1188252.68767866</v>
      </c>
      <c r="AP37" t="n">
        <v>608037.72093285</v>
      </c>
      <c r="AQ37" t="n">
        <v>2136835.41048191</v>
      </c>
      <c r="AR37" t="n">
        <v>355250.429156079</v>
      </c>
      <c r="AS37" t="n">
        <v>1696554.87380572</v>
      </c>
      <c r="AT37" t="n">
        <v>372791.45611583</v>
      </c>
      <c r="AU37" t="n">
        <v>1049439.5760512</v>
      </c>
      <c r="AV37" t="n">
        <v>0</v>
      </c>
      <c r="AW37" t="n">
        <v>3418642.25481825</v>
      </c>
      <c r="AX37" t="n">
        <v>6036772.26173443</v>
      </c>
      <c r="AY37" t="n">
        <v>22993768.0937966</v>
      </c>
      <c r="AZ37" t="n">
        <v>0</v>
      </c>
      <c r="BA37" t="n">
        <v>923745.397881465</v>
      </c>
      <c r="BB37" t="n">
        <v>22044886.344588</v>
      </c>
      <c r="BC37" t="n">
        <v>0</v>
      </c>
      <c r="BD37" t="n">
        <v>125327375.541922</v>
      </c>
      <c r="BE37" t="n">
        <v>2418206.9753417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192414.720765218</v>
      </c>
      <c r="BL37" t="n">
        <v>984357.241193702</v>
      </c>
      <c r="BM37" t="n">
        <v>1082494.70135122</v>
      </c>
      <c r="BN37" t="n">
        <v>5240902.97073332</v>
      </c>
      <c r="BO37" t="n">
        <v>134721441.246882</v>
      </c>
      <c r="BP37" t="n">
        <v>0</v>
      </c>
      <c r="BQ37" t="n">
        <v>0</v>
      </c>
      <c r="BR37" t="n">
        <v>0</v>
      </c>
      <c r="BS37" t="n">
        <v>0</v>
      </c>
      <c r="BT37" t="n">
        <v>71659.6319908303</v>
      </c>
      <c r="BU37" t="n">
        <v>9322632244.91279</v>
      </c>
      <c r="BV37" t="n">
        <v>0</v>
      </c>
      <c r="BW37" t="n">
        <v>976165653.105163</v>
      </c>
      <c r="BX37" t="n">
        <v>0</v>
      </c>
      <c r="BY37" t="n">
        <v>213466.878353948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133</v>
      </c>
      <c r="B38" t="n">
        <v>1770610.78032757</v>
      </c>
      <c r="C38" t="n">
        <v>0</v>
      </c>
      <c r="D38" t="n">
        <v>986.72407842304</v>
      </c>
      <c r="E38" t="n">
        <v>0</v>
      </c>
      <c r="F38" t="n">
        <v>0</v>
      </c>
      <c r="G38" t="n">
        <v>3638399.73942112</v>
      </c>
      <c r="H38" t="n">
        <v>6945239.40694196</v>
      </c>
      <c r="I38" t="n">
        <v>0</v>
      </c>
      <c r="J38" t="n">
        <v>71306.6379002606</v>
      </c>
      <c r="K38" t="n">
        <v>0</v>
      </c>
      <c r="L38" t="n">
        <v>131601.786130305</v>
      </c>
      <c r="M38" t="n">
        <v>1293296.88722933</v>
      </c>
      <c r="N38" t="n">
        <v>24355.4116918115</v>
      </c>
      <c r="O38" t="n">
        <v>122453.056335895</v>
      </c>
      <c r="P38" t="n">
        <v>260705.38777885</v>
      </c>
      <c r="Q38" t="n">
        <v>0</v>
      </c>
      <c r="R38" t="n">
        <v>188207.609371256</v>
      </c>
      <c r="S38" t="n">
        <v>643076.737884285</v>
      </c>
      <c r="T38" t="n">
        <v>649434.907106064</v>
      </c>
      <c r="U38" t="n">
        <v>0</v>
      </c>
      <c r="V38" t="n">
        <v>0</v>
      </c>
      <c r="W38" t="n">
        <v>33953.0582325022</v>
      </c>
      <c r="X38" t="n">
        <v>944440.161865969</v>
      </c>
      <c r="Y38" t="n">
        <v>211530.815111493</v>
      </c>
      <c r="Z38" t="n">
        <v>3051810.56269479</v>
      </c>
      <c r="AA38" t="n">
        <v>74444.8768291413</v>
      </c>
      <c r="AB38" t="n">
        <v>425688.622385088</v>
      </c>
      <c r="AC38" t="n">
        <v>396793.434897734</v>
      </c>
      <c r="AD38" t="n">
        <v>993188.506977207</v>
      </c>
      <c r="AE38" t="n">
        <v>435876.145213825</v>
      </c>
      <c r="AF38" t="n">
        <v>1529366.08652651</v>
      </c>
      <c r="AG38" t="n">
        <v>0</v>
      </c>
      <c r="AH38" t="n">
        <v>260122.114926601</v>
      </c>
      <c r="AI38" t="n">
        <v>0</v>
      </c>
      <c r="AJ38" t="n">
        <v>11177122.2328934</v>
      </c>
      <c r="AK38" t="n">
        <v>1173468.78680801</v>
      </c>
      <c r="AL38" t="n">
        <v>0</v>
      </c>
      <c r="AM38" t="n">
        <v>1804457.93088124</v>
      </c>
      <c r="AN38" t="n">
        <v>0</v>
      </c>
      <c r="AO38" t="n">
        <v>24250.0548505849</v>
      </c>
      <c r="AP38" t="n">
        <v>0</v>
      </c>
      <c r="AQ38" t="n">
        <v>0</v>
      </c>
      <c r="AR38" t="n">
        <v>59208.4048593465</v>
      </c>
      <c r="AS38" t="n">
        <v>154232.261255065</v>
      </c>
      <c r="AT38" t="n">
        <v>159767.766906784</v>
      </c>
      <c r="AU38" t="n">
        <v>74959.9697179429</v>
      </c>
      <c r="AV38" t="n">
        <v>0</v>
      </c>
      <c r="AW38" t="n">
        <v>2693475.71591741</v>
      </c>
      <c r="AX38" t="n">
        <v>529119.481108197</v>
      </c>
      <c r="AY38" t="n">
        <v>122742.534308523</v>
      </c>
      <c r="AZ38" t="n">
        <v>0</v>
      </c>
      <c r="BA38" t="n">
        <v>36949.8159152586</v>
      </c>
      <c r="BB38" t="n">
        <v>221334.200246867</v>
      </c>
      <c r="BC38" t="n">
        <v>0</v>
      </c>
      <c r="BD38" t="n">
        <v>3537656.44171779</v>
      </c>
      <c r="BE38" t="n">
        <v>0</v>
      </c>
      <c r="BF38" t="n">
        <v>444124.404781726</v>
      </c>
      <c r="BG38" t="n">
        <v>68120.834923524</v>
      </c>
      <c r="BH38" t="n">
        <v>243391.076095487</v>
      </c>
      <c r="BI38" t="n">
        <v>43760.7182487642</v>
      </c>
      <c r="BJ38" t="n">
        <v>36186.8975657572</v>
      </c>
      <c r="BK38" t="n">
        <v>307863.553224349</v>
      </c>
      <c r="BL38" t="n">
        <v>929670.727794052</v>
      </c>
      <c r="BM38" t="n">
        <v>1213706.18030288</v>
      </c>
      <c r="BN38" t="n">
        <v>53952861.5901849</v>
      </c>
      <c r="BO38" t="n">
        <v>1138737.79987612</v>
      </c>
      <c r="BP38" t="n">
        <v>0</v>
      </c>
      <c r="BQ38" t="n">
        <v>0</v>
      </c>
      <c r="BR38" t="n">
        <v>0</v>
      </c>
      <c r="BS38" t="n">
        <v>802306.627190362</v>
      </c>
      <c r="BT38" t="n">
        <v>0</v>
      </c>
      <c r="BU38" t="n">
        <v>8981632118.27049</v>
      </c>
      <c r="BV38" t="n">
        <v>0</v>
      </c>
      <c r="BW38" t="n">
        <v>10540931.6177853</v>
      </c>
      <c r="BX38" t="n">
        <v>44664.964482141</v>
      </c>
      <c r="BY38" t="n">
        <v>290639.488666812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134</v>
      </c>
      <c r="B39" t="n">
        <v>224273.493301131</v>
      </c>
      <c r="C39" t="n">
        <v>0</v>
      </c>
      <c r="D39" t="n">
        <v>473.420045584098</v>
      </c>
      <c r="E39" t="n">
        <v>9204.94792410511</v>
      </c>
      <c r="F39" t="n">
        <v>759.459910231561</v>
      </c>
      <c r="G39" t="n">
        <v>443959.680470296</v>
      </c>
      <c r="H39" t="n">
        <v>2479260.97695673</v>
      </c>
      <c r="I39" t="n">
        <v>12900.0158113723</v>
      </c>
      <c r="J39" t="n">
        <v>18816.7045649963</v>
      </c>
      <c r="K39" t="n">
        <v>6973.81814444275</v>
      </c>
      <c r="L39" t="n">
        <v>69455.2990509383</v>
      </c>
      <c r="M39" t="n">
        <v>591553.362696688</v>
      </c>
      <c r="N39" t="n">
        <v>14022.5706847463</v>
      </c>
      <c r="O39" t="n">
        <v>32313.4430678995</v>
      </c>
      <c r="P39" t="n">
        <v>264239.440333683</v>
      </c>
      <c r="Q39" t="n">
        <v>4432.62574585357</v>
      </c>
      <c r="R39" t="n">
        <v>55986.0444402375</v>
      </c>
      <c r="S39" t="n">
        <v>182320.03196087</v>
      </c>
      <c r="T39" t="n">
        <v>273755.983750821</v>
      </c>
      <c r="U39" t="n">
        <v>2104.94139023704</v>
      </c>
      <c r="V39" t="n">
        <v>0</v>
      </c>
      <c r="W39" t="n">
        <v>27693.5567267476</v>
      </c>
      <c r="X39" t="n">
        <v>152123.106652939</v>
      </c>
      <c r="Y39" t="n">
        <v>20298.0610937498</v>
      </c>
      <c r="Z39" t="n">
        <v>422041.975519447</v>
      </c>
      <c r="AA39" t="n">
        <v>42861.4617836593</v>
      </c>
      <c r="AB39" t="n">
        <v>76590.3805155921</v>
      </c>
      <c r="AC39" t="n">
        <v>152301.921191159</v>
      </c>
      <c r="AD39" t="n">
        <v>99636.3370116116</v>
      </c>
      <c r="AE39" t="n">
        <v>25560.1968341918</v>
      </c>
      <c r="AF39" t="n">
        <v>185038.683481442</v>
      </c>
      <c r="AG39" t="n">
        <v>0</v>
      </c>
      <c r="AH39" t="n">
        <v>37441.1731300186</v>
      </c>
      <c r="AI39" t="n">
        <v>1128.13493173664</v>
      </c>
      <c r="AJ39" t="n">
        <v>1524126.71685981</v>
      </c>
      <c r="AK39" t="n">
        <v>144776.116913778</v>
      </c>
      <c r="AL39" t="n">
        <v>1092.90294669699</v>
      </c>
      <c r="AM39" t="n">
        <v>229171.849949681</v>
      </c>
      <c r="AN39" t="n">
        <v>4568.23614289919</v>
      </c>
      <c r="AO39" t="n">
        <v>5817.4632219012</v>
      </c>
      <c r="AP39" t="n">
        <v>1576.92017977978</v>
      </c>
      <c r="AQ39" t="n">
        <v>4271.79838297521</v>
      </c>
      <c r="AR39" t="n">
        <v>7101.89564145206</v>
      </c>
      <c r="AS39" t="n">
        <v>27749.6436506109</v>
      </c>
      <c r="AT39" t="n">
        <v>20441.3142156245</v>
      </c>
      <c r="AU39" t="n">
        <v>10789.5063240678</v>
      </c>
      <c r="AV39" t="n">
        <v>0</v>
      </c>
      <c r="AW39" t="n">
        <v>671002.90692507</v>
      </c>
      <c r="AX39" t="n">
        <v>181168.062590802</v>
      </c>
      <c r="AY39" t="n">
        <v>92261.9450405658</v>
      </c>
      <c r="AZ39" t="n">
        <v>3066.69787812423</v>
      </c>
      <c r="BA39" t="n">
        <v>7091.25637752039</v>
      </c>
      <c r="BB39" t="n">
        <v>80707.3401681025</v>
      </c>
      <c r="BC39" t="n">
        <v>0</v>
      </c>
      <c r="BD39" t="n">
        <v>742299.47148856</v>
      </c>
      <c r="BE39" t="n">
        <v>5354.91133601646</v>
      </c>
      <c r="BF39" t="n">
        <v>120748.910778842</v>
      </c>
      <c r="BG39" t="n">
        <v>16341.8373382873</v>
      </c>
      <c r="BH39" t="n">
        <v>18684.2448639202</v>
      </c>
      <c r="BI39" t="n">
        <v>2099.59417036145</v>
      </c>
      <c r="BJ39" t="n">
        <v>5208.63017425516</v>
      </c>
      <c r="BK39" t="n">
        <v>7385.48802995088</v>
      </c>
      <c r="BL39" t="n">
        <v>18366.617946034</v>
      </c>
      <c r="BM39" t="n">
        <v>96004.7212790599</v>
      </c>
      <c r="BN39" t="n">
        <v>571129.964470325</v>
      </c>
      <c r="BO39" t="n">
        <v>540050.570519117</v>
      </c>
      <c r="BP39" t="n">
        <v>0</v>
      </c>
      <c r="BQ39" t="n">
        <v>3893.71762486422</v>
      </c>
      <c r="BR39" t="n">
        <v>0</v>
      </c>
      <c r="BS39" t="n">
        <v>42343.2297999974</v>
      </c>
      <c r="BT39" t="n">
        <v>0</v>
      </c>
      <c r="BU39" t="n">
        <v>455007304.860954</v>
      </c>
      <c r="BV39" t="n">
        <v>0</v>
      </c>
      <c r="BW39" t="n">
        <v>4562482.90539478</v>
      </c>
      <c r="BX39" t="n">
        <v>1222340.27384694</v>
      </c>
      <c r="BY39" t="n">
        <v>374746.188621705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135</v>
      </c>
      <c r="B40" t="n">
        <v>46345278.1224289</v>
      </c>
      <c r="C40" t="n">
        <v>116327.518771212</v>
      </c>
      <c r="D40" t="n">
        <v>51813.9213149135</v>
      </c>
      <c r="E40" t="n">
        <v>2856271.37748638</v>
      </c>
      <c r="F40" t="n">
        <v>36536.19116787</v>
      </c>
      <c r="G40" t="n">
        <v>100916867.259054</v>
      </c>
      <c r="H40" t="n">
        <v>2114733760.4587</v>
      </c>
      <c r="I40" t="n">
        <v>5213002.65384219</v>
      </c>
      <c r="J40" t="n">
        <v>489650.569730917</v>
      </c>
      <c r="K40" t="n">
        <v>557764.269030757</v>
      </c>
      <c r="L40" t="n">
        <v>7335813.01382216</v>
      </c>
      <c r="M40" t="n">
        <v>75713599.9027441</v>
      </c>
      <c r="N40" t="n">
        <v>1790499.67222055</v>
      </c>
      <c r="O40" t="n">
        <v>6331213.83136697</v>
      </c>
      <c r="P40" t="n">
        <v>22272438.1180137</v>
      </c>
      <c r="Q40" t="n">
        <v>223907.572231939</v>
      </c>
      <c r="R40" t="n">
        <v>9974207.43635837</v>
      </c>
      <c r="S40" t="n">
        <v>32304542.5133962</v>
      </c>
      <c r="T40" t="n">
        <v>37212960.2893936</v>
      </c>
      <c r="U40" t="n">
        <v>508011.648331147</v>
      </c>
      <c r="V40" t="n">
        <v>36601.1456354965</v>
      </c>
      <c r="W40" t="n">
        <v>2605792.81377465</v>
      </c>
      <c r="X40" t="n">
        <v>46650634.4367524</v>
      </c>
      <c r="Y40" t="n">
        <v>12474808.3265735</v>
      </c>
      <c r="Z40" t="n">
        <v>156869847.852028</v>
      </c>
      <c r="AA40" t="n">
        <v>6074262.66590859</v>
      </c>
      <c r="AB40" t="n">
        <v>24029860.0817339</v>
      </c>
      <c r="AC40" t="n">
        <v>32696557.3782779</v>
      </c>
      <c r="AD40" t="n">
        <v>11816568.942627</v>
      </c>
      <c r="AE40" t="n">
        <v>21166801.4274368</v>
      </c>
      <c r="AF40" t="n">
        <v>38086163.9999475</v>
      </c>
      <c r="AG40" t="n">
        <v>274996.442410071</v>
      </c>
      <c r="AH40" t="n">
        <v>7460071.80867804</v>
      </c>
      <c r="AI40" t="n">
        <v>8870832.71093837</v>
      </c>
      <c r="AJ40" t="n">
        <v>333489476.250775</v>
      </c>
      <c r="AK40" t="n">
        <v>30573041.0674571</v>
      </c>
      <c r="AL40" t="n">
        <v>257629.798765476</v>
      </c>
      <c r="AM40" t="n">
        <v>65598914.6012233</v>
      </c>
      <c r="AN40" t="n">
        <v>307676.976066409</v>
      </c>
      <c r="AO40" t="n">
        <v>1234214.52503371</v>
      </c>
      <c r="AP40" t="n">
        <v>199139.510812711</v>
      </c>
      <c r="AQ40" t="n">
        <v>383615.314598589</v>
      </c>
      <c r="AR40" t="n">
        <v>2248115.38253752</v>
      </c>
      <c r="AS40" t="n">
        <v>7943150.54161538</v>
      </c>
      <c r="AT40" t="n">
        <v>6496541.78426629</v>
      </c>
      <c r="AU40" t="n">
        <v>3209538.94977839</v>
      </c>
      <c r="AV40" t="n">
        <v>0</v>
      </c>
      <c r="AW40" t="n">
        <v>131770975.128057</v>
      </c>
      <c r="AX40" t="n">
        <v>22732872.2328875</v>
      </c>
      <c r="AY40" t="n">
        <v>5453749.09616288</v>
      </c>
      <c r="AZ40" t="n">
        <v>1136004.71839541</v>
      </c>
      <c r="BA40" t="n">
        <v>1611919.7531453</v>
      </c>
      <c r="BB40" t="n">
        <v>12695337.5573151</v>
      </c>
      <c r="BC40" t="n">
        <v>0</v>
      </c>
      <c r="BD40" t="n">
        <v>57616060.5570504</v>
      </c>
      <c r="BE40" t="n">
        <v>661211.155675219</v>
      </c>
      <c r="BF40" t="n">
        <v>5182542.35101988</v>
      </c>
      <c r="BG40" t="n">
        <v>8007193.6905987</v>
      </c>
      <c r="BH40" t="n">
        <v>6016770.63051806</v>
      </c>
      <c r="BI40" t="n">
        <v>2651447.81170463</v>
      </c>
      <c r="BJ40" t="n">
        <v>1637105.83535671</v>
      </c>
      <c r="BK40" t="n">
        <v>9637565.94657213</v>
      </c>
      <c r="BL40" t="n">
        <v>14800024.039448</v>
      </c>
      <c r="BM40" t="n">
        <v>30978738.5208147</v>
      </c>
      <c r="BN40" t="n">
        <v>185242567.832179</v>
      </c>
      <c r="BO40" t="n">
        <v>74161592.3091177</v>
      </c>
      <c r="BP40" t="n">
        <v>19329.9547097303</v>
      </c>
      <c r="BQ40" t="n">
        <v>1005281.03995339</v>
      </c>
      <c r="BR40" t="n">
        <v>40037.9568566326</v>
      </c>
      <c r="BS40" t="n">
        <v>11893613.6433533</v>
      </c>
      <c r="BT40" t="n">
        <v>0</v>
      </c>
      <c r="BU40" t="n">
        <v>30709834666.7977</v>
      </c>
      <c r="BV40" t="n">
        <v>0</v>
      </c>
      <c r="BW40" t="n">
        <v>931869928.043898</v>
      </c>
      <c r="BX40" t="n">
        <v>325046453.810834</v>
      </c>
      <c r="BY40" t="n">
        <v>246153557.057097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136</v>
      </c>
      <c r="B41" t="n">
        <v>7379180.52845332</v>
      </c>
      <c r="C41" t="n">
        <v>12855.8048193954</v>
      </c>
      <c r="D41" t="n">
        <v>13672.3646480455</v>
      </c>
      <c r="E41" t="n">
        <v>461992.737089394</v>
      </c>
      <c r="F41" t="n">
        <v>664713.055374112</v>
      </c>
      <c r="G41" t="n">
        <v>34194431.9013294</v>
      </c>
      <c r="H41" t="n">
        <v>12644903.0123847</v>
      </c>
      <c r="I41" t="n">
        <v>1888008.14323203</v>
      </c>
      <c r="J41" t="n">
        <v>8543698.97426299</v>
      </c>
      <c r="K41" t="n">
        <v>5828097.62163131</v>
      </c>
      <c r="L41" t="n">
        <v>24474605.406142</v>
      </c>
      <c r="M41" t="n">
        <v>23715602.4057834</v>
      </c>
      <c r="N41" t="n">
        <v>1575198.9219967</v>
      </c>
      <c r="O41" t="n">
        <v>2228097.04462511</v>
      </c>
      <c r="P41" t="n">
        <v>10101864.544711</v>
      </c>
      <c r="Q41" t="n">
        <v>537623.768859462</v>
      </c>
      <c r="R41" t="n">
        <v>3336520.41901323</v>
      </c>
      <c r="S41" t="n">
        <v>8674941.52856446</v>
      </c>
      <c r="T41" t="n">
        <v>29234754.073546</v>
      </c>
      <c r="U41" t="n">
        <v>439222.404341296</v>
      </c>
      <c r="V41" t="n">
        <v>166654.197387856</v>
      </c>
      <c r="W41" t="n">
        <v>4878125.52863608</v>
      </c>
      <c r="X41" t="n">
        <v>9591000.34874773</v>
      </c>
      <c r="Y41" t="n">
        <v>6693156.53985776</v>
      </c>
      <c r="Z41" t="n">
        <v>19500298.8400672</v>
      </c>
      <c r="AA41" t="n">
        <v>25060289.6378348</v>
      </c>
      <c r="AB41" t="n">
        <v>333312745.179953</v>
      </c>
      <c r="AC41" t="n">
        <v>5316535.69443255</v>
      </c>
      <c r="AD41" t="n">
        <v>1752490.1576901</v>
      </c>
      <c r="AE41" t="n">
        <v>2675667.3781299</v>
      </c>
      <c r="AF41" t="n">
        <v>7169061.82197671</v>
      </c>
      <c r="AG41" t="n">
        <v>14937759.2216993</v>
      </c>
      <c r="AH41" t="n">
        <v>1653606.69163835</v>
      </c>
      <c r="AI41" t="n">
        <v>3055673.88517089</v>
      </c>
      <c r="AJ41" t="n">
        <v>87060340.375166</v>
      </c>
      <c r="AK41" t="n">
        <v>1388917.66304337</v>
      </c>
      <c r="AL41" t="n">
        <v>211511.102615702</v>
      </c>
      <c r="AM41" t="n">
        <v>41340768.2701641</v>
      </c>
      <c r="AN41" t="n">
        <v>11343286.3536077</v>
      </c>
      <c r="AO41" t="n">
        <v>9440697.70348385</v>
      </c>
      <c r="AP41" t="n">
        <v>4453276.17149048</v>
      </c>
      <c r="AQ41" t="n">
        <v>14097709.9325937</v>
      </c>
      <c r="AR41" t="n">
        <v>52152392.5573612</v>
      </c>
      <c r="AS41" t="n">
        <v>221399868.735265</v>
      </c>
      <c r="AT41" t="n">
        <v>151383376.537274</v>
      </c>
      <c r="AU41" t="n">
        <v>7768803.30840276</v>
      </c>
      <c r="AV41" t="n">
        <v>29564443.8864104</v>
      </c>
      <c r="AW41" t="n">
        <v>297823.82662827</v>
      </c>
      <c r="AX41" t="n">
        <v>247745917.31377</v>
      </c>
      <c r="AY41" t="n">
        <v>49879581.0151819</v>
      </c>
      <c r="AZ41" t="n">
        <v>45758804.7650177</v>
      </c>
      <c r="BA41" t="n">
        <v>111819496.008046</v>
      </c>
      <c r="BB41" t="n">
        <v>193873192.274121</v>
      </c>
      <c r="BC41" t="n">
        <v>13878810.1925406</v>
      </c>
      <c r="BD41" t="n">
        <v>210261756.527973</v>
      </c>
      <c r="BE41" t="n">
        <v>15749578.2100115</v>
      </c>
      <c r="BF41" t="n">
        <v>30067103.865713</v>
      </c>
      <c r="BG41" t="n">
        <v>90279943.3259006</v>
      </c>
      <c r="BH41" t="n">
        <v>15986549.0212393</v>
      </c>
      <c r="BI41" t="n">
        <v>11872724.0091219</v>
      </c>
      <c r="BJ41" t="n">
        <v>21821104.5971981</v>
      </c>
      <c r="BK41" t="n">
        <v>4631499.31072439</v>
      </c>
      <c r="BL41" t="n">
        <v>8921286.58550994</v>
      </c>
      <c r="BM41" t="n">
        <v>5607884.15715261</v>
      </c>
      <c r="BN41" t="n">
        <v>68654613.5444547</v>
      </c>
      <c r="BO41" t="n">
        <v>24355254.0611031</v>
      </c>
      <c r="BP41" t="n">
        <v>73872907.0515383</v>
      </c>
      <c r="BQ41" t="n">
        <v>77589858.7076631</v>
      </c>
      <c r="BR41" t="n">
        <v>6415046.57901927</v>
      </c>
      <c r="BS41" t="n">
        <v>122469424.176278</v>
      </c>
      <c r="BT41" t="n">
        <v>1686489.3799736</v>
      </c>
      <c r="BU41" t="n">
        <v>4847613702.74598</v>
      </c>
      <c r="BV41" t="n">
        <v>0</v>
      </c>
      <c r="BW41" t="n">
        <v>28613596.8994738</v>
      </c>
      <c r="BX41" t="n">
        <v>3430711.8731512</v>
      </c>
      <c r="BY41" t="n">
        <v>212273.122458173</v>
      </c>
      <c r="BZ41" t="n">
        <v>1839563.23748517</v>
      </c>
      <c r="CA41" t="n">
        <v>3171270757.48092</v>
      </c>
      <c r="CB41" t="n">
        <v>-2270580432.87071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622401.779993787</v>
      </c>
      <c r="CN41" t="n">
        <v>177829.079998225</v>
      </c>
    </row>
    <row r="42">
      <c r="A42" t="s">
        <v>137</v>
      </c>
      <c r="B42" t="n">
        <v>58540845.2371873</v>
      </c>
      <c r="C42" t="n">
        <v>187951.493549696</v>
      </c>
      <c r="D42" t="n">
        <v>298158.652021865</v>
      </c>
      <c r="E42" t="n">
        <v>16402589.4155028</v>
      </c>
      <c r="F42" t="n">
        <v>345336.476366581</v>
      </c>
      <c r="G42" t="n">
        <v>73229914.3513051</v>
      </c>
      <c r="H42" t="n">
        <v>53937078.4783817</v>
      </c>
      <c r="I42" t="n">
        <v>10309032.1950473</v>
      </c>
      <c r="J42" t="n">
        <v>49376015.7626868</v>
      </c>
      <c r="K42" t="n">
        <v>70031568.947607</v>
      </c>
      <c r="L42" t="n">
        <v>46723071.2443993</v>
      </c>
      <c r="M42" t="n">
        <v>33536978.473242</v>
      </c>
      <c r="N42" t="n">
        <v>1335197.34551955</v>
      </c>
      <c r="O42" t="n">
        <v>10828782.3194271</v>
      </c>
      <c r="P42" t="n">
        <v>27202026.7324297</v>
      </c>
      <c r="Q42" t="n">
        <v>920291.146396295</v>
      </c>
      <c r="R42" t="n">
        <v>6755703.28653579</v>
      </c>
      <c r="S42" t="n">
        <v>9958210.93736794</v>
      </c>
      <c r="T42" t="n">
        <v>195785783.15596</v>
      </c>
      <c r="U42" t="n">
        <v>734901.71474136</v>
      </c>
      <c r="V42" t="n">
        <v>59136.8238615261</v>
      </c>
      <c r="W42" t="n">
        <v>55884925.9333308</v>
      </c>
      <c r="X42" t="n">
        <v>4622813.88967396</v>
      </c>
      <c r="Y42" t="n">
        <v>130218040.512766</v>
      </c>
      <c r="Z42" t="n">
        <v>185932914.253055</v>
      </c>
      <c r="AA42" t="n">
        <v>88182446.6313388</v>
      </c>
      <c r="AB42" t="n">
        <v>10939143.227282</v>
      </c>
      <c r="AC42" t="n">
        <v>776884.455465163</v>
      </c>
      <c r="AD42" t="n">
        <v>3388266.36015333</v>
      </c>
      <c r="AE42" t="n">
        <v>1201088.16529809</v>
      </c>
      <c r="AF42" t="n">
        <v>2538692.99537734</v>
      </c>
      <c r="AG42" t="n">
        <v>7508913.41310054</v>
      </c>
      <c r="AH42" t="n">
        <v>10313219.4214377</v>
      </c>
      <c r="AI42" t="n">
        <v>398982.803232775</v>
      </c>
      <c r="AJ42" t="n">
        <v>154756928.717915</v>
      </c>
      <c r="AK42" t="n">
        <v>875254.169589264</v>
      </c>
      <c r="AL42" t="n">
        <v>133796.233793576</v>
      </c>
      <c r="AM42" t="n">
        <v>9109494.79335145</v>
      </c>
      <c r="AN42" t="n">
        <v>1242791.64107914</v>
      </c>
      <c r="AO42" t="n">
        <v>506446.30011623</v>
      </c>
      <c r="AP42" t="n">
        <v>85800.4339870038</v>
      </c>
      <c r="AQ42" t="n">
        <v>6159371.43578767</v>
      </c>
      <c r="AR42" t="n">
        <v>1043320.70015151</v>
      </c>
      <c r="AS42" t="n">
        <v>1761505.37940538</v>
      </c>
      <c r="AT42" t="n">
        <v>1564051.76696348</v>
      </c>
      <c r="AU42" t="n">
        <v>6653329.16177446</v>
      </c>
      <c r="AV42" t="n">
        <v>230002.884335601</v>
      </c>
      <c r="AW42" t="n">
        <v>1926882.6909494</v>
      </c>
      <c r="AX42" t="n">
        <v>4928689.03391364</v>
      </c>
      <c r="AY42" t="n">
        <v>2029355.45276524</v>
      </c>
      <c r="AZ42" t="n">
        <v>1543449.76560777</v>
      </c>
      <c r="BA42" t="n">
        <v>1061049.52355334</v>
      </c>
      <c r="BB42" t="n">
        <v>21552023.3024144</v>
      </c>
      <c r="BC42" t="n">
        <v>910241.017381419</v>
      </c>
      <c r="BD42" t="n">
        <v>19209217.7534291</v>
      </c>
      <c r="BE42" t="n">
        <v>1359686.66746092</v>
      </c>
      <c r="BF42" t="n">
        <v>2189988.02880213</v>
      </c>
      <c r="BG42" t="n">
        <v>9180592.64029951</v>
      </c>
      <c r="BH42" t="n">
        <v>7148054.64206795</v>
      </c>
      <c r="BI42" t="n">
        <v>2427582.88157204</v>
      </c>
      <c r="BJ42" t="n">
        <v>5833363.01060975</v>
      </c>
      <c r="BK42" t="n">
        <v>426960.709042108</v>
      </c>
      <c r="BL42" t="n">
        <v>3033680.64087018</v>
      </c>
      <c r="BM42" t="n">
        <v>3082797.73033281</v>
      </c>
      <c r="BN42" t="n">
        <v>24870810.9616172</v>
      </c>
      <c r="BO42" t="n">
        <v>4945010.19583524</v>
      </c>
      <c r="BP42" t="n">
        <v>2740572.38907849</v>
      </c>
      <c r="BQ42" t="n">
        <v>19702764.9006972</v>
      </c>
      <c r="BR42" t="n">
        <v>16237117.9340234</v>
      </c>
      <c r="BS42" t="n">
        <v>61184271.7835092</v>
      </c>
      <c r="BT42" t="n">
        <v>33002350.7698141</v>
      </c>
      <c r="BU42" t="n">
        <v>275687755.65321</v>
      </c>
      <c r="BV42" t="n">
        <v>0</v>
      </c>
      <c r="BW42" t="n">
        <v>162514445.429636</v>
      </c>
      <c r="BX42" t="n">
        <v>0</v>
      </c>
      <c r="BY42" t="n">
        <v>1260767.17524334</v>
      </c>
      <c r="BZ42" t="n">
        <v>37939822.8658327</v>
      </c>
      <c r="CA42" t="n">
        <v>806026339.548607</v>
      </c>
      <c r="CB42" t="n">
        <v>28195681.0749269</v>
      </c>
      <c r="CC42" t="n">
        <v>0</v>
      </c>
      <c r="CD42" t="n">
        <v>0</v>
      </c>
      <c r="CE42" t="n">
        <v>1753158.13068398</v>
      </c>
      <c r="CF42" t="n">
        <v>0</v>
      </c>
      <c r="CG42" t="n">
        <v>0</v>
      </c>
      <c r="CH42" t="n">
        <v>0</v>
      </c>
      <c r="CI42" t="n">
        <v>2572151.70998161</v>
      </c>
      <c r="CJ42" t="n">
        <v>0</v>
      </c>
      <c r="CK42" t="n">
        <v>0</v>
      </c>
      <c r="CL42" t="n">
        <v>0</v>
      </c>
      <c r="CM42" t="n">
        <v>13844233.1534845</v>
      </c>
      <c r="CN42" t="n">
        <v>0</v>
      </c>
    </row>
    <row r="43">
      <c r="A43" t="s">
        <v>138</v>
      </c>
      <c r="B43" t="n">
        <v>10293724.2198703</v>
      </c>
      <c r="C43" t="n">
        <v>48698.8420127744</v>
      </c>
      <c r="D43" t="n">
        <v>118133.354484519</v>
      </c>
      <c r="E43" t="n">
        <v>2683456.1025024</v>
      </c>
      <c r="F43" t="n">
        <v>99802.1636409306</v>
      </c>
      <c r="G43" t="n">
        <v>5719577.13911362</v>
      </c>
      <c r="H43" t="n">
        <v>17178289.8276719</v>
      </c>
      <c r="I43" t="n">
        <v>68198.3923852669</v>
      </c>
      <c r="J43" t="n">
        <v>5426077.92150556</v>
      </c>
      <c r="K43" t="n">
        <v>7650196.91351282</v>
      </c>
      <c r="L43" t="n">
        <v>4239360.17888439</v>
      </c>
      <c r="M43" t="n">
        <v>2536879.11974155</v>
      </c>
      <c r="N43" t="n">
        <v>210043.479280234</v>
      </c>
      <c r="O43" t="n">
        <v>1708311.75859556</v>
      </c>
      <c r="P43" t="n">
        <v>1173770.45942337</v>
      </c>
      <c r="Q43" t="n">
        <v>54268.0273079303</v>
      </c>
      <c r="R43" t="n">
        <v>229146.499443072</v>
      </c>
      <c r="S43" t="n">
        <v>1542191.35990831</v>
      </c>
      <c r="T43" t="n">
        <v>21226526.7450955</v>
      </c>
      <c r="U43" t="n">
        <v>207725.912246765</v>
      </c>
      <c r="V43" t="n">
        <v>0</v>
      </c>
      <c r="W43" t="n">
        <v>2394189.4111076</v>
      </c>
      <c r="X43" t="n">
        <v>34222.4595165357</v>
      </c>
      <c r="Y43" t="n">
        <v>4185073.18592132</v>
      </c>
      <c r="Z43" t="n">
        <v>21978131.5773704</v>
      </c>
      <c r="AA43" t="n">
        <v>5249457.48907299</v>
      </c>
      <c r="AB43" t="n">
        <v>647855.432082123</v>
      </c>
      <c r="AC43" t="n">
        <v>219592.673393921</v>
      </c>
      <c r="AD43" t="n">
        <v>343530.317429918</v>
      </c>
      <c r="AE43" t="n">
        <v>122844.411315735</v>
      </c>
      <c r="AF43" t="n">
        <v>354191.166504311</v>
      </c>
      <c r="AG43" t="n">
        <v>725276.814980075</v>
      </c>
      <c r="AH43" t="n">
        <v>362889.813367278</v>
      </c>
      <c r="AI43" t="n">
        <v>35784.6020639493</v>
      </c>
      <c r="AJ43" t="n">
        <v>488338.569320067</v>
      </c>
      <c r="AK43" t="n">
        <v>42521.4742785944</v>
      </c>
      <c r="AL43" t="n">
        <v>57778.397397117</v>
      </c>
      <c r="AM43" t="n">
        <v>242312.133179676</v>
      </c>
      <c r="AN43" t="n">
        <v>96603.4043795037</v>
      </c>
      <c r="AO43" t="n">
        <v>24604.1025248556</v>
      </c>
      <c r="AP43" t="n">
        <v>0</v>
      </c>
      <c r="AQ43" t="n">
        <v>286059.900746542</v>
      </c>
      <c r="AR43" t="n">
        <v>165200.3098256</v>
      </c>
      <c r="AS43" t="n">
        <v>97802.5202401865</v>
      </c>
      <c r="AT43" t="n">
        <v>54033.4519016141</v>
      </c>
      <c r="AU43" t="n">
        <v>0</v>
      </c>
      <c r="AV43" t="n">
        <v>35756.6963109456</v>
      </c>
      <c r="AW43" t="n">
        <v>289046.165914559</v>
      </c>
      <c r="AX43" t="n">
        <v>573447.595311889</v>
      </c>
      <c r="AY43" t="n">
        <v>228313.359054535</v>
      </c>
      <c r="AZ43" t="n">
        <v>0</v>
      </c>
      <c r="BA43" t="n">
        <v>149957.113854798</v>
      </c>
      <c r="BB43" t="n">
        <v>33819587.0457144</v>
      </c>
      <c r="BC43" t="n">
        <v>2102963.75091916</v>
      </c>
      <c r="BD43" t="n">
        <v>3469662.24400326</v>
      </c>
      <c r="BE43" t="n">
        <v>320843.940398911</v>
      </c>
      <c r="BF43" t="n">
        <v>8561562.71278509</v>
      </c>
      <c r="BG43" t="n">
        <v>2851009.85113813</v>
      </c>
      <c r="BH43" t="n">
        <v>4691946.53409756</v>
      </c>
      <c r="BI43" t="n">
        <v>199798.285919166</v>
      </c>
      <c r="BJ43" t="n">
        <v>275364.162034936</v>
      </c>
      <c r="BK43" t="n">
        <v>58567.185264136</v>
      </c>
      <c r="BL43" t="n">
        <v>332909.576667476</v>
      </c>
      <c r="BM43" t="n">
        <v>149768.04333074</v>
      </c>
      <c r="BN43" t="n">
        <v>1360270.09912531</v>
      </c>
      <c r="BO43" t="n">
        <v>844303.895146557</v>
      </c>
      <c r="BP43" t="n">
        <v>10408601.7936726</v>
      </c>
      <c r="BQ43" t="n">
        <v>3170071.57900603</v>
      </c>
      <c r="BR43" t="n">
        <v>11565307.0545075</v>
      </c>
      <c r="BS43" t="n">
        <v>13940095.933671</v>
      </c>
      <c r="BT43" t="n">
        <v>3053645.8419119</v>
      </c>
      <c r="BU43" t="n">
        <v>681406128.55641</v>
      </c>
      <c r="BV43" t="n">
        <v>0</v>
      </c>
      <c r="BW43" t="n">
        <v>60123.1874629111</v>
      </c>
      <c r="BX43" t="n">
        <v>0</v>
      </c>
      <c r="BY43" t="n">
        <v>0</v>
      </c>
      <c r="BZ43" t="n">
        <v>1469599.09181441</v>
      </c>
      <c r="CA43" t="n">
        <v>144731807.332561</v>
      </c>
      <c r="CB43" t="n">
        <v>308407744.029973</v>
      </c>
      <c r="CC43" t="n">
        <v>0</v>
      </c>
      <c r="CD43" t="n">
        <v>0</v>
      </c>
      <c r="CE43" t="n">
        <v>29841.1726785437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139</v>
      </c>
      <c r="B44" t="n">
        <v>183476033.082572</v>
      </c>
      <c r="C44" t="n">
        <v>2424565.34081137</v>
      </c>
      <c r="D44" t="n">
        <v>631253.409213781</v>
      </c>
      <c r="E44" t="n">
        <v>17237582.445479</v>
      </c>
      <c r="F44" t="n">
        <v>971727.621328628</v>
      </c>
      <c r="G44" t="n">
        <v>41289499.5406271</v>
      </c>
      <c r="H44" t="n">
        <v>472111537.797842</v>
      </c>
      <c r="I44" t="n">
        <v>22763445.5791641</v>
      </c>
      <c r="J44" t="n">
        <v>78411322.9529024</v>
      </c>
      <c r="K44" t="n">
        <v>156110926.343666</v>
      </c>
      <c r="L44" t="n">
        <v>166885525.041109</v>
      </c>
      <c r="M44" t="n">
        <v>206158551.443672</v>
      </c>
      <c r="N44" t="n">
        <v>17993343.329643</v>
      </c>
      <c r="O44" t="n">
        <v>52586052.7358949</v>
      </c>
      <c r="P44" t="n">
        <v>141671134.828532</v>
      </c>
      <c r="Q44" t="n">
        <v>5186421.78386482</v>
      </c>
      <c r="R44" t="n">
        <v>26544844.1326547</v>
      </c>
      <c r="S44" t="n">
        <v>51076389.9466577</v>
      </c>
      <c r="T44" t="n">
        <v>838842018.012953</v>
      </c>
      <c r="U44" t="n">
        <v>6958502.90846431</v>
      </c>
      <c r="V44" t="n">
        <v>3764886.2205892</v>
      </c>
      <c r="W44" t="n">
        <v>68932448.7957446</v>
      </c>
      <c r="X44" t="n">
        <v>28413179.1904427</v>
      </c>
      <c r="Y44" t="n">
        <v>243081362.01843</v>
      </c>
      <c r="Z44" t="n">
        <v>262048257.95906</v>
      </c>
      <c r="AA44" t="n">
        <v>126818680.961342</v>
      </c>
      <c r="AB44" t="n">
        <v>222512183.161084</v>
      </c>
      <c r="AC44" t="n">
        <v>46503077.8899262</v>
      </c>
      <c r="AD44" t="n">
        <v>38799635.9795656</v>
      </c>
      <c r="AE44" t="n">
        <v>30018581.8311275</v>
      </c>
      <c r="AF44" t="n">
        <v>116642804.525645</v>
      </c>
      <c r="AG44" t="n">
        <v>76800675.8854102</v>
      </c>
      <c r="AH44" t="n">
        <v>16248882.7377437</v>
      </c>
      <c r="AI44" t="n">
        <v>3171758.96070578</v>
      </c>
      <c r="AJ44" t="n">
        <v>335920961.988745</v>
      </c>
      <c r="AK44" t="n">
        <v>7418491.42767995</v>
      </c>
      <c r="AL44" t="n">
        <v>1724344.43736655</v>
      </c>
      <c r="AM44" t="n">
        <v>121372270.406138</v>
      </c>
      <c r="AN44" t="n">
        <v>35333521.5310323</v>
      </c>
      <c r="AO44" t="n">
        <v>11304160.7896864</v>
      </c>
      <c r="AP44" t="n">
        <v>1870684.26540034</v>
      </c>
      <c r="AQ44" t="n">
        <v>23564296.7028065</v>
      </c>
      <c r="AR44" t="n">
        <v>18164097.5367518</v>
      </c>
      <c r="AS44" t="n">
        <v>6122955.98019041</v>
      </c>
      <c r="AT44" t="n">
        <v>6153265.40270768</v>
      </c>
      <c r="AU44" t="n">
        <v>11903517.231076</v>
      </c>
      <c r="AV44" t="n">
        <v>1484348.92449831</v>
      </c>
      <c r="AW44" t="n">
        <v>3744166.39394765</v>
      </c>
      <c r="AX44" t="n">
        <v>14784155.6280276</v>
      </c>
      <c r="AY44" t="n">
        <v>15276341.9074165</v>
      </c>
      <c r="AZ44" t="n">
        <v>5311468.7539171</v>
      </c>
      <c r="BA44" t="n">
        <v>11735137.3563078</v>
      </c>
      <c r="BB44" t="n">
        <v>107206171.019471</v>
      </c>
      <c r="BC44" t="n">
        <v>7717789.79085309</v>
      </c>
      <c r="BD44" t="n">
        <v>59278220.6759486</v>
      </c>
      <c r="BE44" t="n">
        <v>12027355.5000307</v>
      </c>
      <c r="BF44" t="n">
        <v>14211972.0625943</v>
      </c>
      <c r="BG44" t="n">
        <v>37202030.1655538</v>
      </c>
      <c r="BH44" t="n">
        <v>55190671.7167717</v>
      </c>
      <c r="BI44" t="n">
        <v>13175946.1976655</v>
      </c>
      <c r="BJ44" t="n">
        <v>22120621.8536773</v>
      </c>
      <c r="BK44" t="n">
        <v>4665407.60745165</v>
      </c>
      <c r="BL44" t="n">
        <v>22970915.0849228</v>
      </c>
      <c r="BM44" t="n">
        <v>13050607.0785301</v>
      </c>
      <c r="BN44" t="n">
        <v>80956219.4578686</v>
      </c>
      <c r="BO44" t="n">
        <v>53869985.0784037</v>
      </c>
      <c r="BP44" t="n">
        <v>49183878.8946906</v>
      </c>
      <c r="BQ44" t="n">
        <v>12902622.7479464</v>
      </c>
      <c r="BR44" t="n">
        <v>17221139.9586416</v>
      </c>
      <c r="BS44" t="n">
        <v>154598365.121615</v>
      </c>
      <c r="BT44" t="n">
        <v>25070092.4071982</v>
      </c>
      <c r="BU44" t="n">
        <v>2701650579.55638</v>
      </c>
      <c r="BV44" t="n">
        <v>319209.429497076</v>
      </c>
      <c r="BW44" t="n">
        <v>713443983.901114</v>
      </c>
      <c r="BX44" t="n">
        <v>27434330.0120712</v>
      </c>
      <c r="BY44" t="n">
        <v>20468117.7617784</v>
      </c>
      <c r="BZ44" t="n">
        <v>80813187.2343431</v>
      </c>
      <c r="CA44" t="n">
        <v>1754534629.23068</v>
      </c>
      <c r="CB44" t="n">
        <v>285319275.088541</v>
      </c>
      <c r="CC44" t="n">
        <v>0</v>
      </c>
      <c r="CD44" t="n">
        <v>0</v>
      </c>
      <c r="CE44" t="n">
        <v>9207155.36570474</v>
      </c>
      <c r="CF44" t="n">
        <v>412926.967916455</v>
      </c>
      <c r="CG44" t="n">
        <v>0</v>
      </c>
      <c r="CH44" t="n">
        <v>0</v>
      </c>
      <c r="CI44" t="n">
        <v>0</v>
      </c>
      <c r="CJ44" t="n">
        <v>513368.662815052</v>
      </c>
      <c r="CK44" t="n">
        <v>0</v>
      </c>
      <c r="CL44" t="n">
        <v>0</v>
      </c>
      <c r="CM44" t="n">
        <v>18894658.4889549</v>
      </c>
      <c r="CN44" t="n">
        <v>1738308.58098385</v>
      </c>
    </row>
    <row r="45">
      <c r="A45" t="s">
        <v>140</v>
      </c>
      <c r="B45" t="n">
        <v>0</v>
      </c>
      <c r="C45" t="n">
        <v>11999.519071837</v>
      </c>
      <c r="D45" t="n">
        <v>986.72407842304</v>
      </c>
      <c r="E45" t="n">
        <v>137038.432844234</v>
      </c>
      <c r="F45" t="n">
        <v>352760.94324974</v>
      </c>
      <c r="G45" t="n">
        <v>47254278.097173</v>
      </c>
      <c r="H45" t="n">
        <v>19705870.6618018</v>
      </c>
      <c r="I45" t="n">
        <v>1075472.51806073</v>
      </c>
      <c r="J45" t="n">
        <v>4064478.36031486</v>
      </c>
      <c r="K45" t="n">
        <v>3088720.67943327</v>
      </c>
      <c r="L45" t="n">
        <v>13094377.7199654</v>
      </c>
      <c r="M45" t="n">
        <v>12070770.9474737</v>
      </c>
      <c r="N45" t="n">
        <v>584529.880603476</v>
      </c>
      <c r="O45" t="n">
        <v>857171.394351268</v>
      </c>
      <c r="P45" t="n">
        <v>4040933.51057218</v>
      </c>
      <c r="Q45" t="n">
        <v>184773.694940412</v>
      </c>
      <c r="R45" t="n">
        <v>1806793.04996405</v>
      </c>
      <c r="S45" t="n">
        <v>5261536.94632597</v>
      </c>
      <c r="T45" t="n">
        <v>10344570.3060466</v>
      </c>
      <c r="U45" t="n">
        <v>131616.50247743</v>
      </c>
      <c r="V45" t="n">
        <v>45306.1648432148</v>
      </c>
      <c r="W45" t="n">
        <v>2478573.25097266</v>
      </c>
      <c r="X45" t="n">
        <v>5194420.89026283</v>
      </c>
      <c r="Y45" t="n">
        <v>3172962.22667239</v>
      </c>
      <c r="Z45" t="n">
        <v>7360249.00414627</v>
      </c>
      <c r="AA45" t="n">
        <v>11985625.1694918</v>
      </c>
      <c r="AB45" t="n">
        <v>84499191.54344</v>
      </c>
      <c r="AC45" t="n">
        <v>4364727.78387508</v>
      </c>
      <c r="AD45" t="n">
        <v>270869.592811966</v>
      </c>
      <c r="AE45" t="n">
        <v>1404489.80124455</v>
      </c>
      <c r="AF45" t="n">
        <v>4953816.23679238</v>
      </c>
      <c r="AG45" t="n">
        <v>68080.0228233581</v>
      </c>
      <c r="AH45" t="n">
        <v>20419586.0217382</v>
      </c>
      <c r="AI45" t="n">
        <v>0</v>
      </c>
      <c r="AJ45" t="n">
        <v>0</v>
      </c>
      <c r="AK45" t="n">
        <v>0</v>
      </c>
      <c r="AL45" t="n">
        <v>91115.1661569303</v>
      </c>
      <c r="AM45" t="n">
        <v>9181506.53066043</v>
      </c>
      <c r="AN45" t="n">
        <v>285639.907319068</v>
      </c>
      <c r="AO45" t="n">
        <v>6111013.82234739</v>
      </c>
      <c r="AP45" t="n">
        <v>2580051.95098534</v>
      </c>
      <c r="AQ45" t="n">
        <v>17065005.0142652</v>
      </c>
      <c r="AR45" t="n">
        <v>42778072.5108778</v>
      </c>
      <c r="AS45" t="n">
        <v>178909423.055876</v>
      </c>
      <c r="AT45" t="n">
        <v>97245314.1239293</v>
      </c>
      <c r="AU45" t="n">
        <v>93400122.2685569</v>
      </c>
      <c r="AV45" t="n">
        <v>18325925.9259259</v>
      </c>
      <c r="AW45" t="n">
        <v>310785.659528932</v>
      </c>
      <c r="AX45" t="n">
        <v>185961446.724026</v>
      </c>
      <c r="AY45" t="n">
        <v>40750521.3904295</v>
      </c>
      <c r="AZ45" t="n">
        <v>41418568.2133859</v>
      </c>
      <c r="BA45" t="n">
        <v>90231450.4650615</v>
      </c>
      <c r="BB45" t="n">
        <v>212259498.036746</v>
      </c>
      <c r="BC45" t="n">
        <v>10189173.3360948</v>
      </c>
      <c r="BD45" t="n">
        <v>166977384.04908</v>
      </c>
      <c r="BE45" t="n">
        <v>9263592.87477051</v>
      </c>
      <c r="BF45" t="n">
        <v>25907256.9456007</v>
      </c>
      <c r="BG45" t="n">
        <v>85559768.6639462</v>
      </c>
      <c r="BH45" t="n">
        <v>165262540.668836</v>
      </c>
      <c r="BI45" t="n">
        <v>29844809.8456572</v>
      </c>
      <c r="BJ45" t="n">
        <v>12014049.9918314</v>
      </c>
      <c r="BK45" t="n">
        <v>95206803.8346298</v>
      </c>
      <c r="BL45" t="n">
        <v>4976472.71936816</v>
      </c>
      <c r="BM45" t="n">
        <v>4362781.67514279</v>
      </c>
      <c r="BN45" t="n">
        <v>51921503.8495906</v>
      </c>
      <c r="BO45" t="n">
        <v>15504353.1213902</v>
      </c>
      <c r="BP45" t="n">
        <v>681927.678208659</v>
      </c>
      <c r="BQ45" t="n">
        <v>189360.90543761</v>
      </c>
      <c r="BR45" t="n">
        <v>520383.871577928</v>
      </c>
      <c r="BS45" t="n">
        <v>723520116.400269</v>
      </c>
      <c r="BT45" t="n">
        <v>24220955.6129006</v>
      </c>
      <c r="BU45" t="n">
        <v>2945513450.56514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141</v>
      </c>
      <c r="B46" t="n">
        <v>2552222.18808143</v>
      </c>
      <c r="C46" t="n">
        <v>16825.4272656865</v>
      </c>
      <c r="D46" t="n">
        <v>1798074.53330401</v>
      </c>
      <c r="E46" t="n">
        <v>553397.422962341</v>
      </c>
      <c r="F46" t="n">
        <v>31707.2194208451</v>
      </c>
      <c r="G46" t="n">
        <v>91162499.1491107</v>
      </c>
      <c r="H46" t="n">
        <v>4352011.87850607</v>
      </c>
      <c r="I46" t="n">
        <v>61262.5334104771</v>
      </c>
      <c r="J46" t="n">
        <v>109982.83402908</v>
      </c>
      <c r="K46" t="n">
        <v>163046.676080793</v>
      </c>
      <c r="L46" t="n">
        <v>369057.504273945</v>
      </c>
      <c r="M46" t="n">
        <v>386864.79711941</v>
      </c>
      <c r="N46" t="n">
        <v>20490.3315954491</v>
      </c>
      <c r="O46" t="n">
        <v>120190.44149639</v>
      </c>
      <c r="P46" t="n">
        <v>63972.0571197418</v>
      </c>
      <c r="Q46" t="n">
        <v>4090.81706071564</v>
      </c>
      <c r="R46" t="n">
        <v>52780.0059880236</v>
      </c>
      <c r="S46" t="n">
        <v>278709.192579483</v>
      </c>
      <c r="T46" t="n">
        <v>689470.547680662</v>
      </c>
      <c r="U46" t="n">
        <v>32808.7799169739</v>
      </c>
      <c r="V46" t="n">
        <v>0</v>
      </c>
      <c r="W46" t="n">
        <v>276127.177118319</v>
      </c>
      <c r="X46" t="n">
        <v>170263.351384855</v>
      </c>
      <c r="Y46" t="n">
        <v>338187024.601541</v>
      </c>
      <c r="Z46" t="n">
        <v>6947363.03763936</v>
      </c>
      <c r="AA46" t="n">
        <v>417539.020653418</v>
      </c>
      <c r="AB46" t="n">
        <v>1387769.25290284</v>
      </c>
      <c r="AC46" t="n">
        <v>161854.221921105</v>
      </c>
      <c r="AD46" t="n">
        <v>113941.982300949</v>
      </c>
      <c r="AE46" t="n">
        <v>67908.2991598623</v>
      </c>
      <c r="AF46" t="n">
        <v>317004.040532217</v>
      </c>
      <c r="AG46" t="n">
        <v>10519704.6887816</v>
      </c>
      <c r="AH46" t="n">
        <v>1714262.7786876</v>
      </c>
      <c r="AI46" t="n">
        <v>520918.136645582</v>
      </c>
      <c r="AJ46" t="n">
        <v>5189100.35616904</v>
      </c>
      <c r="AK46" t="n">
        <v>587645.983464311</v>
      </c>
      <c r="AL46" t="n">
        <v>31939.8550849521</v>
      </c>
      <c r="AM46" t="n">
        <v>3021315.92015804</v>
      </c>
      <c r="AN46" t="n">
        <v>987942.365979231</v>
      </c>
      <c r="AO46" t="n">
        <v>54404.5182657423</v>
      </c>
      <c r="AP46" t="n">
        <v>9217.03105933101</v>
      </c>
      <c r="AQ46" t="n">
        <v>74905.4369649472</v>
      </c>
      <c r="AR46" t="n">
        <v>107926.718943368</v>
      </c>
      <c r="AS46" t="n">
        <v>1005611.983596</v>
      </c>
      <c r="AT46" t="n">
        <v>970763.690060578</v>
      </c>
      <c r="AU46" t="n">
        <v>42042.8022415479</v>
      </c>
      <c r="AV46" t="n">
        <v>316260.401793762</v>
      </c>
      <c r="AW46" t="n">
        <v>58103.4565170779</v>
      </c>
      <c r="AX46" t="n">
        <v>735173.468743491</v>
      </c>
      <c r="AY46" t="n">
        <v>378634.36495338</v>
      </c>
      <c r="AZ46" t="n">
        <v>17924.7180388058</v>
      </c>
      <c r="BA46" t="n">
        <v>248688.542842082</v>
      </c>
      <c r="BB46" t="n">
        <v>372419.174338704</v>
      </c>
      <c r="BC46" t="n">
        <v>173834.28733814</v>
      </c>
      <c r="BD46" t="n">
        <v>1706382.38027712</v>
      </c>
      <c r="BE46" t="n">
        <v>281693.051196974</v>
      </c>
      <c r="BF46" t="n">
        <v>373644.118143508</v>
      </c>
      <c r="BG46" t="n">
        <v>191034.681710477</v>
      </c>
      <c r="BH46" t="n">
        <v>395881.221172012</v>
      </c>
      <c r="BI46" t="n">
        <v>184080.572958179</v>
      </c>
      <c r="BJ46" t="n">
        <v>182665.324630634</v>
      </c>
      <c r="BK46" t="n">
        <v>53959.8273847642</v>
      </c>
      <c r="BL46" t="n">
        <v>245376.221659908</v>
      </c>
      <c r="BM46" t="n">
        <v>156384.252148901</v>
      </c>
      <c r="BN46" t="n">
        <v>797529.407545116</v>
      </c>
      <c r="BO46" t="n">
        <v>577272.014534422</v>
      </c>
      <c r="BP46" t="n">
        <v>879016.466116123</v>
      </c>
      <c r="BQ46" t="n">
        <v>159310.291804085</v>
      </c>
      <c r="BR46" t="n">
        <v>3516311.22333287</v>
      </c>
      <c r="BS46" t="n">
        <v>16030885.2385256</v>
      </c>
      <c r="BT46" t="n">
        <v>44244408.9256576</v>
      </c>
      <c r="BU46" t="n">
        <v>48826677.5376284</v>
      </c>
      <c r="BV46" t="n">
        <v>0</v>
      </c>
      <c r="BW46" t="n">
        <v>0</v>
      </c>
      <c r="BX46" t="n">
        <v>0</v>
      </c>
      <c r="BY46" t="n">
        <v>0</v>
      </c>
      <c r="BZ46" t="n">
        <v>47045278.6017293</v>
      </c>
      <c r="CA46" t="n">
        <v>214883776.337317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142</v>
      </c>
      <c r="B47" t="n">
        <v>0</v>
      </c>
      <c r="C47" t="n">
        <v>443982.205657968</v>
      </c>
      <c r="D47" t="n">
        <v>20721.2056468838</v>
      </c>
      <c r="E47" t="n">
        <v>14498666.1949199</v>
      </c>
      <c r="F47" t="n">
        <v>18090.304782038</v>
      </c>
      <c r="G47" t="n">
        <v>384457572.465498</v>
      </c>
      <c r="H47" t="n">
        <v>0</v>
      </c>
      <c r="I47" t="n">
        <v>10956376.2777437</v>
      </c>
      <c r="J47" t="n">
        <v>29913134.5991593</v>
      </c>
      <c r="K47" t="n">
        <v>4869277.30640068</v>
      </c>
      <c r="L47" t="n">
        <v>5856279.48279859</v>
      </c>
      <c r="M47" t="n">
        <v>1638176.05715715</v>
      </c>
      <c r="N47" t="n">
        <v>0</v>
      </c>
      <c r="O47" t="n">
        <v>244906.112671791</v>
      </c>
      <c r="P47" t="n">
        <v>358469.908195919</v>
      </c>
      <c r="Q47" t="n">
        <v>0</v>
      </c>
      <c r="R47" t="n">
        <v>9033965.24982027</v>
      </c>
      <c r="S47" t="n">
        <v>10464612.3710261</v>
      </c>
      <c r="T47" t="n">
        <v>23565209.48642</v>
      </c>
      <c r="U47" t="n">
        <v>833571.182357058</v>
      </c>
      <c r="V47" t="n">
        <v>0</v>
      </c>
      <c r="W47" t="n">
        <v>19183477.9013637</v>
      </c>
      <c r="X47" t="n">
        <v>23611004.0466492</v>
      </c>
      <c r="Y47" t="n">
        <v>56372962.2272128</v>
      </c>
      <c r="Z47" t="n">
        <v>11249811.4860122</v>
      </c>
      <c r="AA47" t="n">
        <v>39828009.1035906</v>
      </c>
      <c r="AB47" t="n">
        <v>3322020798.01543</v>
      </c>
      <c r="AC47" t="n">
        <v>68464903.5850818</v>
      </c>
      <c r="AD47" t="n">
        <v>72728485.6700127</v>
      </c>
      <c r="AE47" t="n">
        <v>24796509.5943865</v>
      </c>
      <c r="AF47" t="n">
        <v>429519140.692085</v>
      </c>
      <c r="AG47" t="n">
        <v>1919516243.50458</v>
      </c>
      <c r="AH47" t="n">
        <v>81223130.3858312</v>
      </c>
      <c r="AI47" t="n">
        <v>93535163.3481539</v>
      </c>
      <c r="AJ47" t="n">
        <v>2626891119.99867</v>
      </c>
      <c r="AK47" t="n">
        <v>50501067.4322733</v>
      </c>
      <c r="AL47" t="n">
        <v>20819815.4668586</v>
      </c>
      <c r="AM47" t="n">
        <v>1527579783.07514</v>
      </c>
      <c r="AN47" t="n">
        <v>270405778.928717</v>
      </c>
      <c r="AO47" t="n">
        <v>31379570.9766568</v>
      </c>
      <c r="AP47" t="n">
        <v>17616660.4551356</v>
      </c>
      <c r="AQ47" t="n">
        <v>3739461.96834334</v>
      </c>
      <c r="AR47" t="n">
        <v>127150049.435447</v>
      </c>
      <c r="AS47" t="n">
        <v>42876568.6289081</v>
      </c>
      <c r="AT47" t="n">
        <v>236775830.555854</v>
      </c>
      <c r="AU47" t="n">
        <v>5097277.94082012</v>
      </c>
      <c r="AV47" t="n">
        <v>0</v>
      </c>
      <c r="AW47" t="n">
        <v>0</v>
      </c>
      <c r="AX47" t="n">
        <v>0</v>
      </c>
      <c r="AY47" t="n">
        <v>174253484.539999</v>
      </c>
      <c r="AZ47" t="n">
        <v>42185578.735856</v>
      </c>
      <c r="BA47" t="n">
        <v>36173869.7810382</v>
      </c>
      <c r="BB47" t="n">
        <v>392204202.837449</v>
      </c>
      <c r="BC47" t="n">
        <v>22005515.0376496</v>
      </c>
      <c r="BD47" t="n">
        <v>132072507.157464</v>
      </c>
      <c r="BE47" t="n">
        <v>63171006.8327724</v>
      </c>
      <c r="BF47" t="n">
        <v>18751919.3130062</v>
      </c>
      <c r="BG47" t="n">
        <v>74796676.7460294</v>
      </c>
      <c r="BH47" t="n">
        <v>241297912.841066</v>
      </c>
      <c r="BI47" t="n">
        <v>16191465.7520428</v>
      </c>
      <c r="BJ47" t="n">
        <v>47296275.1184447</v>
      </c>
      <c r="BK47" t="n">
        <v>22358590.5529183</v>
      </c>
      <c r="BL47" t="n">
        <v>34835309.0355771</v>
      </c>
      <c r="BM47" t="n">
        <v>3805132.88959823</v>
      </c>
      <c r="BN47" t="n">
        <v>38433288.4520443</v>
      </c>
      <c r="BO47" t="n">
        <v>48527749.3177975</v>
      </c>
      <c r="BP47" t="n">
        <v>47854.5739093796</v>
      </c>
      <c r="BQ47" t="n">
        <v>6898147.26951295</v>
      </c>
      <c r="BR47" t="n">
        <v>31867317.0880579</v>
      </c>
      <c r="BS47" t="n">
        <v>34378838.975107</v>
      </c>
      <c r="BT47" t="n">
        <v>78610616.2939408</v>
      </c>
      <c r="BU47" t="n">
        <v>949855644.968253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557516009.926715</v>
      </c>
      <c r="CB47" t="n">
        <v>179571980.134254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143</v>
      </c>
      <c r="B48" t="n">
        <v>13046706.3888231</v>
      </c>
      <c r="C48" t="n">
        <v>0</v>
      </c>
      <c r="D48" t="n">
        <v>3004.40270934206</v>
      </c>
      <c r="E48" t="n">
        <v>2044564.81282803</v>
      </c>
      <c r="F48" t="n">
        <v>0</v>
      </c>
      <c r="G48" t="n">
        <v>15546081.3546803</v>
      </c>
      <c r="H48" t="n">
        <v>0</v>
      </c>
      <c r="I48" t="n">
        <v>10045598.1684405</v>
      </c>
      <c r="J48" t="n">
        <v>31029534.2646565</v>
      </c>
      <c r="K48" t="n">
        <v>1272389.18543458</v>
      </c>
      <c r="L48" t="n">
        <v>19901656.0441665</v>
      </c>
      <c r="M48" t="n">
        <v>19120514.694183</v>
      </c>
      <c r="N48" t="n">
        <v>5388813.24285041</v>
      </c>
      <c r="O48" t="n">
        <v>2609937.38358471</v>
      </c>
      <c r="P48" t="n">
        <v>1488379.56041365</v>
      </c>
      <c r="Q48" t="n">
        <v>204807.477059127</v>
      </c>
      <c r="R48" t="n">
        <v>1910197.80800824</v>
      </c>
      <c r="S48" t="n">
        <v>13914068.1457798</v>
      </c>
      <c r="T48" t="n">
        <v>87312333.3017331</v>
      </c>
      <c r="U48" t="n">
        <v>6768210.27875179</v>
      </c>
      <c r="V48" t="n">
        <v>3241810.18124768</v>
      </c>
      <c r="W48" t="n">
        <v>44160976.9922323</v>
      </c>
      <c r="X48" t="n">
        <v>22046692.6174865</v>
      </c>
      <c r="Y48" t="n">
        <v>34967874.5731075</v>
      </c>
      <c r="Z48" t="n">
        <v>81079269.1902028</v>
      </c>
      <c r="AA48" t="n">
        <v>117075914.915113</v>
      </c>
      <c r="AB48" t="n">
        <v>751360564.412717</v>
      </c>
      <c r="AC48" t="n">
        <v>132550542.244235</v>
      </c>
      <c r="AD48" t="n">
        <v>139749418.008016</v>
      </c>
      <c r="AE48" t="n">
        <v>99635821.2367606</v>
      </c>
      <c r="AF48" t="n">
        <v>398852450.349625</v>
      </c>
      <c r="AG48" t="n">
        <v>5320489.39554552</v>
      </c>
      <c r="AH48" t="n">
        <v>33001.102838456</v>
      </c>
      <c r="AI48" t="n">
        <v>10715134.7095497</v>
      </c>
      <c r="AJ48" t="n">
        <v>171057527.290032</v>
      </c>
      <c r="AK48" t="n">
        <v>5742333.92154851</v>
      </c>
      <c r="AL48" t="n">
        <v>6820148.95930103</v>
      </c>
      <c r="AM48" t="n">
        <v>29275785.5240102</v>
      </c>
      <c r="AN48" t="n">
        <v>166890313.476624</v>
      </c>
      <c r="AO48" t="n">
        <v>5267052.68704332</v>
      </c>
      <c r="AP48" t="n">
        <v>2376757.24734373</v>
      </c>
      <c r="AQ48" t="n">
        <v>5708065.57781418</v>
      </c>
      <c r="AR48" t="n">
        <v>20672022.4284247</v>
      </c>
      <c r="AS48" t="n">
        <v>0</v>
      </c>
      <c r="AT48" t="n">
        <v>0</v>
      </c>
      <c r="AU48" t="n">
        <v>684720.098670478</v>
      </c>
      <c r="AV48" t="n">
        <v>0</v>
      </c>
      <c r="AW48" t="n">
        <v>26285.7812345193</v>
      </c>
      <c r="AX48" t="n">
        <v>5406870.46981096</v>
      </c>
      <c r="AY48" t="n">
        <v>14907658.7916209</v>
      </c>
      <c r="AZ48" t="n">
        <v>5773660.54714908</v>
      </c>
      <c r="BA48" t="n">
        <v>4668988.39617939</v>
      </c>
      <c r="BB48" t="n">
        <v>28529450.7518999</v>
      </c>
      <c r="BC48" t="n">
        <v>216265.406316854</v>
      </c>
      <c r="BD48" t="n">
        <v>312973276.725728</v>
      </c>
      <c r="BE48" t="n">
        <v>6079210.09983321</v>
      </c>
      <c r="BF48" t="n">
        <v>4657857.96994174</v>
      </c>
      <c r="BG48" t="n">
        <v>12220262.8894251</v>
      </c>
      <c r="BH48" t="n">
        <v>37844657.5911832</v>
      </c>
      <c r="BI48" t="n">
        <v>3975105.33063166</v>
      </c>
      <c r="BJ48" t="n">
        <v>4609313.43120302</v>
      </c>
      <c r="BK48" t="n">
        <v>4921301.80727824</v>
      </c>
      <c r="BL48" t="n">
        <v>3441225.1550834</v>
      </c>
      <c r="BM48" t="n">
        <v>9788143.63736296</v>
      </c>
      <c r="BN48" t="n">
        <v>21194378.801069</v>
      </c>
      <c r="BO48" t="n">
        <v>15824921.0193812</v>
      </c>
      <c r="BP48" t="n">
        <v>2647043.754351</v>
      </c>
      <c r="BQ48" t="n">
        <v>17585413.2967023</v>
      </c>
      <c r="BR48" t="n">
        <v>0</v>
      </c>
      <c r="BS48" t="n">
        <v>125808512.4747</v>
      </c>
      <c r="BT48" t="n">
        <v>1345511.66106605</v>
      </c>
      <c r="BU48" t="n">
        <v>5969332.14865455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8100968.59161497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144</v>
      </c>
      <c r="B49" t="n">
        <v>950774.991274817</v>
      </c>
      <c r="C49" t="n">
        <v>0</v>
      </c>
      <c r="D49" t="n">
        <v>8964.3438231472</v>
      </c>
      <c r="E49" t="n">
        <v>9634.34399219202</v>
      </c>
      <c r="F49" t="n">
        <v>10210.1630764923</v>
      </c>
      <c r="G49" t="n">
        <v>4868948.89717412</v>
      </c>
      <c r="H49" t="n">
        <v>10052330.8864561</v>
      </c>
      <c r="I49" t="n">
        <v>134944.840745648</v>
      </c>
      <c r="J49" t="n">
        <v>12532.8468846157</v>
      </c>
      <c r="K49" t="n">
        <v>202393.224884373</v>
      </c>
      <c r="L49" t="n">
        <v>2086908.44698767</v>
      </c>
      <c r="M49" t="n">
        <v>1293834.20146825</v>
      </c>
      <c r="N49" t="n">
        <v>408290.001154777</v>
      </c>
      <c r="O49" t="n">
        <v>43044.6715986699</v>
      </c>
      <c r="P49" t="n">
        <v>353339.026726414</v>
      </c>
      <c r="Q49" t="n">
        <v>265965.063321115</v>
      </c>
      <c r="R49" t="n">
        <v>143495.438209785</v>
      </c>
      <c r="S49" t="n">
        <v>671783.338459722</v>
      </c>
      <c r="T49" t="n">
        <v>176839.188564233</v>
      </c>
      <c r="U49" t="n">
        <v>0</v>
      </c>
      <c r="V49" t="n">
        <v>0</v>
      </c>
      <c r="W49" t="n">
        <v>83546.201261463</v>
      </c>
      <c r="X49" t="n">
        <v>1083461.16390414</v>
      </c>
      <c r="Y49" t="n">
        <v>238775.868512302</v>
      </c>
      <c r="Z49" t="n">
        <v>813825.292749857</v>
      </c>
      <c r="AA49" t="n">
        <v>209350.774652701</v>
      </c>
      <c r="AB49" t="n">
        <v>70437100.9807203</v>
      </c>
      <c r="AC49" t="n">
        <v>5808989.34873935</v>
      </c>
      <c r="AD49" t="n">
        <v>1357373.72052709</v>
      </c>
      <c r="AE49" t="n">
        <v>4168019.88096961</v>
      </c>
      <c r="AF49" t="n">
        <v>10227325.5866726</v>
      </c>
      <c r="AG49" t="n">
        <v>498846.568190855</v>
      </c>
      <c r="AH49" t="n">
        <v>1677412.18418161</v>
      </c>
      <c r="AI49" t="n">
        <v>0</v>
      </c>
      <c r="AJ49" t="n">
        <v>746122.247143046</v>
      </c>
      <c r="AK49" t="n">
        <v>351282.718119407</v>
      </c>
      <c r="AL49" t="n">
        <v>0</v>
      </c>
      <c r="AM49" t="n">
        <v>8452101.79455058</v>
      </c>
      <c r="AN49" t="n">
        <v>2358142.79394191</v>
      </c>
      <c r="AO49" t="n">
        <v>289812082.919287</v>
      </c>
      <c r="AP49" t="n">
        <v>424784.778444319</v>
      </c>
      <c r="AQ49" t="n">
        <v>6569583.04752321</v>
      </c>
      <c r="AR49" t="n">
        <v>29801180.1288436</v>
      </c>
      <c r="AS49" t="n">
        <v>9533997.88886997</v>
      </c>
      <c r="AT49" t="n">
        <v>20064153.7463441</v>
      </c>
      <c r="AU49" t="n">
        <v>16710811.1067726</v>
      </c>
      <c r="AV49" t="n">
        <v>2189738.32828818</v>
      </c>
      <c r="AW49" t="n">
        <v>0</v>
      </c>
      <c r="AX49" t="n">
        <v>7721588.43128417</v>
      </c>
      <c r="AY49" t="n">
        <v>10818337.4096738</v>
      </c>
      <c r="AZ49" t="n">
        <v>28304555.035321</v>
      </c>
      <c r="BA49" t="n">
        <v>14854225.6297377</v>
      </c>
      <c r="BB49" t="n">
        <v>78869722.776244</v>
      </c>
      <c r="BC49" t="n">
        <v>7702490.08888274</v>
      </c>
      <c r="BD49" t="n">
        <v>47212160.6457653</v>
      </c>
      <c r="BE49" t="n">
        <v>388270.093059897</v>
      </c>
      <c r="BF49" t="n">
        <v>12687447.0763774</v>
      </c>
      <c r="BG49" t="n">
        <v>22783387.3767365</v>
      </c>
      <c r="BH49" t="n">
        <v>36029952.5156981</v>
      </c>
      <c r="BI49" t="n">
        <v>2136873.24331209</v>
      </c>
      <c r="BJ49" t="n">
        <v>14799958.0749286</v>
      </c>
      <c r="BK49" t="n">
        <v>805352.154450278</v>
      </c>
      <c r="BL49" t="n">
        <v>1525936.65774397</v>
      </c>
      <c r="BM49" t="n">
        <v>1717100.71863762</v>
      </c>
      <c r="BN49" t="n">
        <v>2612233.6021597</v>
      </c>
      <c r="BO49" t="n">
        <v>9143183.79443713</v>
      </c>
      <c r="BP49" t="n">
        <v>276254.72737069</v>
      </c>
      <c r="BQ49" t="n">
        <v>11449005.237972</v>
      </c>
      <c r="BR49" t="n">
        <v>318240.852811817</v>
      </c>
      <c r="BS49" t="n">
        <v>147378346.930868</v>
      </c>
      <c r="BT49" t="n">
        <v>2872063.0407222</v>
      </c>
      <c r="BU49" t="n">
        <v>1714082726.03366</v>
      </c>
      <c r="BV49" t="n">
        <v>0</v>
      </c>
      <c r="BW49" t="n">
        <v>0</v>
      </c>
      <c r="BX49" t="n">
        <v>1354656491.02923</v>
      </c>
      <c r="BY49" t="n">
        <v>0</v>
      </c>
      <c r="BZ49" t="n">
        <v>9663012.17123132</v>
      </c>
      <c r="CA49" t="n">
        <v>1238875746.58097</v>
      </c>
      <c r="CB49" t="n">
        <v>-197613555.763892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118013061.288581</v>
      </c>
    </row>
    <row r="50">
      <c r="A50" t="s">
        <v>145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609033.625044208</v>
      </c>
      <c r="AC50" t="n">
        <v>2023268.80976069</v>
      </c>
      <c r="AD50" t="n">
        <v>2155798.43354929</v>
      </c>
      <c r="AE50" t="n">
        <v>0</v>
      </c>
      <c r="AF50" t="n">
        <v>723868.327575591</v>
      </c>
      <c r="AG50" t="n">
        <v>143575.437767486</v>
      </c>
      <c r="AH50" t="n">
        <v>0</v>
      </c>
      <c r="AI50" t="n">
        <v>0</v>
      </c>
      <c r="AJ50" t="n">
        <v>16944.0238368633</v>
      </c>
      <c r="AK50" t="n">
        <v>0</v>
      </c>
      <c r="AL50" t="n">
        <v>212678.63940404</v>
      </c>
      <c r="AM50" t="n">
        <v>162370.751474433</v>
      </c>
      <c r="AN50" t="n">
        <v>0</v>
      </c>
      <c r="AO50" t="n">
        <v>829547.551735146</v>
      </c>
      <c r="AP50" t="n">
        <v>156644437.98822</v>
      </c>
      <c r="AQ50" t="n">
        <v>330005587.377841</v>
      </c>
      <c r="AR50" t="n">
        <v>1710603.89827284</v>
      </c>
      <c r="AS50" t="n">
        <v>366113.181046045</v>
      </c>
      <c r="AT50" t="n">
        <v>359611.765154113</v>
      </c>
      <c r="AU50" t="n">
        <v>0</v>
      </c>
      <c r="AV50" t="n">
        <v>0</v>
      </c>
      <c r="AW50" t="n">
        <v>0</v>
      </c>
      <c r="AX50" t="n">
        <v>375529.681723751</v>
      </c>
      <c r="AY50" t="n">
        <v>4100749.7529273</v>
      </c>
      <c r="AZ50" t="n">
        <v>134797.094861004</v>
      </c>
      <c r="BA50" t="n">
        <v>344989.178269275</v>
      </c>
      <c r="BB50" t="n">
        <v>25303751.1495442</v>
      </c>
      <c r="BC50" t="n">
        <v>2371341.46369713</v>
      </c>
      <c r="BD50" t="n">
        <v>637016.040041269</v>
      </c>
      <c r="BE50" t="n">
        <v>0</v>
      </c>
      <c r="BF50" t="n">
        <v>9088207.29903416</v>
      </c>
      <c r="BG50" t="n">
        <v>406029.785446346</v>
      </c>
      <c r="BH50" t="n">
        <v>213028.564839726</v>
      </c>
      <c r="BI50" t="n">
        <v>10395591.3817134</v>
      </c>
      <c r="BJ50" t="n">
        <v>10882997.8021834</v>
      </c>
      <c r="BK50" t="n">
        <v>2980735.52111045</v>
      </c>
      <c r="BL50" t="n">
        <v>939420.133710905</v>
      </c>
      <c r="BM50" t="n">
        <v>8555075.07164214</v>
      </c>
      <c r="BN50" t="n">
        <v>34611701.969401</v>
      </c>
      <c r="BO50" t="n">
        <v>2838193.829819</v>
      </c>
      <c r="BP50" t="n">
        <v>85759.5565253822</v>
      </c>
      <c r="BQ50" t="n">
        <v>4595046.21577918</v>
      </c>
      <c r="BR50" t="n">
        <v>260316.906730975</v>
      </c>
      <c r="BS50" t="n">
        <v>4582303.77085048</v>
      </c>
      <c r="BT50" t="n">
        <v>0</v>
      </c>
      <c r="BU50" t="n">
        <v>209150397.279071</v>
      </c>
      <c r="BV50" t="n">
        <v>0</v>
      </c>
      <c r="BW50" t="n">
        <v>0</v>
      </c>
      <c r="BX50" t="n">
        <v>110243255.250206</v>
      </c>
      <c r="BY50" t="n">
        <v>0</v>
      </c>
      <c r="BZ50" t="n">
        <v>-1509084.98751672</v>
      </c>
      <c r="CA50" t="n">
        <v>334453033.277332</v>
      </c>
      <c r="CB50" t="n">
        <v>-336181675.108914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146</v>
      </c>
      <c r="B51" t="n">
        <v>20673010.2925752</v>
      </c>
      <c r="C51" t="n">
        <v>61835.7046458674</v>
      </c>
      <c r="D51" t="n">
        <v>345764.26983648</v>
      </c>
      <c r="E51" t="n">
        <v>3167739.53836478</v>
      </c>
      <c r="F51" t="n">
        <v>1158624.13316058</v>
      </c>
      <c r="G51" t="n">
        <v>47430805.817555</v>
      </c>
      <c r="H51" t="n">
        <v>142606435.486159</v>
      </c>
      <c r="I51" t="n">
        <v>4725634.62433434</v>
      </c>
      <c r="J51" t="n">
        <v>22870423.7999363</v>
      </c>
      <c r="K51" t="n">
        <v>8132250.11771698</v>
      </c>
      <c r="L51" t="n">
        <v>57322551.5942395</v>
      </c>
      <c r="M51" t="n">
        <v>70286611.2680634</v>
      </c>
      <c r="N51" t="n">
        <v>5952658.83553414</v>
      </c>
      <c r="O51" t="n">
        <v>6535594.06357226</v>
      </c>
      <c r="P51" t="n">
        <v>11611352.6400163</v>
      </c>
      <c r="Q51" t="n">
        <v>2247986.11510608</v>
      </c>
      <c r="R51" t="n">
        <v>5569813.64997853</v>
      </c>
      <c r="S51" t="n">
        <v>20313723.9944321</v>
      </c>
      <c r="T51" t="n">
        <v>50929222.5270321</v>
      </c>
      <c r="U51" t="n">
        <v>1011982.78288843</v>
      </c>
      <c r="V51" t="n">
        <v>567000.779529733</v>
      </c>
      <c r="W51" t="n">
        <v>8698323.91145633</v>
      </c>
      <c r="X51" t="n">
        <v>22248557.5316688</v>
      </c>
      <c r="Y51" t="n">
        <v>4905255.46715028</v>
      </c>
      <c r="Z51" t="n">
        <v>24404762.9873085</v>
      </c>
      <c r="AA51" t="n">
        <v>25100231.5284269</v>
      </c>
      <c r="AB51" t="n">
        <v>470487852.882173</v>
      </c>
      <c r="AC51" t="n">
        <v>49844070.225327</v>
      </c>
      <c r="AD51" t="n">
        <v>25723342.4219854</v>
      </c>
      <c r="AE51" t="n">
        <v>15687390.3150069</v>
      </c>
      <c r="AF51" t="n">
        <v>147767189.922369</v>
      </c>
      <c r="AG51" t="n">
        <v>98250009.4613446</v>
      </c>
      <c r="AH51" t="n">
        <v>4978838.71759834</v>
      </c>
      <c r="AI51" t="n">
        <v>4379334.16415785</v>
      </c>
      <c r="AJ51" t="n">
        <v>61810292.7438558</v>
      </c>
      <c r="AK51" t="n">
        <v>49035745.4502149</v>
      </c>
      <c r="AL51" t="n">
        <v>28328912.6592253</v>
      </c>
      <c r="AM51" t="n">
        <v>50595867.4958673</v>
      </c>
      <c r="AN51" t="n">
        <v>12406472.8339829</v>
      </c>
      <c r="AO51" t="n">
        <v>40363676.9267458</v>
      </c>
      <c r="AP51" t="n">
        <v>13009465.6175606</v>
      </c>
      <c r="AQ51" t="n">
        <v>2051801083.26382</v>
      </c>
      <c r="AR51" t="n">
        <v>343521613.797331</v>
      </c>
      <c r="AS51" t="n">
        <v>254607620.568359</v>
      </c>
      <c r="AT51" t="n">
        <v>181730851.50894</v>
      </c>
      <c r="AU51" t="n">
        <v>178131351.223755</v>
      </c>
      <c r="AV51" t="n">
        <v>59412181.5240319</v>
      </c>
      <c r="AW51" t="n">
        <v>495713.226514657</v>
      </c>
      <c r="AX51" t="n">
        <v>220517144.623402</v>
      </c>
      <c r="AY51" t="n">
        <v>64998405.8827651</v>
      </c>
      <c r="AZ51" t="n">
        <v>164736418.749395</v>
      </c>
      <c r="BA51" t="n">
        <v>66353727.2486864</v>
      </c>
      <c r="BB51" t="n">
        <v>335841342.819046</v>
      </c>
      <c r="BC51" t="n">
        <v>56100275.7114165</v>
      </c>
      <c r="BD51" t="n">
        <v>457793570.553388</v>
      </c>
      <c r="BE51" t="n">
        <v>29989668.5488938</v>
      </c>
      <c r="BF51" t="n">
        <v>79775934.1947605</v>
      </c>
      <c r="BG51" t="n">
        <v>147721205.458694</v>
      </c>
      <c r="BH51" t="n">
        <v>99133519.0140539</v>
      </c>
      <c r="BI51" t="n">
        <v>42330874.4998592</v>
      </c>
      <c r="BJ51" t="n">
        <v>21178534.9270094</v>
      </c>
      <c r="BK51" t="n">
        <v>23938803.1349753</v>
      </c>
      <c r="BL51" t="n">
        <v>57167080.4952043</v>
      </c>
      <c r="BM51" t="n">
        <v>99612359.2131705</v>
      </c>
      <c r="BN51" t="n">
        <v>172462816.165533</v>
      </c>
      <c r="BO51" t="n">
        <v>185373309.692098</v>
      </c>
      <c r="BP51" t="n">
        <v>58615482.3120181</v>
      </c>
      <c r="BQ51" t="n">
        <v>182224941.43845</v>
      </c>
      <c r="BR51" t="n">
        <v>37294002.7567295</v>
      </c>
      <c r="BS51" t="n">
        <v>2218952900.03425</v>
      </c>
      <c r="BT51" t="n">
        <v>32994879.3536799</v>
      </c>
      <c r="BU51" t="n">
        <v>11461668882.7002</v>
      </c>
      <c r="BV51" t="n">
        <v>0</v>
      </c>
      <c r="BW51" t="n">
        <v>159470776.50991</v>
      </c>
      <c r="BX51" t="n">
        <v>710169242.953517</v>
      </c>
      <c r="BY51" t="n">
        <v>0</v>
      </c>
      <c r="BZ51" t="n">
        <v>0</v>
      </c>
      <c r="CA51" t="n">
        <v>320126593.153831</v>
      </c>
      <c r="CB51" t="n">
        <v>-6214559.17346065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147</v>
      </c>
      <c r="B52" t="n">
        <v>0</v>
      </c>
      <c r="C52" t="n">
        <v>0</v>
      </c>
      <c r="D52" t="n">
        <v>36611.4547872798</v>
      </c>
      <c r="E52" t="n">
        <v>195564.623224087</v>
      </c>
      <c r="F52" t="n">
        <v>46792.0218589128</v>
      </c>
      <c r="G52" t="n">
        <v>159653685.643756</v>
      </c>
      <c r="H52" t="n">
        <v>46498406.1295056</v>
      </c>
      <c r="I52" t="n">
        <v>7271056.19479139</v>
      </c>
      <c r="J52" t="n">
        <v>27724635.9122111</v>
      </c>
      <c r="K52" t="n">
        <v>17278799.6645523</v>
      </c>
      <c r="L52" t="n">
        <v>88278463.9132304</v>
      </c>
      <c r="M52" t="n">
        <v>113457691.289389</v>
      </c>
      <c r="N52" t="n">
        <v>3632115.72743845</v>
      </c>
      <c r="O52" t="n">
        <v>17667303.5008074</v>
      </c>
      <c r="P52" t="n">
        <v>12868212.9737336</v>
      </c>
      <c r="Q52" t="n">
        <v>4530562.24789925</v>
      </c>
      <c r="R52" t="n">
        <v>12983537.9651009</v>
      </c>
      <c r="S52" t="n">
        <v>31094120.1983716</v>
      </c>
      <c r="T52" t="n">
        <v>57368737.1949379</v>
      </c>
      <c r="U52" t="n">
        <v>1273050.35865863</v>
      </c>
      <c r="V52" t="n">
        <v>646554.610513011</v>
      </c>
      <c r="W52" t="n">
        <v>19681922.2742947</v>
      </c>
      <c r="X52" t="n">
        <v>14344340.7008207</v>
      </c>
      <c r="Y52" t="n">
        <v>9999480.5966357</v>
      </c>
      <c r="Z52" t="n">
        <v>25721206.2096724</v>
      </c>
      <c r="AA52" t="n">
        <v>23956825.751853</v>
      </c>
      <c r="AB52" t="n">
        <v>161008435.865504</v>
      </c>
      <c r="AC52" t="n">
        <v>121431546.795175</v>
      </c>
      <c r="AD52" t="n">
        <v>50342313.782087</v>
      </c>
      <c r="AE52" t="n">
        <v>45857906.4594513</v>
      </c>
      <c r="AF52" t="n">
        <v>237521623.416381</v>
      </c>
      <c r="AG52" t="n">
        <v>40067090.1911535</v>
      </c>
      <c r="AH52" t="n">
        <v>0</v>
      </c>
      <c r="AI52" t="n">
        <v>0</v>
      </c>
      <c r="AJ52" t="n">
        <v>6998491.34628873</v>
      </c>
      <c r="AK52" t="n">
        <v>8295454.33314116</v>
      </c>
      <c r="AL52" t="n">
        <v>1706624.1845564</v>
      </c>
      <c r="AM52" t="n">
        <v>34786839.3308864</v>
      </c>
      <c r="AN52" t="n">
        <v>7622742.27290156</v>
      </c>
      <c r="AO52" t="n">
        <v>67251497.7401159</v>
      </c>
      <c r="AP52" t="n">
        <v>2772023.30707024</v>
      </c>
      <c r="AQ52" t="n">
        <v>81267802.722984</v>
      </c>
      <c r="AR52" t="n">
        <v>363694461.412248</v>
      </c>
      <c r="AS52" t="n">
        <v>568926213.396206</v>
      </c>
      <c r="AT52" t="n">
        <v>178844730.54658</v>
      </c>
      <c r="AU52" t="n">
        <v>138821510.379827</v>
      </c>
      <c r="AV52" t="n">
        <v>161412630.17212</v>
      </c>
      <c r="AW52" t="n">
        <v>36959.6319001922</v>
      </c>
      <c r="AX52" t="n">
        <v>25872405.1559002</v>
      </c>
      <c r="AY52" t="n">
        <v>36913206.1435793</v>
      </c>
      <c r="AZ52" t="n">
        <v>198312855.639862</v>
      </c>
      <c r="BA52" t="n">
        <v>117720960.093119</v>
      </c>
      <c r="BB52" t="n">
        <v>573900428.278997</v>
      </c>
      <c r="BC52" t="n">
        <v>45275853.4061131</v>
      </c>
      <c r="BD52" t="n">
        <v>1236886694.71869</v>
      </c>
      <c r="BE52" t="n">
        <v>46025614.5207941</v>
      </c>
      <c r="BF52" t="n">
        <v>177382664.616246</v>
      </c>
      <c r="BG52" t="n">
        <v>50439944.3335206</v>
      </c>
      <c r="BH52" t="n">
        <v>130190478.131497</v>
      </c>
      <c r="BI52" t="n">
        <v>11465954.8306252</v>
      </c>
      <c r="BJ52" t="n">
        <v>23455818.5781958</v>
      </c>
      <c r="BK52" t="n">
        <v>33011644.7491753</v>
      </c>
      <c r="BL52" t="n">
        <v>57884347.5769062</v>
      </c>
      <c r="BM52" t="n">
        <v>25569070.4942278</v>
      </c>
      <c r="BN52" t="n">
        <v>335278525.56615</v>
      </c>
      <c r="BO52" t="n">
        <v>245819207.389591</v>
      </c>
      <c r="BP52" t="n">
        <v>15420400.5752068</v>
      </c>
      <c r="BQ52" t="n">
        <v>86999780.4216324</v>
      </c>
      <c r="BR52" t="n">
        <v>10149259.1536977</v>
      </c>
      <c r="BS52" t="n">
        <v>997075633.817676</v>
      </c>
      <c r="BT52" t="n">
        <v>51180113.3152803</v>
      </c>
      <c r="BU52" t="n">
        <v>2178879904.28619</v>
      </c>
      <c r="BV52" t="n">
        <v>0</v>
      </c>
      <c r="BW52" t="n">
        <v>0</v>
      </c>
      <c r="BX52" t="n">
        <v>954682725.462432</v>
      </c>
      <c r="BY52" t="n">
        <v>0</v>
      </c>
      <c r="BZ52" t="n">
        <v>0</v>
      </c>
      <c r="CA52" t="n">
        <v>201964015.665065</v>
      </c>
      <c r="CB52" t="n">
        <v>-55985689.2586494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140792546.996613</v>
      </c>
    </row>
    <row r="53">
      <c r="A53" t="s">
        <v>148</v>
      </c>
      <c r="B53" t="n">
        <v>27904347.5257723</v>
      </c>
      <c r="C53" t="n">
        <v>924448.59408621</v>
      </c>
      <c r="D53" t="n">
        <v>512801.989351985</v>
      </c>
      <c r="E53" t="n">
        <v>4556423.79421386</v>
      </c>
      <c r="F53" t="n">
        <v>370519.481994174</v>
      </c>
      <c r="G53" t="n">
        <v>64856274.7719971</v>
      </c>
      <c r="H53" t="n">
        <v>58849410.5285185</v>
      </c>
      <c r="I53" t="n">
        <v>2650822.06207845</v>
      </c>
      <c r="J53" t="n">
        <v>8205854.66652741</v>
      </c>
      <c r="K53" t="n">
        <v>9186132.67770773</v>
      </c>
      <c r="L53" t="n">
        <v>28915996.5096538</v>
      </c>
      <c r="M53" t="n">
        <v>44042900.9753279</v>
      </c>
      <c r="N53" t="n">
        <v>17609947.9704313</v>
      </c>
      <c r="O53" t="n">
        <v>15735940.1207076</v>
      </c>
      <c r="P53" t="n">
        <v>24169213.3826695</v>
      </c>
      <c r="Q53" t="n">
        <v>881992.211480013</v>
      </c>
      <c r="R53" t="n">
        <v>4187222.48329123</v>
      </c>
      <c r="S53" t="n">
        <v>20818019.2126925</v>
      </c>
      <c r="T53" t="n">
        <v>45510820.191603</v>
      </c>
      <c r="U53" t="n">
        <v>1277570.31179476</v>
      </c>
      <c r="V53" t="n">
        <v>4268635.2087679</v>
      </c>
      <c r="W53" t="n">
        <v>7971754.19178917</v>
      </c>
      <c r="X53" t="n">
        <v>9209030.80872032</v>
      </c>
      <c r="Y53" t="n">
        <v>17463509.2658417</v>
      </c>
      <c r="Z53" t="n">
        <v>61396659.1216262</v>
      </c>
      <c r="AA53" t="n">
        <v>30410543.1755667</v>
      </c>
      <c r="AB53" t="n">
        <v>430799298.310965</v>
      </c>
      <c r="AC53" t="n">
        <v>33707063.1629675</v>
      </c>
      <c r="AD53" t="n">
        <v>24365701.3691945</v>
      </c>
      <c r="AE53" t="n">
        <v>28668186.7344021</v>
      </c>
      <c r="AF53" t="n">
        <v>78886930.0507911</v>
      </c>
      <c r="AG53" t="n">
        <v>24521091.9035415</v>
      </c>
      <c r="AH53" t="n">
        <v>89343171.2303675</v>
      </c>
      <c r="AI53" t="n">
        <v>4228870.933258</v>
      </c>
      <c r="AJ53" t="n">
        <v>22963887.1050576</v>
      </c>
      <c r="AK53" t="n">
        <v>48796412.721624</v>
      </c>
      <c r="AL53" t="n">
        <v>19145977.1889203</v>
      </c>
      <c r="AM53" t="n">
        <v>24666175.0293676</v>
      </c>
      <c r="AN53" t="n">
        <v>3678396.46054322</v>
      </c>
      <c r="AO53" t="n">
        <v>26365452.3743818</v>
      </c>
      <c r="AP53" t="n">
        <v>5025421.53151714</v>
      </c>
      <c r="AQ53" t="n">
        <v>111144366.369524</v>
      </c>
      <c r="AR53" t="n">
        <v>24639681.9565746</v>
      </c>
      <c r="AS53" t="n">
        <v>747492943.222856</v>
      </c>
      <c r="AT53" t="n">
        <v>677863006.666853</v>
      </c>
      <c r="AU53" t="n">
        <v>10519297.9049261</v>
      </c>
      <c r="AV53" t="n">
        <v>50160000.2848709</v>
      </c>
      <c r="AW53" t="n">
        <v>1371083400.98416</v>
      </c>
      <c r="AX53" t="n">
        <v>298907886.085354</v>
      </c>
      <c r="AY53" t="n">
        <v>116145482.529353</v>
      </c>
      <c r="AZ53" t="n">
        <v>29311744.0372642</v>
      </c>
      <c r="BA53" t="n">
        <v>28036061.6017338</v>
      </c>
      <c r="BB53" t="n">
        <v>142386489.817804</v>
      </c>
      <c r="BC53" t="n">
        <v>237036272.746493</v>
      </c>
      <c r="BD53" t="n">
        <v>77527291.6573977</v>
      </c>
      <c r="BE53" t="n">
        <v>8658680.19420659</v>
      </c>
      <c r="BF53" t="n">
        <v>21825755.636991</v>
      </c>
      <c r="BG53" t="n">
        <v>43598424.6351903</v>
      </c>
      <c r="BH53" t="n">
        <v>71125848.2155546</v>
      </c>
      <c r="BI53" t="n">
        <v>11083416.3214438</v>
      </c>
      <c r="BJ53" t="n">
        <v>9288376.98038362</v>
      </c>
      <c r="BK53" t="n">
        <v>9098068.6569338</v>
      </c>
      <c r="BL53" t="n">
        <v>23848852.4872747</v>
      </c>
      <c r="BM53" t="n">
        <v>43955955.0534704</v>
      </c>
      <c r="BN53" t="n">
        <v>73306046.9357595</v>
      </c>
      <c r="BO53" t="n">
        <v>101651586.117606</v>
      </c>
      <c r="BP53" t="n">
        <v>0</v>
      </c>
      <c r="BQ53" t="n">
        <v>29725920.783919</v>
      </c>
      <c r="BR53" t="n">
        <v>7832711.03423794</v>
      </c>
      <c r="BS53" t="n">
        <v>202146155.923486</v>
      </c>
      <c r="BT53" t="n">
        <v>18488909.6579534</v>
      </c>
      <c r="BU53" t="n">
        <v>2690634788.0593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2718280378.17307</v>
      </c>
      <c r="CB53" t="n">
        <v>-300967136.670103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</row>
    <row r="54">
      <c r="A54" t="s">
        <v>149</v>
      </c>
      <c r="B54" t="n">
        <v>7715471.18359191</v>
      </c>
      <c r="C54" t="n">
        <v>58750.7186241998</v>
      </c>
      <c r="D54" t="n">
        <v>1698933.08509643</v>
      </c>
      <c r="E54" t="n">
        <v>37215494.4542029</v>
      </c>
      <c r="F54" t="n">
        <v>14571898.157147</v>
      </c>
      <c r="G54" t="n">
        <v>22285740.2717461</v>
      </c>
      <c r="H54" t="n">
        <v>32269035.7711765</v>
      </c>
      <c r="I54" t="n">
        <v>342813.127585813</v>
      </c>
      <c r="J54" t="n">
        <v>1716524.7447274</v>
      </c>
      <c r="K54" t="n">
        <v>41193675.0551395</v>
      </c>
      <c r="L54" t="n">
        <v>103010282.225052</v>
      </c>
      <c r="M54" t="n">
        <v>116401602.139266</v>
      </c>
      <c r="N54" t="n">
        <v>2722789.92333046</v>
      </c>
      <c r="O54" t="n">
        <v>15687992.5389773</v>
      </c>
      <c r="P54" t="n">
        <v>44820245.0236384</v>
      </c>
      <c r="Q54" t="n">
        <v>1821240.60690772</v>
      </c>
      <c r="R54" t="n">
        <v>15910910.2558808</v>
      </c>
      <c r="S54" t="n">
        <v>37698079.8152331</v>
      </c>
      <c r="T54" t="n">
        <v>4050321.17697716</v>
      </c>
      <c r="U54" t="n">
        <v>71600.6853372911</v>
      </c>
      <c r="V54" t="n">
        <v>36970.5058831974</v>
      </c>
      <c r="W54" t="n">
        <v>526417.831351264</v>
      </c>
      <c r="X54" t="n">
        <v>1321161.00117972</v>
      </c>
      <c r="Y54" t="n">
        <v>1553510.68545705</v>
      </c>
      <c r="Z54" t="n">
        <v>1171916.6644561</v>
      </c>
      <c r="AA54" t="n">
        <v>4313117.17528985</v>
      </c>
      <c r="AB54" t="n">
        <v>121882838.76526</v>
      </c>
      <c r="AC54" t="n">
        <v>2413702.48547335</v>
      </c>
      <c r="AD54" t="n">
        <v>8730828.20885214</v>
      </c>
      <c r="AE54" t="n">
        <v>22763611.6495686</v>
      </c>
      <c r="AF54" t="n">
        <v>15871120.2585048</v>
      </c>
      <c r="AG54" t="n">
        <v>115621052.063182</v>
      </c>
      <c r="AH54" t="n">
        <v>21703945.2651261</v>
      </c>
      <c r="AI54" t="n">
        <v>18961132.1339932</v>
      </c>
      <c r="AJ54" t="n">
        <v>16801286.4479558</v>
      </c>
      <c r="AK54" t="n">
        <v>84384004.0573249</v>
      </c>
      <c r="AL54" t="n">
        <v>3587451.85691243</v>
      </c>
      <c r="AM54" t="n">
        <v>65750976.7981465</v>
      </c>
      <c r="AN54" t="n">
        <v>893497.952368002</v>
      </c>
      <c r="AO54" t="n">
        <v>5501176.93734295</v>
      </c>
      <c r="AP54" t="n">
        <v>8545156.39535915</v>
      </c>
      <c r="AQ54" t="n">
        <v>3899083.57347815</v>
      </c>
      <c r="AR54" t="n">
        <v>3019683.81091495</v>
      </c>
      <c r="AS54" t="n">
        <v>1544754387.42968</v>
      </c>
      <c r="AT54" t="n">
        <v>1654782039.75055</v>
      </c>
      <c r="AU54" t="n">
        <v>157264091.904804</v>
      </c>
      <c r="AV54" t="n">
        <v>5427791256.80378</v>
      </c>
      <c r="AW54" t="n">
        <v>84535.2436678274</v>
      </c>
      <c r="AX54" t="n">
        <v>134574666.664219</v>
      </c>
      <c r="AY54" t="n">
        <v>81262933.851828</v>
      </c>
      <c r="AZ54" t="n">
        <v>24096842.7710901</v>
      </c>
      <c r="BA54" t="n">
        <v>14713981.0885751</v>
      </c>
      <c r="BB54" t="n">
        <v>82042117.9235913</v>
      </c>
      <c r="BC54" t="n">
        <v>272532119.63325</v>
      </c>
      <c r="BD54" t="n">
        <v>45919053.4301984</v>
      </c>
      <c r="BE54" t="n">
        <v>1092900.70504822</v>
      </c>
      <c r="BF54" t="n">
        <v>42442487.7850892</v>
      </c>
      <c r="BG54" t="n">
        <v>36493270.4049462</v>
      </c>
      <c r="BH54" t="n">
        <v>421134226.417276</v>
      </c>
      <c r="BI54" t="n">
        <v>11676973.2847859</v>
      </c>
      <c r="BJ54" t="n">
        <v>66322241.4608982</v>
      </c>
      <c r="BK54" t="n">
        <v>28238068.1106843</v>
      </c>
      <c r="BL54" t="n">
        <v>3391500.77037218</v>
      </c>
      <c r="BM54" t="n">
        <v>128431092.064169</v>
      </c>
      <c r="BN54" t="n">
        <v>173095966.965684</v>
      </c>
      <c r="BO54" t="n">
        <v>119199293.129423</v>
      </c>
      <c r="BP54" t="n">
        <v>0</v>
      </c>
      <c r="BQ54" t="n">
        <v>88297.8980612766</v>
      </c>
      <c r="BR54" t="n">
        <v>343756.997150171</v>
      </c>
      <c r="BS54" t="n">
        <v>738298612.839672</v>
      </c>
      <c r="BT54" t="n">
        <v>50522683.3247906</v>
      </c>
      <c r="BU54" t="n">
        <v>8025227304.74639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3827117451.87222</v>
      </c>
      <c r="CB54" t="n">
        <v>-2732142.57840623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</row>
    <row r="55">
      <c r="A55" t="s">
        <v>150</v>
      </c>
      <c r="B55" t="n">
        <v>28891258.6034621</v>
      </c>
      <c r="C55" t="n">
        <v>898680.177047382</v>
      </c>
      <c r="D55" t="n">
        <v>791998.101895831</v>
      </c>
      <c r="E55" t="n">
        <v>5505679.55026926</v>
      </c>
      <c r="F55" t="n">
        <v>2562597.60565729</v>
      </c>
      <c r="G55" t="n">
        <v>22085064.8463277</v>
      </c>
      <c r="H55" t="n">
        <v>3458461.82607914</v>
      </c>
      <c r="I55" t="n">
        <v>976240.414429672</v>
      </c>
      <c r="J55" t="n">
        <v>10084047.7201068</v>
      </c>
      <c r="K55" t="n">
        <v>6553205.66173692</v>
      </c>
      <c r="L55" t="n">
        <v>17061722.9655898</v>
      </c>
      <c r="M55" t="n">
        <v>35026135.6960582</v>
      </c>
      <c r="N55" t="n">
        <v>1906222.24278795</v>
      </c>
      <c r="O55" t="n">
        <v>13437648.3738262</v>
      </c>
      <c r="P55" t="n">
        <v>30081717.4499204</v>
      </c>
      <c r="Q55" t="n">
        <v>1451810.79615235</v>
      </c>
      <c r="R55" t="n">
        <v>4214947.34019803</v>
      </c>
      <c r="S55" t="n">
        <v>9474561.54680139</v>
      </c>
      <c r="T55" t="n">
        <v>53016095.790401</v>
      </c>
      <c r="U55" t="n">
        <v>1071415.77898963</v>
      </c>
      <c r="V55" t="n">
        <v>715889.530173058</v>
      </c>
      <c r="W55" t="n">
        <v>3417463.22506489</v>
      </c>
      <c r="X55" t="n">
        <v>1318169.74644103</v>
      </c>
      <c r="Y55" t="n">
        <v>5520502.41126289</v>
      </c>
      <c r="Z55" t="n">
        <v>38104309.0393463</v>
      </c>
      <c r="AA55" t="n">
        <v>13994058.7679196</v>
      </c>
      <c r="AB55" t="n">
        <v>565689683.988215</v>
      </c>
      <c r="AC55" t="n">
        <v>30648719.9967937</v>
      </c>
      <c r="AD55" t="n">
        <v>15600285.8582255</v>
      </c>
      <c r="AE55" t="n">
        <v>18197250.2081889</v>
      </c>
      <c r="AF55" t="n">
        <v>66660659.6004478</v>
      </c>
      <c r="AG55" t="n">
        <v>15662007.9791441</v>
      </c>
      <c r="AH55" t="n">
        <v>671337.35295227</v>
      </c>
      <c r="AI55" t="n">
        <v>5204968.60767457</v>
      </c>
      <c r="AJ55" t="n">
        <v>174404344.80075</v>
      </c>
      <c r="AK55" t="n">
        <v>104803856.518025</v>
      </c>
      <c r="AL55" t="n">
        <v>3154078.40738982</v>
      </c>
      <c r="AM55" t="n">
        <v>52126480.6520832</v>
      </c>
      <c r="AN55" t="n">
        <v>29622149.5523419</v>
      </c>
      <c r="AO55" t="n">
        <v>2919714.60083067</v>
      </c>
      <c r="AP55" t="n">
        <v>8240796.92314704</v>
      </c>
      <c r="AQ55" t="n">
        <v>13597724.8499159</v>
      </c>
      <c r="AR55" t="n">
        <v>8996670.98143812</v>
      </c>
      <c r="AS55" t="n">
        <v>48576414.3034454</v>
      </c>
      <c r="AT55" t="n">
        <v>152887934.574019</v>
      </c>
      <c r="AU55" t="n">
        <v>8461213026.70738</v>
      </c>
      <c r="AV55" t="n">
        <v>231749225.929445</v>
      </c>
      <c r="AW55" t="n">
        <v>64931305.2551596</v>
      </c>
      <c r="AX55" t="n">
        <v>294495522.713885</v>
      </c>
      <c r="AY55" t="n">
        <v>100264890.904353</v>
      </c>
      <c r="AZ55" t="n">
        <v>46914426.9656099</v>
      </c>
      <c r="BA55" t="n">
        <v>22621351.530145</v>
      </c>
      <c r="BB55" t="n">
        <v>136477258.915082</v>
      </c>
      <c r="BC55" t="n">
        <v>3187306.87219982</v>
      </c>
      <c r="BD55" t="n">
        <v>98612289.5106464</v>
      </c>
      <c r="BE55" t="n">
        <v>13316282.2814737</v>
      </c>
      <c r="BF55" t="n">
        <v>27506218.5932543</v>
      </c>
      <c r="BG55" t="n">
        <v>100583833.69754</v>
      </c>
      <c r="BH55" t="n">
        <v>186113457.837406</v>
      </c>
      <c r="BI55" t="n">
        <v>34668542.9785107</v>
      </c>
      <c r="BJ55" t="n">
        <v>95978292.1994655</v>
      </c>
      <c r="BK55" t="n">
        <v>24107171.0073598</v>
      </c>
      <c r="BL55" t="n">
        <v>21953260.6706355</v>
      </c>
      <c r="BM55" t="n">
        <v>12741599.6696683</v>
      </c>
      <c r="BN55" t="n">
        <v>77810115.7287562</v>
      </c>
      <c r="BO55" t="n">
        <v>36778733.6865048</v>
      </c>
      <c r="BP55" t="n">
        <v>0</v>
      </c>
      <c r="BQ55" t="n">
        <v>6109224.31178844</v>
      </c>
      <c r="BR55" t="n">
        <v>21513341.7986016</v>
      </c>
      <c r="BS55" t="n">
        <v>36549035.873229</v>
      </c>
      <c r="BT55" t="n">
        <v>63307703.4566475</v>
      </c>
      <c r="BU55" t="n">
        <v>3923859004.86879</v>
      </c>
      <c r="BV55" t="n">
        <v>0</v>
      </c>
      <c r="BW55" t="n">
        <v>0</v>
      </c>
      <c r="BX55" t="n">
        <v>0</v>
      </c>
      <c r="BY55" t="n">
        <v>49804178.9030915</v>
      </c>
      <c r="BZ55" t="n">
        <v>0</v>
      </c>
      <c r="CA55" t="n">
        <v>1429525766.62416</v>
      </c>
      <c r="CB55" t="n">
        <v>-3633788586.11878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151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227482760.514724</v>
      </c>
      <c r="AV56" t="n">
        <v>542834870.306487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2557293.3623675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1383857.37784565</v>
      </c>
      <c r="BR56" t="n">
        <v>0</v>
      </c>
      <c r="BS56" t="n">
        <v>37203522.1522513</v>
      </c>
      <c r="BT56" t="n">
        <v>0</v>
      </c>
      <c r="BU56" t="n">
        <v>5696525034.19775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152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82104482024.0909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153</v>
      </c>
      <c r="B58" t="n">
        <v>121357662.883651</v>
      </c>
      <c r="C58" t="n">
        <v>155993.747933881</v>
      </c>
      <c r="D58" t="n">
        <v>1882669.54163116</v>
      </c>
      <c r="E58" t="n">
        <v>5728206.49288898</v>
      </c>
      <c r="F58" t="n">
        <v>2510029.78850777</v>
      </c>
      <c r="G58" t="n">
        <v>390521572.0312</v>
      </c>
      <c r="H58" t="n">
        <v>543788983.996163</v>
      </c>
      <c r="I58" t="n">
        <v>12317521.1834143</v>
      </c>
      <c r="J58" t="n">
        <v>39147344.2072431</v>
      </c>
      <c r="K58" t="n">
        <v>16243036.9847844</v>
      </c>
      <c r="L58" t="n">
        <v>332557713.551282</v>
      </c>
      <c r="M58" t="n">
        <v>181751322.551962</v>
      </c>
      <c r="N58" t="n">
        <v>76110661.5369109</v>
      </c>
      <c r="O58" t="n">
        <v>42185077.907716</v>
      </c>
      <c r="P58" t="n">
        <v>57127068.0970405</v>
      </c>
      <c r="Q58" t="n">
        <v>5693947.28355849</v>
      </c>
      <c r="R58" t="n">
        <v>45470958.4240954</v>
      </c>
      <c r="S58" t="n">
        <v>103827662.407499</v>
      </c>
      <c r="T58" t="n">
        <v>243166984.50357</v>
      </c>
      <c r="U58" t="n">
        <v>7999358.5394616</v>
      </c>
      <c r="V58" t="n">
        <v>6841230.89132544</v>
      </c>
      <c r="W58" t="n">
        <v>52525381.0856808</v>
      </c>
      <c r="X58" t="n">
        <v>123181981.111947</v>
      </c>
      <c r="Y58" t="n">
        <v>9201590.45734994</v>
      </c>
      <c r="Z58" t="n">
        <v>272628410.267402</v>
      </c>
      <c r="AA58" t="n">
        <v>209636773.150862</v>
      </c>
      <c r="AB58" t="n">
        <v>4871367750.26375</v>
      </c>
      <c r="AC58" t="n">
        <v>712641009.076331</v>
      </c>
      <c r="AD58" t="n">
        <v>1189794686.42656</v>
      </c>
      <c r="AE58" t="n">
        <v>880033937.186712</v>
      </c>
      <c r="AF58" t="n">
        <v>3582772787.3102</v>
      </c>
      <c r="AG58" t="n">
        <v>26823528.9924031</v>
      </c>
      <c r="AH58" t="n">
        <v>14046594.2060365</v>
      </c>
      <c r="AI58" t="n">
        <v>24383098.1377666</v>
      </c>
      <c r="AJ58" t="n">
        <v>408098659.134973</v>
      </c>
      <c r="AK58" t="n">
        <v>129877848.939929</v>
      </c>
      <c r="AL58" t="n">
        <v>11434953.3526947</v>
      </c>
      <c r="AM58" t="n">
        <v>398042190.635568</v>
      </c>
      <c r="AN58" t="n">
        <v>445503042.115306</v>
      </c>
      <c r="AO58" t="n">
        <v>189950679.644631</v>
      </c>
      <c r="AP58" t="n">
        <v>63811093.7941151</v>
      </c>
      <c r="AQ58" t="n">
        <v>790955562.843796</v>
      </c>
      <c r="AR58" t="n">
        <v>369845300.953908</v>
      </c>
      <c r="AS58" t="n">
        <v>1010336985.41662</v>
      </c>
      <c r="AT58" t="n">
        <v>1560771314.91237</v>
      </c>
      <c r="AU58" t="n">
        <v>1658414370.03977</v>
      </c>
      <c r="AV58" t="n">
        <v>57303760.6837607</v>
      </c>
      <c r="AW58" t="n">
        <v>265566346.067473</v>
      </c>
      <c r="AX58" t="n">
        <v>4758612002.46106</v>
      </c>
      <c r="AY58" t="n">
        <v>459670790.985418</v>
      </c>
      <c r="AZ58" t="n">
        <v>1310820982.90142</v>
      </c>
      <c r="BA58" t="n">
        <v>325786526.924835</v>
      </c>
      <c r="BB58" t="n">
        <v>2740028865.37612</v>
      </c>
      <c r="BC58" t="n">
        <v>1520046448.06722</v>
      </c>
      <c r="BD58" t="n">
        <v>1974295306.99387</v>
      </c>
      <c r="BE58" t="n">
        <v>119794253.240004</v>
      </c>
      <c r="BF58" t="n">
        <v>1735687521.04307</v>
      </c>
      <c r="BG58" t="n">
        <v>1765862343.30505</v>
      </c>
      <c r="BH58" t="n">
        <v>3791546183.4155</v>
      </c>
      <c r="BI58" t="n">
        <v>1244117219.81237</v>
      </c>
      <c r="BJ58" t="n">
        <v>460912514.29505</v>
      </c>
      <c r="BK58" t="n">
        <v>583132052.751069</v>
      </c>
      <c r="BL58" t="n">
        <v>1091324061.40342</v>
      </c>
      <c r="BM58" t="n">
        <v>98835046.5203401</v>
      </c>
      <c r="BN58" t="n">
        <v>2361372119.13126</v>
      </c>
      <c r="BO58" t="n">
        <v>2772782745.09065</v>
      </c>
      <c r="BP58" t="n">
        <v>3457492.96495267</v>
      </c>
      <c r="BQ58" t="n">
        <v>342337465.47328</v>
      </c>
      <c r="BR58" t="n">
        <v>15537175.5942553</v>
      </c>
      <c r="BS58" t="n">
        <v>952939696.445353</v>
      </c>
      <c r="BT58" t="n">
        <v>57041067.0647009</v>
      </c>
      <c r="BU58" t="n">
        <v>238490554.316331</v>
      </c>
      <c r="BV58" t="n">
        <v>877174233.355622</v>
      </c>
      <c r="BW58" t="n">
        <v>0</v>
      </c>
      <c r="BX58" t="n">
        <v>0</v>
      </c>
      <c r="BY58" t="n">
        <v>5062067986.37749</v>
      </c>
      <c r="BZ58" t="n">
        <v>0</v>
      </c>
      <c r="CA58" t="n">
        <v>78055682.302009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154</v>
      </c>
      <c r="B59" t="n">
        <v>26443478.661226</v>
      </c>
      <c r="C59" t="n">
        <v>217693.982396103</v>
      </c>
      <c r="D59" t="n">
        <v>1449984.39709445</v>
      </c>
      <c r="E59" t="n">
        <v>24852485.8079821</v>
      </c>
      <c r="F59" t="n">
        <v>4527296.40350618</v>
      </c>
      <c r="G59" t="n">
        <v>35724934.9253255</v>
      </c>
      <c r="H59" t="n">
        <v>285846402.582594</v>
      </c>
      <c r="I59" t="n">
        <v>1350098.89220615</v>
      </c>
      <c r="J59" t="n">
        <v>8466394.40009735</v>
      </c>
      <c r="K59" t="n">
        <v>7110353.7097334</v>
      </c>
      <c r="L59" t="n">
        <v>37517942.4344292</v>
      </c>
      <c r="M59" t="n">
        <v>40808604.7128998</v>
      </c>
      <c r="N59" t="n">
        <v>4300179.00260416</v>
      </c>
      <c r="O59" t="n">
        <v>7497664.2806493</v>
      </c>
      <c r="P59" t="n">
        <v>56048926.8474717</v>
      </c>
      <c r="Q59" t="n">
        <v>1242876.87333431</v>
      </c>
      <c r="R59" t="n">
        <v>2951053.5943003</v>
      </c>
      <c r="S59" t="n">
        <v>14185560.1465345</v>
      </c>
      <c r="T59" t="n">
        <v>50674528.3713478</v>
      </c>
      <c r="U59" t="n">
        <v>360060.918972743</v>
      </c>
      <c r="V59" t="n">
        <v>25744321.2856449</v>
      </c>
      <c r="W59" t="n">
        <v>9338586.49125417</v>
      </c>
      <c r="X59" t="n">
        <v>9375582.5137515</v>
      </c>
      <c r="Y59" t="n">
        <v>19427694.3856055</v>
      </c>
      <c r="Z59" t="n">
        <v>69381494.5906407</v>
      </c>
      <c r="AA59" t="n">
        <v>22091481.7409324</v>
      </c>
      <c r="AB59" t="n">
        <v>406808681.935209</v>
      </c>
      <c r="AC59" t="n">
        <v>9278693.99301173</v>
      </c>
      <c r="AD59" t="n">
        <v>14976265.0646525</v>
      </c>
      <c r="AE59" t="n">
        <v>43664486.3054024</v>
      </c>
      <c r="AF59" t="n">
        <v>64463270.5185456</v>
      </c>
      <c r="AG59" t="n">
        <v>305929968.01037</v>
      </c>
      <c r="AH59" t="n">
        <v>139635016.828105</v>
      </c>
      <c r="AI59" t="n">
        <v>63848741.8185152</v>
      </c>
      <c r="AJ59" t="n">
        <v>413639163.736159</v>
      </c>
      <c r="AK59" t="n">
        <v>22904623.1327476</v>
      </c>
      <c r="AL59" t="n">
        <v>612496.102398446</v>
      </c>
      <c r="AM59" t="n">
        <v>46353474.0878481</v>
      </c>
      <c r="AN59" t="n">
        <v>72471564.1907604</v>
      </c>
      <c r="AO59" t="n">
        <v>12907580.5985908</v>
      </c>
      <c r="AP59" t="n">
        <v>7059385.18847554</v>
      </c>
      <c r="AQ59" t="n">
        <v>79349643.0665313</v>
      </c>
      <c r="AR59" t="n">
        <v>89902728.2375711</v>
      </c>
      <c r="AS59" t="n">
        <v>49853025.4136709</v>
      </c>
      <c r="AT59" t="n">
        <v>108348302.342775</v>
      </c>
      <c r="AU59" t="n">
        <v>80914983.9018242</v>
      </c>
      <c r="AV59" t="n">
        <v>685028.105879448</v>
      </c>
      <c r="AW59" t="n">
        <v>81838381.7554067</v>
      </c>
      <c r="AX59" t="n">
        <v>23218913.403996</v>
      </c>
      <c r="AY59" t="n">
        <v>137848399.335886</v>
      </c>
      <c r="AZ59" t="n">
        <v>38721862.5812706</v>
      </c>
      <c r="BA59" t="n">
        <v>35516027.3929108</v>
      </c>
      <c r="BB59" t="n">
        <v>231245239.81227</v>
      </c>
      <c r="BC59" t="n">
        <v>217106912.680802</v>
      </c>
      <c r="BD59" t="n">
        <v>148392824.719175</v>
      </c>
      <c r="BE59" t="n">
        <v>30360074.8059232</v>
      </c>
      <c r="BF59" t="n">
        <v>24891169.2857592</v>
      </c>
      <c r="BG59" t="n">
        <v>43750972.9171497</v>
      </c>
      <c r="BH59" t="n">
        <v>62543461.4182661</v>
      </c>
      <c r="BI59" t="n">
        <v>7272711.55939014</v>
      </c>
      <c r="BJ59" t="n">
        <v>5416115.07965705</v>
      </c>
      <c r="BK59" t="n">
        <v>26479962.1387631</v>
      </c>
      <c r="BL59" t="n">
        <v>42731889.4013072</v>
      </c>
      <c r="BM59" t="n">
        <v>21923284.724428</v>
      </c>
      <c r="BN59" t="n">
        <v>131919408.777659</v>
      </c>
      <c r="BO59" t="n">
        <v>39047512.7671636</v>
      </c>
      <c r="BP59" t="n">
        <v>1511550.37817687</v>
      </c>
      <c r="BQ59" t="n">
        <v>2795616.0262338</v>
      </c>
      <c r="BR59" t="n">
        <v>1621625.10596888</v>
      </c>
      <c r="BS59" t="n">
        <v>114844392.766029</v>
      </c>
      <c r="BT59" t="n">
        <v>4673958.09450983</v>
      </c>
      <c r="BU59" t="n">
        <v>1454356258.88083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3476633368.6543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155</v>
      </c>
      <c r="B60" t="n">
        <v>8969392.86900679</v>
      </c>
      <c r="C60" t="n">
        <v>374826.082581894</v>
      </c>
      <c r="D60" t="n">
        <v>628761.389398544</v>
      </c>
      <c r="E60" t="n">
        <v>9970745.17068013</v>
      </c>
      <c r="F60" t="n">
        <v>780876.205747426</v>
      </c>
      <c r="G60" t="n">
        <v>212944945.808198</v>
      </c>
      <c r="H60" t="n">
        <v>135448359.185852</v>
      </c>
      <c r="I60" t="n">
        <v>4668269.22614484</v>
      </c>
      <c r="J60" t="n">
        <v>11533066.9851856</v>
      </c>
      <c r="K60" t="n">
        <v>10765931.57773</v>
      </c>
      <c r="L60" t="n">
        <v>81008184.2370941</v>
      </c>
      <c r="M60" t="n">
        <v>88652917.6959179</v>
      </c>
      <c r="N60" t="n">
        <v>50175260.0693179</v>
      </c>
      <c r="O60" t="n">
        <v>11352656.6872591</v>
      </c>
      <c r="P60" t="n">
        <v>51219322.9369679</v>
      </c>
      <c r="Q60" t="n">
        <v>3601541.81050597</v>
      </c>
      <c r="R60" t="n">
        <v>7156558.52734156</v>
      </c>
      <c r="S60" t="n">
        <v>65570573.3314371</v>
      </c>
      <c r="T60" t="n">
        <v>41324212.8198865</v>
      </c>
      <c r="U60" t="n">
        <v>1444237.06644559</v>
      </c>
      <c r="V60" t="n">
        <v>2358934.60613136</v>
      </c>
      <c r="W60" t="n">
        <v>17313153.7118332</v>
      </c>
      <c r="X60" t="n">
        <v>14502916.4501357</v>
      </c>
      <c r="Y60" t="n">
        <v>26183918.6879553</v>
      </c>
      <c r="Z60" t="n">
        <v>170291829.721571</v>
      </c>
      <c r="AA60" t="n">
        <v>54189585.6175332</v>
      </c>
      <c r="AB60" t="n">
        <v>653680453.896486</v>
      </c>
      <c r="AC60" t="n">
        <v>15473889.4575735</v>
      </c>
      <c r="AD60" t="n">
        <v>21518867.7251926</v>
      </c>
      <c r="AE60" t="n">
        <v>22125455.0416272</v>
      </c>
      <c r="AF60" t="n">
        <v>107325745.588262</v>
      </c>
      <c r="AG60" t="n">
        <v>22159629.3513179</v>
      </c>
      <c r="AH60" t="n">
        <v>47494289.3456546</v>
      </c>
      <c r="AI60" t="n">
        <v>4194109.22045772</v>
      </c>
      <c r="AJ60" t="n">
        <v>8676812.26351942</v>
      </c>
      <c r="AK60" t="n">
        <v>8334105.74918285</v>
      </c>
      <c r="AL60" t="n">
        <v>1691100.87828634</v>
      </c>
      <c r="AM60" t="n">
        <v>25457592.499465</v>
      </c>
      <c r="AN60" t="n">
        <v>11146774.733042</v>
      </c>
      <c r="AO60" t="n">
        <v>71683776.7788336</v>
      </c>
      <c r="AP60" t="n">
        <v>12994471.9531864</v>
      </c>
      <c r="AQ60" t="n">
        <v>66893962.0124599</v>
      </c>
      <c r="AR60" t="n">
        <v>131385276.807975</v>
      </c>
      <c r="AS60" t="n">
        <v>147359258.927944</v>
      </c>
      <c r="AT60" t="n">
        <v>422813975.072779</v>
      </c>
      <c r="AU60" t="n">
        <v>678019642.423722</v>
      </c>
      <c r="AV60" t="n">
        <v>117363265.674786</v>
      </c>
      <c r="AW60" t="n">
        <v>52806884.6583025</v>
      </c>
      <c r="AX60" t="n">
        <v>211922369.462441</v>
      </c>
      <c r="AY60" t="n">
        <v>26978592.5914177</v>
      </c>
      <c r="AZ60" t="n">
        <v>114569083.260765</v>
      </c>
      <c r="BA60" t="n">
        <v>105973924.460514</v>
      </c>
      <c r="BB60" t="n">
        <v>458886218.221545</v>
      </c>
      <c r="BC60" t="n">
        <v>297943169.551927</v>
      </c>
      <c r="BD60" t="n">
        <v>283715472.362942</v>
      </c>
      <c r="BE60" t="n">
        <v>12697151.3247593</v>
      </c>
      <c r="BF60" t="n">
        <v>14752855.1978712</v>
      </c>
      <c r="BG60" t="n">
        <v>112158440.926462</v>
      </c>
      <c r="BH60" t="n">
        <v>597202289.764278</v>
      </c>
      <c r="BI60" t="n">
        <v>48642440.0745527</v>
      </c>
      <c r="BJ60" t="n">
        <v>20518423.4510659</v>
      </c>
      <c r="BK60" t="n">
        <v>60950269.9864855</v>
      </c>
      <c r="BL60" t="n">
        <v>75627886.017169</v>
      </c>
      <c r="BM60" t="n">
        <v>29001514.3191042</v>
      </c>
      <c r="BN60" t="n">
        <v>64550743.8866795</v>
      </c>
      <c r="BO60" t="n">
        <v>140118003.784183</v>
      </c>
      <c r="BP60" t="n">
        <v>0</v>
      </c>
      <c r="BQ60" t="n">
        <v>2253483.63063363</v>
      </c>
      <c r="BR60" t="n">
        <v>1440072.60266963</v>
      </c>
      <c r="BS60" t="n">
        <v>384951312.846388</v>
      </c>
      <c r="BT60" t="n">
        <v>21247986.9556792</v>
      </c>
      <c r="BU60" t="n">
        <v>3215384409.749</v>
      </c>
      <c r="BV60" t="n">
        <v>0</v>
      </c>
      <c r="BW60" t="n">
        <v>0</v>
      </c>
      <c r="BX60" t="n">
        <v>0</v>
      </c>
      <c r="BY60" t="n">
        <v>676903343.269587</v>
      </c>
      <c r="BZ60" t="n">
        <v>0</v>
      </c>
      <c r="CA60" t="n">
        <v>1025022360.78354</v>
      </c>
      <c r="CB60" t="n">
        <v>-209011397.356577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156</v>
      </c>
      <c r="B61" t="n">
        <v>13071459.6646894</v>
      </c>
      <c r="C61" t="n">
        <v>147673.708068104</v>
      </c>
      <c r="D61" t="n">
        <v>2953199.37997251</v>
      </c>
      <c r="E61" t="n">
        <v>12663363.0177727</v>
      </c>
      <c r="F61" t="n">
        <v>269157.213494229</v>
      </c>
      <c r="G61" t="n">
        <v>89064212.0444265</v>
      </c>
      <c r="H61" t="n">
        <v>138145518.930296</v>
      </c>
      <c r="I61" t="n">
        <v>4064987.7389124</v>
      </c>
      <c r="J61" t="n">
        <v>11142075.3889083</v>
      </c>
      <c r="K61" t="n">
        <v>9479181.91584777</v>
      </c>
      <c r="L61" t="n">
        <v>84645552.7007329</v>
      </c>
      <c r="M61" t="n">
        <v>144382476.445197</v>
      </c>
      <c r="N61" t="n">
        <v>9065989.05512505</v>
      </c>
      <c r="O61" t="n">
        <v>5830150.2510798</v>
      </c>
      <c r="P61" t="n">
        <v>17502101.4537205</v>
      </c>
      <c r="Q61" t="n">
        <v>7881379.29188183</v>
      </c>
      <c r="R61" t="n">
        <v>7381447.93746003</v>
      </c>
      <c r="S61" t="n">
        <v>23836762.1606632</v>
      </c>
      <c r="T61" t="n">
        <v>50828181.4198312</v>
      </c>
      <c r="U61" t="n">
        <v>1138890.72051725</v>
      </c>
      <c r="V61" t="n">
        <v>374616.354059468</v>
      </c>
      <c r="W61" t="n">
        <v>8939332.55410648</v>
      </c>
      <c r="X61" t="n">
        <v>21694313.8805886</v>
      </c>
      <c r="Y61" t="n">
        <v>29074836.5030879</v>
      </c>
      <c r="Z61" t="n">
        <v>18689001.0567962</v>
      </c>
      <c r="AA61" t="n">
        <v>35280968.3295209</v>
      </c>
      <c r="AB61" t="n">
        <v>880334161.772992</v>
      </c>
      <c r="AC61" t="n">
        <v>119377567.386023</v>
      </c>
      <c r="AD61" t="n">
        <v>32230734.9862439</v>
      </c>
      <c r="AE61" t="n">
        <v>64845111.0286176</v>
      </c>
      <c r="AF61" t="n">
        <v>158834753.056227</v>
      </c>
      <c r="AG61" t="n">
        <v>27467951.0403355</v>
      </c>
      <c r="AH61" t="n">
        <v>71920115.4128437</v>
      </c>
      <c r="AI61" t="n">
        <v>1664769.05657278</v>
      </c>
      <c r="AJ61" t="n">
        <v>31693951.4699804</v>
      </c>
      <c r="AK61" t="n">
        <v>13645252.554098</v>
      </c>
      <c r="AL61" t="n">
        <v>372312.962439126</v>
      </c>
      <c r="AM61" t="n">
        <v>11752501.9989997</v>
      </c>
      <c r="AN61" t="n">
        <v>13079736.1504985</v>
      </c>
      <c r="AO61" t="n">
        <v>142677957.493833</v>
      </c>
      <c r="AP61" t="n">
        <v>10184082.0307639</v>
      </c>
      <c r="AQ61" t="n">
        <v>95555990.305748</v>
      </c>
      <c r="AR61" t="n">
        <v>307927438.898579</v>
      </c>
      <c r="AS61" t="n">
        <v>249715373.974702</v>
      </c>
      <c r="AT61" t="n">
        <v>372552952.973184</v>
      </c>
      <c r="AU61" t="n">
        <v>424505529.230085</v>
      </c>
      <c r="AV61" t="n">
        <v>82256350.2680161</v>
      </c>
      <c r="AW61" t="n">
        <v>27816923.8011535</v>
      </c>
      <c r="AX61" t="n">
        <v>81557036.2894502</v>
      </c>
      <c r="AY61" t="n">
        <v>22341968.9867116</v>
      </c>
      <c r="AZ61" t="n">
        <v>205539325.853005</v>
      </c>
      <c r="BA61" t="n">
        <v>216863218.550621</v>
      </c>
      <c r="BB61" t="n">
        <v>395716082.8802</v>
      </c>
      <c r="BC61" t="n">
        <v>71277913.1605482</v>
      </c>
      <c r="BD61" t="n">
        <v>668622509.571043</v>
      </c>
      <c r="BE61" t="n">
        <v>16788656.6687524</v>
      </c>
      <c r="BF61" t="n">
        <v>68486356.2555861</v>
      </c>
      <c r="BG61" t="n">
        <v>116613043.192732</v>
      </c>
      <c r="BH61" t="n">
        <v>199811158.491315</v>
      </c>
      <c r="BI61" t="n">
        <v>37286039.9591862</v>
      </c>
      <c r="BJ61" t="n">
        <v>51606523.7169404</v>
      </c>
      <c r="BK61" t="n">
        <v>16527027.3150889</v>
      </c>
      <c r="BL61" t="n">
        <v>51562899.1483231</v>
      </c>
      <c r="BM61" t="n">
        <v>29267772.0107057</v>
      </c>
      <c r="BN61" t="n">
        <v>172603761.580323</v>
      </c>
      <c r="BO61" t="n">
        <v>121287202.930097</v>
      </c>
      <c r="BP61" t="n">
        <v>52716558.5454536</v>
      </c>
      <c r="BQ61" t="n">
        <v>258821591.052559</v>
      </c>
      <c r="BR61" t="n">
        <v>2738935.25929725</v>
      </c>
      <c r="BS61" t="n">
        <v>1138310921.97064</v>
      </c>
      <c r="BT61" t="n">
        <v>99161984.0670191</v>
      </c>
      <c r="BU61" t="n">
        <v>0</v>
      </c>
      <c r="BV61" t="n">
        <v>0</v>
      </c>
      <c r="BW61" t="n">
        <v>1324921433.03581</v>
      </c>
      <c r="BX61" t="n">
        <v>7365275664.98313</v>
      </c>
      <c r="BY61" t="n">
        <v>0</v>
      </c>
      <c r="BZ61" t="n">
        <v>0</v>
      </c>
      <c r="CA61" t="n">
        <v>1410595408.50497</v>
      </c>
      <c r="CB61" t="n">
        <v>-1262227067.48207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36575983.2222125</v>
      </c>
      <c r="CN61" t="n">
        <v>242856707.075976</v>
      </c>
    </row>
    <row r="62">
      <c r="A62" t="s">
        <v>157</v>
      </c>
      <c r="B62" t="n">
        <v>15432068.5766395</v>
      </c>
      <c r="C62" t="n">
        <v>618551.47689476</v>
      </c>
      <c r="D62" t="n">
        <v>724398.411191229</v>
      </c>
      <c r="E62" t="n">
        <v>10914156.5690238</v>
      </c>
      <c r="F62" t="n">
        <v>1290500.37127354</v>
      </c>
      <c r="G62" t="n">
        <v>154213593.448549</v>
      </c>
      <c r="H62" t="n">
        <v>357558787.652724</v>
      </c>
      <c r="I62" t="n">
        <v>6193720.54138634</v>
      </c>
      <c r="J62" t="n">
        <v>19471787.4194317</v>
      </c>
      <c r="K62" t="n">
        <v>20032410.8315345</v>
      </c>
      <c r="L62" t="n">
        <v>77315559.6230035</v>
      </c>
      <c r="M62" t="n">
        <v>98731637.4049703</v>
      </c>
      <c r="N62" t="n">
        <v>36558848.8097322</v>
      </c>
      <c r="O62" t="n">
        <v>23069850.5899693</v>
      </c>
      <c r="P62" t="n">
        <v>45491584.0029567</v>
      </c>
      <c r="Q62" t="n">
        <v>4203596.02168523</v>
      </c>
      <c r="R62" t="n">
        <v>15959598.0407155</v>
      </c>
      <c r="S62" t="n">
        <v>60546996.1660252</v>
      </c>
      <c r="T62" t="n">
        <v>132995178.80595</v>
      </c>
      <c r="U62" t="n">
        <v>2365694.7098928</v>
      </c>
      <c r="V62" t="n">
        <v>1798595.01008683</v>
      </c>
      <c r="W62" t="n">
        <v>19772954.9641003</v>
      </c>
      <c r="X62" t="n">
        <v>22943521.4952885</v>
      </c>
      <c r="Y62" t="n">
        <v>37607740.5611168</v>
      </c>
      <c r="Z62" t="n">
        <v>166433993.115899</v>
      </c>
      <c r="AA62" t="n">
        <v>72729689.3480529</v>
      </c>
      <c r="AB62" t="n">
        <v>1744869711.7738</v>
      </c>
      <c r="AC62" t="n">
        <v>198248017.505223</v>
      </c>
      <c r="AD62" t="n">
        <v>106965912.03454</v>
      </c>
      <c r="AE62" t="n">
        <v>57286392.6956671</v>
      </c>
      <c r="AF62" t="n">
        <v>511386622.616212</v>
      </c>
      <c r="AG62" t="n">
        <v>26045932.628798</v>
      </c>
      <c r="AH62" t="n">
        <v>33604796.3888446</v>
      </c>
      <c r="AI62" t="n">
        <v>13937175.3797698</v>
      </c>
      <c r="AJ62" t="n">
        <v>44203550.7901648</v>
      </c>
      <c r="AK62" t="n">
        <v>23691296.7613495</v>
      </c>
      <c r="AL62" t="n">
        <v>9410880.19341363</v>
      </c>
      <c r="AM62" t="n">
        <v>34910343.1224158</v>
      </c>
      <c r="AN62" t="n">
        <v>28719998.98868</v>
      </c>
      <c r="AO62" t="n">
        <v>129344588.079481</v>
      </c>
      <c r="AP62" t="n">
        <v>29673302.0730813</v>
      </c>
      <c r="AQ62" t="n">
        <v>253067430.409165</v>
      </c>
      <c r="AR62" t="n">
        <v>330112288.362487</v>
      </c>
      <c r="AS62" t="n">
        <v>470899958.267668</v>
      </c>
      <c r="AT62" t="n">
        <v>598617679.827398</v>
      </c>
      <c r="AU62" t="n">
        <v>663130702.821227</v>
      </c>
      <c r="AV62" t="n">
        <v>60975463.3911455</v>
      </c>
      <c r="AW62" t="n">
        <v>24187627.801096</v>
      </c>
      <c r="AX62" t="n">
        <v>297272507.508062</v>
      </c>
      <c r="AY62" t="n">
        <v>101175206.339382</v>
      </c>
      <c r="AZ62" t="n">
        <v>152306959.074559</v>
      </c>
      <c r="BA62" t="n">
        <v>248328652.843579</v>
      </c>
      <c r="BB62" t="n">
        <v>1534227384.86185</v>
      </c>
      <c r="BC62" t="n">
        <v>469783715.79083</v>
      </c>
      <c r="BD62" t="n">
        <v>618744805.97204</v>
      </c>
      <c r="BE62" t="n">
        <v>26646602.2844919</v>
      </c>
      <c r="BF62" t="n">
        <v>89649151.2300308</v>
      </c>
      <c r="BG62" t="n">
        <v>236980072.952488</v>
      </c>
      <c r="BH62" t="n">
        <v>508460576.676309</v>
      </c>
      <c r="BI62" t="n">
        <v>97134219.8732292</v>
      </c>
      <c r="BJ62" t="n">
        <v>57763615.8619547</v>
      </c>
      <c r="BK62" t="n">
        <v>80522582.4046154</v>
      </c>
      <c r="BL62" t="n">
        <v>104697969.760978</v>
      </c>
      <c r="BM62" t="n">
        <v>68094580.25565</v>
      </c>
      <c r="BN62" t="n">
        <v>235097521.816504</v>
      </c>
      <c r="BO62" t="n">
        <v>312400625.37074</v>
      </c>
      <c r="BP62" t="n">
        <v>183242297.782505</v>
      </c>
      <c r="BQ62" t="n">
        <v>87208619.8477774</v>
      </c>
      <c r="BR62" t="n">
        <v>9938338.84582784</v>
      </c>
      <c r="BS62" t="n">
        <v>700802507.685693</v>
      </c>
      <c r="BT62" t="n">
        <v>122182573.953024</v>
      </c>
      <c r="BU62" t="n">
        <v>734598155.547364</v>
      </c>
      <c r="BV62" t="n">
        <v>0</v>
      </c>
      <c r="BW62" t="n">
        <v>506113020.239829</v>
      </c>
      <c r="BX62" t="n">
        <v>5316173735.20892</v>
      </c>
      <c r="BY62" t="n">
        <v>30305534.3647726</v>
      </c>
      <c r="BZ62" t="n">
        <v>0</v>
      </c>
      <c r="CA62" t="n">
        <v>6807303020.61139</v>
      </c>
      <c r="CB62" t="n">
        <v>-3745768931.48851</v>
      </c>
      <c r="CC62" t="n">
        <v>0</v>
      </c>
      <c r="CD62" t="n">
        <v>0</v>
      </c>
      <c r="CE62" t="n">
        <v>0</v>
      </c>
      <c r="CF62" t="n">
        <v>66822729.066099</v>
      </c>
      <c r="CG62" t="n">
        <v>0</v>
      </c>
      <c r="CH62" t="n">
        <v>0</v>
      </c>
      <c r="CI62" t="n">
        <v>0</v>
      </c>
      <c r="CJ62" t="n">
        <v>174476312.664647</v>
      </c>
      <c r="CK62" t="n">
        <v>0</v>
      </c>
      <c r="CL62" t="n">
        <v>0</v>
      </c>
      <c r="CM62" t="n">
        <v>0</v>
      </c>
      <c r="CN62" t="n">
        <v>153520837.99463</v>
      </c>
    </row>
    <row r="63">
      <c r="A63" t="s">
        <v>158</v>
      </c>
      <c r="B63" t="n">
        <v>0</v>
      </c>
      <c r="C63" t="n">
        <v>0</v>
      </c>
      <c r="D63" t="n">
        <v>18969793.7282872</v>
      </c>
      <c r="E63" t="n">
        <v>140017562.895059</v>
      </c>
      <c r="F63" t="n">
        <v>11837992.6552641</v>
      </c>
      <c r="G63" t="n">
        <v>2350067.77010637</v>
      </c>
      <c r="H63" t="n">
        <v>283175375.108309</v>
      </c>
      <c r="I63" t="n">
        <v>6167736.65970603</v>
      </c>
      <c r="J63" t="n">
        <v>67381347.7886643</v>
      </c>
      <c r="K63" t="n">
        <v>29921060.3787792</v>
      </c>
      <c r="L63" t="n">
        <v>253481412.798535</v>
      </c>
      <c r="M63" t="n">
        <v>918347234.479627</v>
      </c>
      <c r="N63" t="n">
        <v>84648594.1719474</v>
      </c>
      <c r="O63" t="n">
        <v>117584942.109079</v>
      </c>
      <c r="P63" t="n">
        <v>217186083.11135</v>
      </c>
      <c r="Q63" t="n">
        <v>13146440.7224015</v>
      </c>
      <c r="R63" t="n">
        <v>14330784.0421236</v>
      </c>
      <c r="S63" t="n">
        <v>216785366.956355</v>
      </c>
      <c r="T63" t="n">
        <v>1027985503.13641</v>
      </c>
      <c r="U63" t="n">
        <v>10593805.1949007</v>
      </c>
      <c r="V63" t="n">
        <v>12070546.441481</v>
      </c>
      <c r="W63" t="n">
        <v>65452471.8867442</v>
      </c>
      <c r="X63" t="n">
        <v>22479590.1651162</v>
      </c>
      <c r="Y63" t="n">
        <v>236237191.810096</v>
      </c>
      <c r="Z63" t="n">
        <v>1015553103.8602</v>
      </c>
      <c r="AA63" t="n">
        <v>120140885.726559</v>
      </c>
      <c r="AB63" t="n">
        <v>4194213921.16239</v>
      </c>
      <c r="AC63" t="n">
        <v>52871712.2629731</v>
      </c>
      <c r="AD63" t="n">
        <v>172964746.218268</v>
      </c>
      <c r="AE63" t="n">
        <v>441469230.410519</v>
      </c>
      <c r="AF63" t="n">
        <v>726816915.437743</v>
      </c>
      <c r="AG63" t="n">
        <v>373719452.629194</v>
      </c>
      <c r="AH63" t="n">
        <v>785145.563212293</v>
      </c>
      <c r="AI63" t="n">
        <v>36545511.1647805</v>
      </c>
      <c r="AJ63" t="n">
        <v>179283514.370933</v>
      </c>
      <c r="AK63" t="n">
        <v>11502957.803401</v>
      </c>
      <c r="AL63" t="n">
        <v>73338.5481606343</v>
      </c>
      <c r="AM63" t="n">
        <v>314104419.518786</v>
      </c>
      <c r="AN63" t="n">
        <v>61692894.3569723</v>
      </c>
      <c r="AO63" t="n">
        <v>78231575.1965828</v>
      </c>
      <c r="AP63" t="n">
        <v>7936365.95773031</v>
      </c>
      <c r="AQ63" t="n">
        <v>98561983.7514496</v>
      </c>
      <c r="AR63" t="n">
        <v>89165897.4574396</v>
      </c>
      <c r="AS63" t="n">
        <v>222740821.79487</v>
      </c>
      <c r="AT63" t="n">
        <v>658459452.028859</v>
      </c>
      <c r="AU63" t="n">
        <v>355012547.740358</v>
      </c>
      <c r="AV63" t="n">
        <v>68987084.3628899</v>
      </c>
      <c r="AW63" t="n">
        <v>833837.366501671</v>
      </c>
      <c r="AX63" t="n">
        <v>439129229.969333</v>
      </c>
      <c r="AY63" t="n">
        <v>408848295.964613</v>
      </c>
      <c r="AZ63" t="n">
        <v>218341901.375486</v>
      </c>
      <c r="BA63" t="n">
        <v>136659375.430558</v>
      </c>
      <c r="BB63" t="n">
        <v>635752436.959553</v>
      </c>
      <c r="BC63" t="n">
        <v>1683908.9239968</v>
      </c>
      <c r="BD63" t="n">
        <v>815587835.926656</v>
      </c>
      <c r="BE63" t="n">
        <v>111604355.142571</v>
      </c>
      <c r="BF63" t="n">
        <v>283517786.385452</v>
      </c>
      <c r="BG63" t="n">
        <v>1291722528.17848</v>
      </c>
      <c r="BH63" t="n">
        <v>433146720.109775</v>
      </c>
      <c r="BI63" t="n">
        <v>222750116.329774</v>
      </c>
      <c r="BJ63" t="n">
        <v>64574147.4331214</v>
      </c>
      <c r="BK63" t="n">
        <v>119160444.223907</v>
      </c>
      <c r="BL63" t="n">
        <v>130510835.454404</v>
      </c>
      <c r="BM63" t="n">
        <v>538066985.273699</v>
      </c>
      <c r="BN63" t="n">
        <v>1603024692.46705</v>
      </c>
      <c r="BO63" t="n">
        <v>381962688.509929</v>
      </c>
      <c r="BP63" t="n">
        <v>0</v>
      </c>
      <c r="BQ63" t="n">
        <v>0</v>
      </c>
      <c r="BR63" t="n">
        <v>4148675.86520057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172014941.491486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159</v>
      </c>
      <c r="B64" t="n">
        <v>9486347.66885847</v>
      </c>
      <c r="C64" t="n">
        <v>113609.23168761</v>
      </c>
      <c r="D64" t="n">
        <v>254984.961762489</v>
      </c>
      <c r="E64" t="n">
        <v>8868483.70960172</v>
      </c>
      <c r="F64" t="n">
        <v>3229766.52425789</v>
      </c>
      <c r="G64" t="n">
        <v>303940152.608005</v>
      </c>
      <c r="H64" t="n">
        <v>146309074.219485</v>
      </c>
      <c r="I64" t="n">
        <v>6006436.78108796</v>
      </c>
      <c r="J64" t="n">
        <v>23934657.1020741</v>
      </c>
      <c r="K64" t="n">
        <v>75177917.9876887</v>
      </c>
      <c r="L64" t="n">
        <v>361139002.196344</v>
      </c>
      <c r="M64" t="n">
        <v>163788685.144089</v>
      </c>
      <c r="N64" t="n">
        <v>32325819.1605479</v>
      </c>
      <c r="O64" t="n">
        <v>19293011.6830251</v>
      </c>
      <c r="P64" t="n">
        <v>64066370.2757824</v>
      </c>
      <c r="Q64" t="n">
        <v>14592971.8274014</v>
      </c>
      <c r="R64" t="n">
        <v>7630788.53845423</v>
      </c>
      <c r="S64" t="n">
        <v>64036161.1476413</v>
      </c>
      <c r="T64" t="n">
        <v>105312872.709676</v>
      </c>
      <c r="U64" t="n">
        <v>2091491.97505794</v>
      </c>
      <c r="V64" t="n">
        <v>8750476.17045024</v>
      </c>
      <c r="W64" t="n">
        <v>28280861.5324795</v>
      </c>
      <c r="X64" t="n">
        <v>105624440.594493</v>
      </c>
      <c r="Y64" t="n">
        <v>74512857.8009229</v>
      </c>
      <c r="Z64" t="n">
        <v>189391646.469237</v>
      </c>
      <c r="AA64" t="n">
        <v>83633603.5618883</v>
      </c>
      <c r="AB64" t="n">
        <v>2162324477.69862</v>
      </c>
      <c r="AC64" t="n">
        <v>126663986.943443</v>
      </c>
      <c r="AD64" t="n">
        <v>73360353.8518239</v>
      </c>
      <c r="AE64" t="n">
        <v>130292594.99023</v>
      </c>
      <c r="AF64" t="n">
        <v>380031829.14519</v>
      </c>
      <c r="AG64" t="n">
        <v>189972120.927755</v>
      </c>
      <c r="AH64" t="n">
        <v>34768774.1717155</v>
      </c>
      <c r="AI64" t="n">
        <v>95117927.7186757</v>
      </c>
      <c r="AJ64" t="n">
        <v>299010191.140579</v>
      </c>
      <c r="AK64" t="n">
        <v>242512328.773823</v>
      </c>
      <c r="AL64" t="n">
        <v>42295507.736999</v>
      </c>
      <c r="AM64" t="n">
        <v>304841393.031382</v>
      </c>
      <c r="AN64" t="n">
        <v>150435739.004813</v>
      </c>
      <c r="AO64" t="n">
        <v>253974556.317754</v>
      </c>
      <c r="AP64" t="n">
        <v>17865062.0945425</v>
      </c>
      <c r="AQ64" t="n">
        <v>593757610.498449</v>
      </c>
      <c r="AR64" t="n">
        <v>394981276.572324</v>
      </c>
      <c r="AS64" t="n">
        <v>521631769.428057</v>
      </c>
      <c r="AT64" t="n">
        <v>451351417.280149</v>
      </c>
      <c r="AU64" t="n">
        <v>499610276.325973</v>
      </c>
      <c r="AV64" t="n">
        <v>5731209.65403883</v>
      </c>
      <c r="AW64" t="n">
        <v>70526629.5350938</v>
      </c>
      <c r="AX64" t="n">
        <v>1941678892.38698</v>
      </c>
      <c r="AY64" t="n">
        <v>560677798.535641</v>
      </c>
      <c r="AZ64" t="n">
        <v>350135006.266469</v>
      </c>
      <c r="BA64" t="n">
        <v>648281983.628451</v>
      </c>
      <c r="BB64" t="n">
        <v>1515621957.79172</v>
      </c>
      <c r="BC64" t="n">
        <v>393334125.355053</v>
      </c>
      <c r="BD64" t="n">
        <v>2432446928.6252</v>
      </c>
      <c r="BE64" t="n">
        <v>107301094.413049</v>
      </c>
      <c r="BF64" t="n">
        <v>137792557.999081</v>
      </c>
      <c r="BG64" t="n">
        <v>547776044.760905</v>
      </c>
      <c r="BH64" t="n">
        <v>1131251565.88765</v>
      </c>
      <c r="BI64" t="n">
        <v>235670807.608079</v>
      </c>
      <c r="BJ64" t="n">
        <v>74914083.1243174</v>
      </c>
      <c r="BK64" t="n">
        <v>113461741.076767</v>
      </c>
      <c r="BL64" t="n">
        <v>98422528.0494732</v>
      </c>
      <c r="BM64" t="n">
        <v>103200276.10727</v>
      </c>
      <c r="BN64" t="n">
        <v>254405162.474075</v>
      </c>
      <c r="BO64" t="n">
        <v>415520960.723986</v>
      </c>
      <c r="BP64" t="n">
        <v>51773135.8768266</v>
      </c>
      <c r="BQ64" t="n">
        <v>165151658.880683</v>
      </c>
      <c r="BR64" t="n">
        <v>9726767.8747711</v>
      </c>
      <c r="BS64" t="n">
        <v>987700160.454449</v>
      </c>
      <c r="BT64" t="n">
        <v>105753936.905491</v>
      </c>
      <c r="BU64" t="n">
        <v>1871551710.22774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147842299.396995</v>
      </c>
      <c r="CB64" t="n">
        <v>-101607938.062149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160</v>
      </c>
      <c r="B65" t="n">
        <v>1888743.8249119</v>
      </c>
      <c r="C65" t="n">
        <v>4025.19267523229</v>
      </c>
      <c r="D65" t="n">
        <v>160843.7424744</v>
      </c>
      <c r="E65" t="n">
        <v>864217.519450884</v>
      </c>
      <c r="F65" t="n">
        <v>115298.144487586</v>
      </c>
      <c r="G65" t="n">
        <v>8105876.71784882</v>
      </c>
      <c r="H65" t="n">
        <v>17756353.627526</v>
      </c>
      <c r="I65" t="n">
        <v>603150.863996253</v>
      </c>
      <c r="J65" t="n">
        <v>2559164.61444616</v>
      </c>
      <c r="K65" t="n">
        <v>2766764.83964504</v>
      </c>
      <c r="L65" t="n">
        <v>6908324.67032892</v>
      </c>
      <c r="M65" t="n">
        <v>6796146.73361444</v>
      </c>
      <c r="N65" t="n">
        <v>669934.218271079</v>
      </c>
      <c r="O65" t="n">
        <v>1088524.82132947</v>
      </c>
      <c r="P65" t="n">
        <v>1814641.92674913</v>
      </c>
      <c r="Q65" t="n">
        <v>256081.988046348</v>
      </c>
      <c r="R65" t="n">
        <v>1010136.33780332</v>
      </c>
      <c r="S65" t="n">
        <v>2000290.71971101</v>
      </c>
      <c r="T65" t="n">
        <v>17038135.2543367</v>
      </c>
      <c r="U65" t="n">
        <v>255090.340464588</v>
      </c>
      <c r="V65" t="n">
        <v>15197.7793258223</v>
      </c>
      <c r="W65" t="n">
        <v>2847140.59673402</v>
      </c>
      <c r="X65" t="n">
        <v>1516156.5531539</v>
      </c>
      <c r="Y65" t="n">
        <v>8000089.22407578</v>
      </c>
      <c r="Z65" t="n">
        <v>27839981.353997</v>
      </c>
      <c r="AA65" t="n">
        <v>6317507.01805535</v>
      </c>
      <c r="AB65" t="n">
        <v>35876386.8352142</v>
      </c>
      <c r="AC65" t="n">
        <v>7562203.89083034</v>
      </c>
      <c r="AD65" t="n">
        <v>4542822.17844239</v>
      </c>
      <c r="AE65" t="n">
        <v>2924259.64160676</v>
      </c>
      <c r="AF65" t="n">
        <v>10471667.1765621</v>
      </c>
      <c r="AG65" t="n">
        <v>2626276.00899107</v>
      </c>
      <c r="AH65" t="n">
        <v>3250321.99591982</v>
      </c>
      <c r="AI65" t="n">
        <v>78873.8360971716</v>
      </c>
      <c r="AJ65" t="n">
        <v>12395069.4823379</v>
      </c>
      <c r="AK65" t="n">
        <v>759154.383598236</v>
      </c>
      <c r="AL65" t="n">
        <v>1940828.8093535</v>
      </c>
      <c r="AM65" t="n">
        <v>4219286.57461834</v>
      </c>
      <c r="AN65" t="n">
        <v>3002260.10854507</v>
      </c>
      <c r="AO65" t="n">
        <v>349787.281531053</v>
      </c>
      <c r="AP65" t="n">
        <v>253576.768778585</v>
      </c>
      <c r="AQ65" t="n">
        <v>686926.862068385</v>
      </c>
      <c r="AR65" t="n">
        <v>695143.135686025</v>
      </c>
      <c r="AS65" t="n">
        <v>5082878.59564089</v>
      </c>
      <c r="AT65" t="n">
        <v>2143739.39902562</v>
      </c>
      <c r="AU65" t="n">
        <v>30324436.4731727</v>
      </c>
      <c r="AV65" t="n">
        <v>8086144.87858263</v>
      </c>
      <c r="AW65" t="n">
        <v>34750.6193877148</v>
      </c>
      <c r="AX65" t="n">
        <v>379825774.410786</v>
      </c>
      <c r="AY65" t="n">
        <v>9153206.96959578</v>
      </c>
      <c r="AZ65" t="n">
        <v>5681837.16623206</v>
      </c>
      <c r="BA65" t="n">
        <v>3358956.68383555</v>
      </c>
      <c r="BB65" t="n">
        <v>28865609.3327559</v>
      </c>
      <c r="BC65" t="n">
        <v>7589108.77671829</v>
      </c>
      <c r="BD65" t="n">
        <v>34650547.2057886</v>
      </c>
      <c r="BE65" t="n">
        <v>142942542.352469</v>
      </c>
      <c r="BF65" t="n">
        <v>4022455.38663342</v>
      </c>
      <c r="BG65" t="n">
        <v>16987896.9022063</v>
      </c>
      <c r="BH65" t="n">
        <v>30222363.8377794</v>
      </c>
      <c r="BI65" t="n">
        <v>10216283.4174805</v>
      </c>
      <c r="BJ65" t="n">
        <v>5061173.170982</v>
      </c>
      <c r="BK65" t="n">
        <v>1458712.03936354</v>
      </c>
      <c r="BL65" t="n">
        <v>8859642.90291875</v>
      </c>
      <c r="BM65" t="n">
        <v>9286619.95112473</v>
      </c>
      <c r="BN65" t="n">
        <v>22717218.2580846</v>
      </c>
      <c r="BO65" t="n">
        <v>20361918.2669435</v>
      </c>
      <c r="BP65" t="n">
        <v>429332.111313749</v>
      </c>
      <c r="BQ65" t="n">
        <v>8483651.88512512</v>
      </c>
      <c r="BR65" t="n">
        <v>1978355.44941192</v>
      </c>
      <c r="BS65" t="n">
        <v>290956124.24764</v>
      </c>
      <c r="BT65" t="n">
        <v>32370498.8460101</v>
      </c>
      <c r="BU65" t="n">
        <v>441946650.953374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9955301.73337604</v>
      </c>
      <c r="CB65" t="n">
        <v>-10870678.0690648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161</v>
      </c>
      <c r="B66" t="n">
        <v>20154.2770612879</v>
      </c>
      <c r="C66" t="n">
        <v>0</v>
      </c>
      <c r="D66" t="n">
        <v>0</v>
      </c>
      <c r="E66" t="n">
        <v>0</v>
      </c>
      <c r="F66" t="n">
        <v>0</v>
      </c>
      <c r="G66" t="n">
        <v>1495530.87665129</v>
      </c>
      <c r="H66" t="n">
        <v>37825.5328855534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364740.627852043</v>
      </c>
      <c r="Y66" t="n">
        <v>90291.9497213354</v>
      </c>
      <c r="Z66" t="n">
        <v>0</v>
      </c>
      <c r="AA66" t="n">
        <v>21184.5354450287</v>
      </c>
      <c r="AB66" t="n">
        <v>24363643.0983471</v>
      </c>
      <c r="AC66" t="n">
        <v>718544.983859994</v>
      </c>
      <c r="AD66" t="n">
        <v>5485560.49243704</v>
      </c>
      <c r="AE66" t="n">
        <v>0</v>
      </c>
      <c r="AF66" t="n">
        <v>25866416.3162798</v>
      </c>
      <c r="AG66" t="n">
        <v>2905996.45945393</v>
      </c>
      <c r="AH66" t="n">
        <v>185055.251563708</v>
      </c>
      <c r="AI66" t="n">
        <v>0</v>
      </c>
      <c r="AJ66" t="n">
        <v>0</v>
      </c>
      <c r="AK66" t="n">
        <v>0</v>
      </c>
      <c r="AL66" t="n">
        <v>64820.8630750121</v>
      </c>
      <c r="AM66" t="n">
        <v>453078.264364068</v>
      </c>
      <c r="AN66" t="n">
        <v>0</v>
      </c>
      <c r="AO66" t="n">
        <v>0</v>
      </c>
      <c r="AP66" t="n">
        <v>0</v>
      </c>
      <c r="AQ66" t="n">
        <v>126681.723616793</v>
      </c>
      <c r="AR66" t="n">
        <v>935105.202225236</v>
      </c>
      <c r="AS66" t="n">
        <v>405976.680149791</v>
      </c>
      <c r="AT66" t="n">
        <v>121238.910906849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883233.827980009</v>
      </c>
      <c r="BB66" t="n">
        <v>466084.19322196</v>
      </c>
      <c r="BC66" t="n">
        <v>0</v>
      </c>
      <c r="BD66" t="n">
        <v>3449623.06766555</v>
      </c>
      <c r="BE66" t="n">
        <v>0</v>
      </c>
      <c r="BF66" t="n">
        <v>31793542.837169</v>
      </c>
      <c r="BG66" t="n">
        <v>0</v>
      </c>
      <c r="BH66" t="n">
        <v>69261.0035527677</v>
      </c>
      <c r="BI66" t="n">
        <v>0</v>
      </c>
      <c r="BJ66" t="n">
        <v>0</v>
      </c>
      <c r="BK66" t="n">
        <v>31582585.1463069</v>
      </c>
      <c r="BL66" t="n">
        <v>4030548.28731807</v>
      </c>
      <c r="BM66" t="n">
        <v>0</v>
      </c>
      <c r="BN66" t="n">
        <v>0</v>
      </c>
      <c r="BO66" t="n">
        <v>24353370.5933325</v>
      </c>
      <c r="BP66" t="n">
        <v>0</v>
      </c>
      <c r="BQ66" t="n">
        <v>146261.496130122</v>
      </c>
      <c r="BR66" t="n">
        <v>860297.167339869</v>
      </c>
      <c r="BS66" t="n">
        <v>109047036.569705</v>
      </c>
      <c r="BT66" t="n">
        <v>54378.5264497236</v>
      </c>
      <c r="BU66" t="n">
        <v>4812908467.39989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114164340.444473</v>
      </c>
      <c r="CB66" t="n">
        <v>-72154195.7032774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162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3851215.08429549</v>
      </c>
      <c r="BC67" t="n">
        <v>0</v>
      </c>
      <c r="BD67" t="n">
        <v>4481031.49284254</v>
      </c>
      <c r="BE67" t="n">
        <v>0</v>
      </c>
      <c r="BF67" t="n">
        <v>0</v>
      </c>
      <c r="BG67" t="n">
        <v>519182943.369638</v>
      </c>
      <c r="BH67" t="n">
        <v>630139496.011216</v>
      </c>
      <c r="BI67" t="n">
        <v>4025986.07888631</v>
      </c>
      <c r="BJ67" t="n">
        <v>36186.8975657572</v>
      </c>
      <c r="BK67" t="n">
        <v>5272163.34896697</v>
      </c>
      <c r="BL67" t="n">
        <v>164059.54019895</v>
      </c>
      <c r="BM67" t="n">
        <v>0</v>
      </c>
      <c r="BN67" t="n">
        <v>0</v>
      </c>
      <c r="BO67" t="n">
        <v>2321273.20743977</v>
      </c>
      <c r="BP67" t="n">
        <v>0</v>
      </c>
      <c r="BQ67" t="n">
        <v>16366192.5413935</v>
      </c>
      <c r="BR67" t="n">
        <v>0</v>
      </c>
      <c r="BS67" t="n">
        <v>412586183.032644</v>
      </c>
      <c r="BT67" t="n">
        <v>0</v>
      </c>
      <c r="BU67" t="n">
        <v>50337491968.144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34946806.3364943</v>
      </c>
      <c r="CB67" t="n">
        <v>-17860513.4564182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163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45416774.7994179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50056100550.3835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208825377.992255</v>
      </c>
      <c r="CB68" t="n">
        <v>-242997996.658083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164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51506166.27903</v>
      </c>
      <c r="BR69" t="n">
        <v>0</v>
      </c>
      <c r="BS69" t="n">
        <v>49422088.2349263</v>
      </c>
      <c r="BT69" t="n">
        <v>0</v>
      </c>
      <c r="BU69" t="n">
        <v>11288190543.3335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11582003.4564992</v>
      </c>
      <c r="CB69" t="n">
        <v>-5099530.88351578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165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10954937397.2958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166</v>
      </c>
      <c r="B71" t="n">
        <v>2386012.59664419</v>
      </c>
      <c r="C71" t="n">
        <v>0</v>
      </c>
      <c r="D71" t="n">
        <v>0</v>
      </c>
      <c r="E71" t="n">
        <v>0</v>
      </c>
      <c r="F71" t="n">
        <v>57176.0369386525</v>
      </c>
      <c r="G71" t="n">
        <v>4408252.82646129</v>
      </c>
      <c r="H71" t="n">
        <v>4887897.99630503</v>
      </c>
      <c r="I71" t="n">
        <v>340072.255588999</v>
      </c>
      <c r="J71" t="n">
        <v>1067858.08090367</v>
      </c>
      <c r="K71" t="n">
        <v>1353098.43524924</v>
      </c>
      <c r="L71" t="n">
        <v>3954161.17384234</v>
      </c>
      <c r="M71" t="n">
        <v>3838676.48956235</v>
      </c>
      <c r="N71" t="n">
        <v>118292.87186365</v>
      </c>
      <c r="O71" t="n">
        <v>247811.517992879</v>
      </c>
      <c r="P71" t="n">
        <v>1002433.25624021</v>
      </c>
      <c r="Q71" t="n">
        <v>59041.809075499</v>
      </c>
      <c r="R71" t="n">
        <v>457056.914102647</v>
      </c>
      <c r="S71" t="n">
        <v>1419721.69761455</v>
      </c>
      <c r="T71" t="n">
        <v>4176978.57384556</v>
      </c>
      <c r="U71" t="n">
        <v>59190.1841095521</v>
      </c>
      <c r="V71" t="n">
        <v>36674.9179487536</v>
      </c>
      <c r="W71" t="n">
        <v>1071902.67670466</v>
      </c>
      <c r="X71" t="n">
        <v>1692855.75858954</v>
      </c>
      <c r="Y71" t="n">
        <v>2011978.61146823</v>
      </c>
      <c r="Z71" t="n">
        <v>1937578.18946689</v>
      </c>
      <c r="AA71" t="n">
        <v>5558326.33217743</v>
      </c>
      <c r="AB71" t="n">
        <v>142333857.071131</v>
      </c>
      <c r="AC71" t="n">
        <v>11796821.4982072</v>
      </c>
      <c r="AD71" t="n">
        <v>13932017.5307326</v>
      </c>
      <c r="AE71" t="n">
        <v>2822701.3991329</v>
      </c>
      <c r="AF71" t="n">
        <v>16469305.8396972</v>
      </c>
      <c r="AG71" t="n">
        <v>0</v>
      </c>
      <c r="AH71" t="n">
        <v>8054165.80698381</v>
      </c>
      <c r="AI71" t="n">
        <v>0</v>
      </c>
      <c r="AJ71" t="n">
        <v>2857192.48987611</v>
      </c>
      <c r="AK71" t="n">
        <v>915986.610017297</v>
      </c>
      <c r="AL71" t="n">
        <v>0</v>
      </c>
      <c r="AM71" t="n">
        <v>13704726.6439436</v>
      </c>
      <c r="AN71" t="n">
        <v>269759.981525991</v>
      </c>
      <c r="AO71" t="n">
        <v>3577315.03553481</v>
      </c>
      <c r="AP71" t="n">
        <v>154843765.88359</v>
      </c>
      <c r="AQ71" t="n">
        <v>716433802.34021</v>
      </c>
      <c r="AR71" t="n">
        <v>12069570.6879558</v>
      </c>
      <c r="AS71" t="n">
        <v>89272990.5099282</v>
      </c>
      <c r="AT71" t="n">
        <v>34051981.9114809</v>
      </c>
      <c r="AU71" t="n">
        <v>12756953.8309792</v>
      </c>
      <c r="AV71" t="n">
        <v>18056680.8490387</v>
      </c>
      <c r="AW71" t="n">
        <v>0</v>
      </c>
      <c r="AX71" t="n">
        <v>105709662.678821</v>
      </c>
      <c r="AY71" t="n">
        <v>9495602.25010171</v>
      </c>
      <c r="AZ71" t="n">
        <v>28092142.8047305</v>
      </c>
      <c r="BA71" t="n">
        <v>28140549.8828574</v>
      </c>
      <c r="BB71" t="n">
        <v>194003109.909916</v>
      </c>
      <c r="BC71" t="n">
        <v>129216232.790334</v>
      </c>
      <c r="BD71" t="n">
        <v>87065495.8686669</v>
      </c>
      <c r="BE71" t="n">
        <v>3229460.03945854</v>
      </c>
      <c r="BF71" t="n">
        <v>57101760.0897704</v>
      </c>
      <c r="BG71" t="n">
        <v>28243053.5713748</v>
      </c>
      <c r="BH71" t="n">
        <v>54672673.8070877</v>
      </c>
      <c r="BI71" t="n">
        <v>7305658.85340782</v>
      </c>
      <c r="BJ71" t="n">
        <v>24942093.5471265</v>
      </c>
      <c r="BK71" t="n">
        <v>746639536.877034</v>
      </c>
      <c r="BL71" t="n">
        <v>30943487.6190592</v>
      </c>
      <c r="BM71" t="n">
        <v>7520922.90815541</v>
      </c>
      <c r="BN71" t="n">
        <v>106518118.500806</v>
      </c>
      <c r="BO71" t="n">
        <v>49837557.3315582</v>
      </c>
      <c r="BP71" t="n">
        <v>0</v>
      </c>
      <c r="BQ71" t="n">
        <v>372265.725842966</v>
      </c>
      <c r="BR71" t="n">
        <v>646619.357271723</v>
      </c>
      <c r="BS71" t="n">
        <v>51059012.4869401</v>
      </c>
      <c r="BT71" t="n">
        <v>580078.038517792</v>
      </c>
      <c r="BU71" t="n">
        <v>2955393472.18379</v>
      </c>
      <c r="BV71" t="n">
        <v>0</v>
      </c>
      <c r="BW71" t="n">
        <v>0</v>
      </c>
      <c r="BX71" t="n">
        <v>195554988.275913</v>
      </c>
      <c r="BY71" t="n">
        <v>0</v>
      </c>
      <c r="BZ71" t="n">
        <v>0</v>
      </c>
      <c r="CA71" t="n">
        <v>59305136.3301511</v>
      </c>
      <c r="CB71" t="n">
        <v>-51216201.5228959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</row>
    <row r="72">
      <c r="A72" t="s">
        <v>167</v>
      </c>
      <c r="B72" t="n">
        <v>256744.077786488</v>
      </c>
      <c r="C72" t="n">
        <v>0</v>
      </c>
      <c r="D72" t="n">
        <v>0</v>
      </c>
      <c r="E72" t="n">
        <v>0</v>
      </c>
      <c r="F72" t="n">
        <v>13271.8925947922</v>
      </c>
      <c r="G72" t="n">
        <v>759887.872246074</v>
      </c>
      <c r="H72" t="n">
        <v>1101387.66396284</v>
      </c>
      <c r="I72" t="n">
        <v>34809.5680181973</v>
      </c>
      <c r="J72" t="n">
        <v>172328.076382495</v>
      </c>
      <c r="K72" t="n">
        <v>100363.948115066</v>
      </c>
      <c r="L72" t="n">
        <v>454349.258761607</v>
      </c>
      <c r="M72" t="n">
        <v>386970.951866552</v>
      </c>
      <c r="N72" t="n">
        <v>16817.1931010898</v>
      </c>
      <c r="O72" t="n">
        <v>21138.1839925102</v>
      </c>
      <c r="P72" t="n">
        <v>112509.205968521</v>
      </c>
      <c r="Q72" t="n">
        <v>6714.97775727232</v>
      </c>
      <c r="R72" t="n">
        <v>64977.832235844</v>
      </c>
      <c r="S72" t="n">
        <v>161468.623171893</v>
      </c>
      <c r="T72" t="n">
        <v>352337.049809088</v>
      </c>
      <c r="U72" t="n">
        <v>0</v>
      </c>
      <c r="V72" t="n">
        <v>0</v>
      </c>
      <c r="W72" t="n">
        <v>82054.9865314648</v>
      </c>
      <c r="X72" t="n">
        <v>186322.129207759</v>
      </c>
      <c r="Y72" t="n">
        <v>109545.096473064</v>
      </c>
      <c r="Z72" t="n">
        <v>227252.212995418</v>
      </c>
      <c r="AA72" t="n">
        <v>436929.911978009</v>
      </c>
      <c r="AB72" t="n">
        <v>8909879.58157517</v>
      </c>
      <c r="AC72" t="n">
        <v>87176.1877112058</v>
      </c>
      <c r="AD72" t="n">
        <v>483168.639822873</v>
      </c>
      <c r="AE72" t="n">
        <v>33440.9516454567</v>
      </c>
      <c r="AF72" t="n">
        <v>3638655.38947265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91614.8529534635</v>
      </c>
      <c r="AN72" t="n">
        <v>16435.9826183831</v>
      </c>
      <c r="AO72" t="n">
        <v>226050.009500111</v>
      </c>
      <c r="AP72" t="n">
        <v>90777.2080240645</v>
      </c>
      <c r="AQ72" t="n">
        <v>358620.127060545</v>
      </c>
      <c r="AR72" t="n">
        <v>1573990.57045639</v>
      </c>
      <c r="AS72" t="n">
        <v>6549503.48592122</v>
      </c>
      <c r="AT72" t="n">
        <v>3530182.67499655</v>
      </c>
      <c r="AU72" t="n">
        <v>802267.384104451</v>
      </c>
      <c r="AV72" t="n">
        <v>657028.764419789</v>
      </c>
      <c r="AW72" t="n">
        <v>0</v>
      </c>
      <c r="AX72" t="n">
        <v>0</v>
      </c>
      <c r="AY72" t="n">
        <v>1045282.2875702</v>
      </c>
      <c r="AZ72" t="n">
        <v>1765379.59751594</v>
      </c>
      <c r="BA72" t="n">
        <v>3393297.64662681</v>
      </c>
      <c r="BB72" t="n">
        <v>6479961.38924472</v>
      </c>
      <c r="BC72" t="n">
        <v>11275578.0825592</v>
      </c>
      <c r="BD72" t="n">
        <v>8288963.23592658</v>
      </c>
      <c r="BE72" t="n">
        <v>359638.505669863</v>
      </c>
      <c r="BF72" t="n">
        <v>868881.089623456</v>
      </c>
      <c r="BG72" t="n">
        <v>3692390.75465391</v>
      </c>
      <c r="BH72" t="n">
        <v>235283.093901402</v>
      </c>
      <c r="BI72" t="n">
        <v>438137.554231922</v>
      </c>
      <c r="BJ72" t="n">
        <v>787081.927888943</v>
      </c>
      <c r="BK72" t="n">
        <v>2112484.13014726</v>
      </c>
      <c r="BL72" t="n">
        <v>4738948.58653302</v>
      </c>
      <c r="BM72" t="n">
        <v>3997740.36210968</v>
      </c>
      <c r="BN72" t="n">
        <v>11459522.0805216</v>
      </c>
      <c r="BO72" t="n">
        <v>650199.879850054</v>
      </c>
      <c r="BP72" t="n">
        <v>24782.3652209598</v>
      </c>
      <c r="BQ72" t="n">
        <v>18678.8578643967</v>
      </c>
      <c r="BR72" t="n">
        <v>8555.2474076468</v>
      </c>
      <c r="BS72" t="n">
        <v>9625498.45625795</v>
      </c>
      <c r="BT72" t="n">
        <v>865905.81879139</v>
      </c>
      <c r="BU72" t="n">
        <v>3019022719.50128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903707.754799716</v>
      </c>
      <c r="CB72" t="n">
        <v>-1068714.27968625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168</v>
      </c>
      <c r="B73" t="n">
        <v>28511.6855413766</v>
      </c>
      <c r="C73" t="n">
        <v>0</v>
      </c>
      <c r="D73" t="n">
        <v>794.448078388455</v>
      </c>
      <c r="E73" t="n">
        <v>198602.486383457</v>
      </c>
      <c r="F73" t="n">
        <v>469726.860824434</v>
      </c>
      <c r="G73" t="n">
        <v>39673618.5458619</v>
      </c>
      <c r="H73" t="n">
        <v>10621876.1711961</v>
      </c>
      <c r="I73" t="n">
        <v>1244735.17739022</v>
      </c>
      <c r="J73" t="n">
        <v>5253162.63846185</v>
      </c>
      <c r="K73" t="n">
        <v>3949692.37256004</v>
      </c>
      <c r="L73" t="n">
        <v>17165110.0030615</v>
      </c>
      <c r="M73" t="n">
        <v>16174567.8851113</v>
      </c>
      <c r="N73" t="n">
        <v>784377.738013353</v>
      </c>
      <c r="O73" t="n">
        <v>1232393.60204831</v>
      </c>
      <c r="P73" t="n">
        <v>5483730.44007192</v>
      </c>
      <c r="Q73" t="n">
        <v>242726.96698603</v>
      </c>
      <c r="R73" t="n">
        <v>2333606.85508701</v>
      </c>
      <c r="S73" t="n">
        <v>6966291.17559639</v>
      </c>
      <c r="T73" t="n">
        <v>13482939.5444443</v>
      </c>
      <c r="U73" t="n">
        <v>200164.267013139</v>
      </c>
      <c r="V73" t="n">
        <v>72955.3405778167</v>
      </c>
      <c r="W73" t="n">
        <v>3225749.94373012</v>
      </c>
      <c r="X73" t="n">
        <v>9450732.09847205</v>
      </c>
      <c r="Y73" t="n">
        <v>4130048.75583425</v>
      </c>
      <c r="Z73" t="n">
        <v>9828502.57799833</v>
      </c>
      <c r="AA73" t="n">
        <v>17801682.7793208</v>
      </c>
      <c r="AB73" t="n">
        <v>148405409.562723</v>
      </c>
      <c r="AC73" t="n">
        <v>1074591.27395775</v>
      </c>
      <c r="AD73" t="n">
        <v>2108175.64033709</v>
      </c>
      <c r="AE73" t="n">
        <v>1910673.43209298</v>
      </c>
      <c r="AF73" t="n">
        <v>6933031.61632686</v>
      </c>
      <c r="AG73" t="n">
        <v>0</v>
      </c>
      <c r="AH73" t="n">
        <v>837735.771807852</v>
      </c>
      <c r="AI73" t="n">
        <v>0</v>
      </c>
      <c r="AJ73" t="n">
        <v>0</v>
      </c>
      <c r="AK73" t="n">
        <v>0</v>
      </c>
      <c r="AL73" t="n">
        <v>238420.626705075</v>
      </c>
      <c r="AM73" t="n">
        <v>16750342.9810624</v>
      </c>
      <c r="AN73" t="n">
        <v>574948.155322605</v>
      </c>
      <c r="AO73" t="n">
        <v>9664685.2950902</v>
      </c>
      <c r="AP73" t="n">
        <v>4644144.32402602</v>
      </c>
      <c r="AQ73" t="n">
        <v>15627377.9812141</v>
      </c>
      <c r="AR73" t="n">
        <v>67406621.9259002</v>
      </c>
      <c r="AS73" t="n">
        <v>278966106.879112</v>
      </c>
      <c r="AT73" t="n">
        <v>152046502.413772</v>
      </c>
      <c r="AU73" t="n">
        <v>33616646.7372151</v>
      </c>
      <c r="AV73" t="n">
        <v>28772018.5025051</v>
      </c>
      <c r="AW73" t="n">
        <v>208520.864986934</v>
      </c>
      <c r="AX73" t="n">
        <v>281052842.723177</v>
      </c>
      <c r="AY73" t="n">
        <v>49049922.0860386</v>
      </c>
      <c r="AZ73" t="n">
        <v>59027350.0472124</v>
      </c>
      <c r="BA73" t="n">
        <v>147588085.401124</v>
      </c>
      <c r="BB73" t="n">
        <v>265595773.878182</v>
      </c>
      <c r="BC73" t="n">
        <v>29789030.306446</v>
      </c>
      <c r="BD73" t="n">
        <v>232459105.934153</v>
      </c>
      <c r="BE73" t="n">
        <v>17852381.7630893</v>
      </c>
      <c r="BF73" t="n">
        <v>29917610.1008046</v>
      </c>
      <c r="BG73" t="n">
        <v>103714931.262269</v>
      </c>
      <c r="BH73" t="n">
        <v>10856359.3023423</v>
      </c>
      <c r="BI73" t="n">
        <v>10816645.8278769</v>
      </c>
      <c r="BJ73" t="n">
        <v>11974653.7816725</v>
      </c>
      <c r="BK73" t="n">
        <v>4399734.07119104</v>
      </c>
      <c r="BL73" t="n">
        <v>11271714.8462708</v>
      </c>
      <c r="BM73" t="n">
        <v>14869282.9895535</v>
      </c>
      <c r="BN73" t="n">
        <v>84621872.3792864</v>
      </c>
      <c r="BO73" t="n">
        <v>23308892.6310315</v>
      </c>
      <c r="BP73" t="n">
        <v>28569615.9122207</v>
      </c>
      <c r="BQ73" t="n">
        <v>22586078.3654449</v>
      </c>
      <c r="BR73" t="n">
        <v>1037475.06973868</v>
      </c>
      <c r="BS73" t="n">
        <v>113948536.874605</v>
      </c>
      <c r="BT73" t="n">
        <v>3442517.38787943</v>
      </c>
      <c r="BU73" t="n">
        <v>5243840048.99346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</row>
    <row r="74">
      <c r="A74" t="s">
        <v>169</v>
      </c>
      <c r="B74" t="n">
        <v>13917000.7333747</v>
      </c>
      <c r="C74" t="n">
        <v>47998.0762873479</v>
      </c>
      <c r="D74" t="n">
        <v>12827.4130194995</v>
      </c>
      <c r="E74" t="n">
        <v>904453.656771944</v>
      </c>
      <c r="F74" t="n">
        <v>1139689.20126839</v>
      </c>
      <c r="G74" t="n">
        <v>96035785.7145969</v>
      </c>
      <c r="H74" t="n">
        <v>16017250.6896939</v>
      </c>
      <c r="I74" t="n">
        <v>2184553.55231087</v>
      </c>
      <c r="J74" t="n">
        <v>8164610.03957984</v>
      </c>
      <c r="K74" t="n">
        <v>7267578.06925475</v>
      </c>
      <c r="L74" t="n">
        <v>25004339.364758</v>
      </c>
      <c r="M74" t="n">
        <v>26038377.3295505</v>
      </c>
      <c r="N74" t="n">
        <v>1022927.29105608</v>
      </c>
      <c r="O74" t="n">
        <v>2877646.82389354</v>
      </c>
      <c r="P74" t="n">
        <v>7788573.45989315</v>
      </c>
      <c r="Q74" t="n">
        <v>403584.649475111</v>
      </c>
      <c r="R74" t="n">
        <v>3312453.9249341</v>
      </c>
      <c r="S74" t="n">
        <v>9821535.63314181</v>
      </c>
      <c r="T74" t="n">
        <v>25281573.169486</v>
      </c>
      <c r="U74" t="n">
        <v>511841.954078896</v>
      </c>
      <c r="V74" t="n">
        <v>271836.989059289</v>
      </c>
      <c r="W74" t="n">
        <v>5941785.19068788</v>
      </c>
      <c r="X74" t="n">
        <v>10591221.8152112</v>
      </c>
      <c r="Y74" t="n">
        <v>11052485.0895755</v>
      </c>
      <c r="Z74" t="n">
        <v>14481140.3171008</v>
      </c>
      <c r="AA74" t="n">
        <v>26800155.6584909</v>
      </c>
      <c r="AB74" t="n">
        <v>442716167.280491</v>
      </c>
      <c r="AC74" t="n">
        <v>28785560.0953084</v>
      </c>
      <c r="AD74" t="n">
        <v>35167902.1334202</v>
      </c>
      <c r="AE74" t="n">
        <v>47219915.7314977</v>
      </c>
      <c r="AF74" t="n">
        <v>116630787.642065</v>
      </c>
      <c r="AG74" t="n">
        <v>552469385.211551</v>
      </c>
      <c r="AH74" t="n">
        <v>195091.586194951</v>
      </c>
      <c r="AI74" t="n">
        <v>446749.146207874</v>
      </c>
      <c r="AJ74" t="n">
        <v>51607286.8647947</v>
      </c>
      <c r="AK74" t="n">
        <v>7920914.31095406</v>
      </c>
      <c r="AL74" t="n">
        <v>1548957.82466781</v>
      </c>
      <c r="AM74" t="n">
        <v>79502293.542944</v>
      </c>
      <c r="AN74" t="n">
        <v>12949009.1317977</v>
      </c>
      <c r="AO74" t="n">
        <v>10451773.6406021</v>
      </c>
      <c r="AP74" t="n">
        <v>7756589.30487312</v>
      </c>
      <c r="AQ74" t="n">
        <v>17747605.2148358</v>
      </c>
      <c r="AR74" t="n">
        <v>72382274.9405511</v>
      </c>
      <c r="AS74" t="n">
        <v>493543236.016209</v>
      </c>
      <c r="AT74" t="n">
        <v>186715263.591728</v>
      </c>
      <c r="AU74" t="n">
        <v>236423744.490392</v>
      </c>
      <c r="AV74" t="n">
        <v>83101025.6410256</v>
      </c>
      <c r="AW74" t="n">
        <v>207190.439685955</v>
      </c>
      <c r="AX74" t="n">
        <v>972257046.536311</v>
      </c>
      <c r="AY74" t="n">
        <v>142054026.373064</v>
      </c>
      <c r="AZ74" t="n">
        <v>131734057.234241</v>
      </c>
      <c r="BA74" t="n">
        <v>238104613.757926</v>
      </c>
      <c r="BB74" t="n">
        <v>804549817.897362</v>
      </c>
      <c r="BC74" t="n">
        <v>179840846.48727</v>
      </c>
      <c r="BD74" t="n">
        <v>552157417.423313</v>
      </c>
      <c r="BE74" t="n">
        <v>20015313.1189821</v>
      </c>
      <c r="BF74" t="n">
        <v>77475035.0563677</v>
      </c>
      <c r="BG74" t="n">
        <v>824909250.506414</v>
      </c>
      <c r="BH74" t="n">
        <v>956867676.561797</v>
      </c>
      <c r="BI74" t="n">
        <v>331093594.27015</v>
      </c>
      <c r="BJ74" t="n">
        <v>133312530.63225</v>
      </c>
      <c r="BK74" t="n">
        <v>20819272.7867966</v>
      </c>
      <c r="BL74" t="n">
        <v>75795507.5719151</v>
      </c>
      <c r="BM74" t="n">
        <v>285089740.892226</v>
      </c>
      <c r="BN74" t="n">
        <v>262695183.013656</v>
      </c>
      <c r="BO74" t="n">
        <v>77039991.922388</v>
      </c>
      <c r="BP74" t="n">
        <v>12681462.0859856</v>
      </c>
      <c r="BQ74" t="n">
        <v>8899962.55556769</v>
      </c>
      <c r="BR74" t="n">
        <v>7508395.86133868</v>
      </c>
      <c r="BS74" t="n">
        <v>483831011.527148</v>
      </c>
      <c r="BT74" t="n">
        <v>14284153.3101722</v>
      </c>
      <c r="BU74" t="n">
        <v>31272371697.1006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114380887.047849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  <row r="75">
      <c r="A75" t="s">
        <v>170</v>
      </c>
      <c r="B75" t="n">
        <v>14376321.5504366</v>
      </c>
      <c r="C75" t="n">
        <v>310210.451683963</v>
      </c>
      <c r="D75" t="n">
        <v>89059.808395864</v>
      </c>
      <c r="E75" t="n">
        <v>3865769.92401133</v>
      </c>
      <c r="F75" t="n">
        <v>1458481.13716103</v>
      </c>
      <c r="G75" t="n">
        <v>50986995.2510928</v>
      </c>
      <c r="H75" t="n">
        <v>218726469.291043</v>
      </c>
      <c r="I75" t="n">
        <v>6371524.40173553</v>
      </c>
      <c r="J75" t="n">
        <v>37482722.3585503</v>
      </c>
      <c r="K75" t="n">
        <v>43699671.373727</v>
      </c>
      <c r="L75" t="n">
        <v>114602293.377254</v>
      </c>
      <c r="M75" t="n">
        <v>90808913.5992144</v>
      </c>
      <c r="N75" t="n">
        <v>14411618.9863458</v>
      </c>
      <c r="O75" t="n">
        <v>10669396.2133145</v>
      </c>
      <c r="P75" t="n">
        <v>30172779.2326114</v>
      </c>
      <c r="Q75" t="n">
        <v>2397687.6015585</v>
      </c>
      <c r="R75" t="n">
        <v>5982794.47034871</v>
      </c>
      <c r="S75" t="n">
        <v>27260128.437873</v>
      </c>
      <c r="T75" t="n">
        <v>103888299.115521</v>
      </c>
      <c r="U75" t="n">
        <v>1904300.87242404</v>
      </c>
      <c r="V75" t="n">
        <v>390416.920765536</v>
      </c>
      <c r="W75" t="n">
        <v>41676932.3561756</v>
      </c>
      <c r="X75" t="n">
        <v>24738536.6762463</v>
      </c>
      <c r="Y75" t="n">
        <v>67292622.5520481</v>
      </c>
      <c r="Z75" t="n">
        <v>137450544.717359</v>
      </c>
      <c r="AA75" t="n">
        <v>72847480.0330902</v>
      </c>
      <c r="AB75" t="n">
        <v>1054909575.17662</v>
      </c>
      <c r="AC75" t="n">
        <v>78545374.1857932</v>
      </c>
      <c r="AD75" t="n">
        <v>104556129.728667</v>
      </c>
      <c r="AE75" t="n">
        <v>108272831.145537</v>
      </c>
      <c r="AF75" t="n">
        <v>220341188.792978</v>
      </c>
      <c r="AG75" t="n">
        <v>34157006.4113337</v>
      </c>
      <c r="AH75" t="n">
        <v>7661397.50897028</v>
      </c>
      <c r="AI75" t="n">
        <v>10153493.4666641</v>
      </c>
      <c r="AJ75" t="n">
        <v>376628679.675712</v>
      </c>
      <c r="AK75" t="n">
        <v>106297803.570721</v>
      </c>
      <c r="AL75" t="n">
        <v>17319230.1625363</v>
      </c>
      <c r="AM75" t="n">
        <v>131979199.899893</v>
      </c>
      <c r="AN75" t="n">
        <v>42196038.0694058</v>
      </c>
      <c r="AO75" t="n">
        <v>29441025.432967</v>
      </c>
      <c r="AP75" t="n">
        <v>5180200.1171485</v>
      </c>
      <c r="AQ75" t="n">
        <v>110445856.330086</v>
      </c>
      <c r="AR75" t="n">
        <v>65984209.9978941</v>
      </c>
      <c r="AS75" t="n">
        <v>224927181.400165</v>
      </c>
      <c r="AT75" t="n">
        <v>223098514.754292</v>
      </c>
      <c r="AU75" t="n">
        <v>467041184.774021</v>
      </c>
      <c r="AV75" t="n">
        <v>15252106.8662559</v>
      </c>
      <c r="AW75" t="n">
        <v>975386319.68579</v>
      </c>
      <c r="AX75" t="n">
        <v>156445866.866684</v>
      </c>
      <c r="AY75" t="n">
        <v>331895164.138636</v>
      </c>
      <c r="AZ75" t="n">
        <v>63375558.6169612</v>
      </c>
      <c r="BA75" t="n">
        <v>90481162.7232709</v>
      </c>
      <c r="BB75" t="n">
        <v>408739244.548654</v>
      </c>
      <c r="BC75" t="n">
        <v>278712182.123939</v>
      </c>
      <c r="BD75" t="n">
        <v>735524168.874172</v>
      </c>
      <c r="BE75" t="n">
        <v>170893868.942975</v>
      </c>
      <c r="BF75" t="n">
        <v>128210066.10424</v>
      </c>
      <c r="BG75" t="n">
        <v>188358010.457865</v>
      </c>
      <c r="BH75" t="n">
        <v>574405885.520449</v>
      </c>
      <c r="BI75" t="n">
        <v>65386215.1326335</v>
      </c>
      <c r="BJ75" t="n">
        <v>29808188.5190696</v>
      </c>
      <c r="BK75" t="n">
        <v>31701144.5140049</v>
      </c>
      <c r="BL75" t="n">
        <v>83200641.6484285</v>
      </c>
      <c r="BM75" t="n">
        <v>67433708.1444353</v>
      </c>
      <c r="BN75" t="n">
        <v>391308258.60626</v>
      </c>
      <c r="BO75" t="n">
        <v>283331229.171658</v>
      </c>
      <c r="BP75" t="n">
        <v>52532290.1518896</v>
      </c>
      <c r="BQ75" t="n">
        <v>258183885.529129</v>
      </c>
      <c r="BR75" t="n">
        <v>16979186.6906572</v>
      </c>
      <c r="BS75" t="n">
        <v>1017236195.78024</v>
      </c>
      <c r="BT75" t="n">
        <v>79334079.7919442</v>
      </c>
      <c r="BU75" t="n">
        <v>28058442027.2211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3467137.79860441</v>
      </c>
      <c r="CB75" t="n">
        <v>-205990575.517383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</row>
    <row r="76">
      <c r="A76" t="s">
        <v>171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12749807371.0015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</row>
    <row r="77">
      <c r="A77" t="s">
        <v>172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6606094943.03836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</row>
    <row r="78">
      <c r="A78" t="s">
        <v>173</v>
      </c>
      <c r="B78" t="n">
        <v>107195.547723108</v>
      </c>
      <c r="C78" t="n">
        <v>3026.9569348867</v>
      </c>
      <c r="D78" t="n">
        <v>0</v>
      </c>
      <c r="E78" t="n">
        <v>20741.3029885884</v>
      </c>
      <c r="F78" t="n">
        <v>0</v>
      </c>
      <c r="G78" t="n">
        <v>3183602.30182706</v>
      </c>
      <c r="H78" t="n">
        <v>67061.5092974251</v>
      </c>
      <c r="I78" t="n">
        <v>0</v>
      </c>
      <c r="J78" t="n">
        <v>0</v>
      </c>
      <c r="K78" t="n">
        <v>311659.973189482</v>
      </c>
      <c r="L78" t="n">
        <v>2025041.93242529</v>
      </c>
      <c r="M78" t="n">
        <v>5893337.59916175</v>
      </c>
      <c r="N78" t="n">
        <v>399347.742378488</v>
      </c>
      <c r="O78" t="n">
        <v>2254386.84865285</v>
      </c>
      <c r="P78" t="n">
        <v>0</v>
      </c>
      <c r="Q78" t="n">
        <v>0</v>
      </c>
      <c r="R78" t="n">
        <v>0</v>
      </c>
      <c r="S78" t="n">
        <v>265451.401051956</v>
      </c>
      <c r="T78" t="n">
        <v>0</v>
      </c>
      <c r="U78" t="n">
        <v>7378.02689395803</v>
      </c>
      <c r="V78" t="n">
        <v>0</v>
      </c>
      <c r="W78" t="n">
        <v>0</v>
      </c>
      <c r="X78" t="n">
        <v>816826.935555243</v>
      </c>
      <c r="Y78" t="n">
        <v>720360.371344474</v>
      </c>
      <c r="Z78" t="n">
        <v>920787.961479221</v>
      </c>
      <c r="AA78" t="n">
        <v>0</v>
      </c>
      <c r="AB78" t="n">
        <v>264568930.535286</v>
      </c>
      <c r="AC78" t="n">
        <v>7278567.33506284</v>
      </c>
      <c r="AD78" t="n">
        <v>6854823.3562261</v>
      </c>
      <c r="AE78" t="n">
        <v>3945639.50445841</v>
      </c>
      <c r="AF78" t="n">
        <v>36377115.097344</v>
      </c>
      <c r="AG78" t="n">
        <v>51520.8891236491</v>
      </c>
      <c r="AH78" t="n">
        <v>0</v>
      </c>
      <c r="AI78" t="n">
        <v>16563887.1073307</v>
      </c>
      <c r="AJ78" t="n">
        <v>44754522.179201</v>
      </c>
      <c r="AK78" t="n">
        <v>4418326.80647296</v>
      </c>
      <c r="AL78" t="n">
        <v>827232.610457562</v>
      </c>
      <c r="AM78" t="n">
        <v>12341664.7460383</v>
      </c>
      <c r="AN78" t="n">
        <v>7468793.46570139</v>
      </c>
      <c r="AO78" t="n">
        <v>2477042.19467816</v>
      </c>
      <c r="AP78" t="n">
        <v>1508793.79909862</v>
      </c>
      <c r="AQ78" t="n">
        <v>1115226.13987615</v>
      </c>
      <c r="AR78" t="n">
        <v>10983608.6680241</v>
      </c>
      <c r="AS78" t="n">
        <v>18400494.1274221</v>
      </c>
      <c r="AT78" t="n">
        <v>41023579.1168871</v>
      </c>
      <c r="AU78" t="n">
        <v>1645095.28233487</v>
      </c>
      <c r="AV78" t="n">
        <v>0</v>
      </c>
      <c r="AW78" t="n">
        <v>0</v>
      </c>
      <c r="AX78" t="n">
        <v>3676163.40844705</v>
      </c>
      <c r="AY78" t="n">
        <v>15716466.5428614</v>
      </c>
      <c r="AZ78" t="n">
        <v>4594653.96686706</v>
      </c>
      <c r="BA78" t="n">
        <v>4305557.36656855</v>
      </c>
      <c r="BB78" t="n">
        <v>26517076.7783421</v>
      </c>
      <c r="BC78" t="n">
        <v>2266974.32922045</v>
      </c>
      <c r="BD78" t="n">
        <v>14110066.7520269</v>
      </c>
      <c r="BE78" t="n">
        <v>1285374.37909045</v>
      </c>
      <c r="BF78" t="n">
        <v>6646416.96016843</v>
      </c>
      <c r="BG78" t="n">
        <v>9424153.03845469</v>
      </c>
      <c r="BH78" t="n">
        <v>40504458.9457438</v>
      </c>
      <c r="BI78" t="n">
        <v>2969076.25199765</v>
      </c>
      <c r="BJ78" t="n">
        <v>4828260.23683105</v>
      </c>
      <c r="BK78" t="n">
        <v>1504326.55931912</v>
      </c>
      <c r="BL78" t="n">
        <v>1131192.42855367</v>
      </c>
      <c r="BM78" t="n">
        <v>6461681.97688944</v>
      </c>
      <c r="BN78" t="n">
        <v>64464657.4311755</v>
      </c>
      <c r="BO78" t="n">
        <v>5821627.69807841</v>
      </c>
      <c r="BP78" t="n">
        <v>3017.90708223086</v>
      </c>
      <c r="BQ78" t="n">
        <v>682393.188878564</v>
      </c>
      <c r="BR78" t="n">
        <v>512578.973947552</v>
      </c>
      <c r="BS78" t="n">
        <v>22209447.2815408</v>
      </c>
      <c r="BT78" t="n">
        <v>620630.258231541</v>
      </c>
      <c r="BU78" t="n">
        <v>74812834.7589216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21022550.9814534</v>
      </c>
      <c r="CB78" t="n">
        <v>-11744590.6894357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</row>
    <row r="79">
      <c r="A79" t="s">
        <v>174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71685407026.8174</v>
      </c>
      <c r="CL79" t="n">
        <v>0</v>
      </c>
      <c r="CM79" t="n">
        <v>0</v>
      </c>
      <c r="CN79" t="n">
        <v>0</v>
      </c>
    </row>
    <row r="80">
      <c r="A80" t="s">
        <v>175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27714723.9410226</v>
      </c>
      <c r="H80" t="n">
        <v>0</v>
      </c>
      <c r="I80" t="n">
        <v>1125885.29234483</v>
      </c>
      <c r="J80" t="n">
        <v>6203677.49732268</v>
      </c>
      <c r="K80" t="n">
        <v>6904199.16579201</v>
      </c>
      <c r="L80" t="n">
        <v>17503037.5553306</v>
      </c>
      <c r="M80" t="n">
        <v>19830552.2708497</v>
      </c>
      <c r="N80" t="n">
        <v>1534390.93658412</v>
      </c>
      <c r="O80" t="n">
        <v>2693967.2393897</v>
      </c>
      <c r="P80" t="n">
        <v>5018578.71474286</v>
      </c>
      <c r="Q80" t="n">
        <v>768269.573699608</v>
      </c>
      <c r="R80" t="n">
        <v>1769151.5280898</v>
      </c>
      <c r="S80" t="n">
        <v>5436921.5112035</v>
      </c>
      <c r="T80" t="n">
        <v>47223195.3881409</v>
      </c>
      <c r="U80" t="n">
        <v>789699.014864582</v>
      </c>
      <c r="V80" t="n">
        <v>90612.3296864297</v>
      </c>
      <c r="W80" t="n">
        <v>7639438.10231299</v>
      </c>
      <c r="X80" t="n">
        <v>3507920.60121646</v>
      </c>
      <c r="Y80" t="n">
        <v>21417495.0300387</v>
      </c>
      <c r="Z80" t="n">
        <v>79945468.858044</v>
      </c>
      <c r="AA80" t="n">
        <v>14516750.9816826</v>
      </c>
      <c r="AB80" t="n">
        <v>79018450.530232</v>
      </c>
      <c r="AC80" t="n">
        <v>16773540.6570406</v>
      </c>
      <c r="AD80" t="n">
        <v>13362899.912057</v>
      </c>
      <c r="AE80" t="n">
        <v>7555186.51703963</v>
      </c>
      <c r="AF80" t="n">
        <v>26830400.6918889</v>
      </c>
      <c r="AG80" t="n">
        <v>544640.182586865</v>
      </c>
      <c r="AH80" t="n">
        <v>0</v>
      </c>
      <c r="AI80" t="n">
        <v>0</v>
      </c>
      <c r="AJ80" t="n">
        <v>22300765.4120408</v>
      </c>
      <c r="AK80" t="n">
        <v>335276.79623086</v>
      </c>
      <c r="AL80" t="n">
        <v>2779012.56778637</v>
      </c>
      <c r="AM80" t="n">
        <v>5254156.91638949</v>
      </c>
      <c r="AN80" t="n">
        <v>7902704.10249421</v>
      </c>
      <c r="AO80" t="n">
        <v>1333753.01678217</v>
      </c>
      <c r="AP80" t="n">
        <v>1166775.08611439</v>
      </c>
      <c r="AQ80" t="n">
        <v>2255548.48884201</v>
      </c>
      <c r="AR80" t="n">
        <v>2990024.445397</v>
      </c>
      <c r="AS80" t="n">
        <v>21014145.5960026</v>
      </c>
      <c r="AT80" t="n">
        <v>11769558.8287998</v>
      </c>
      <c r="AU80" t="n">
        <v>5547037.75912778</v>
      </c>
      <c r="AV80" t="n">
        <v>0</v>
      </c>
      <c r="AW80" t="n">
        <v>0</v>
      </c>
      <c r="AX80" t="n">
        <v>76337510.5926098</v>
      </c>
      <c r="AY80" t="n">
        <v>54784084.479704</v>
      </c>
      <c r="AZ80" t="n">
        <v>29785575.2892559</v>
      </c>
      <c r="BA80" t="n">
        <v>8424558.02867896</v>
      </c>
      <c r="BB80" t="n">
        <v>53562876.4597419</v>
      </c>
      <c r="BC80" t="n">
        <v>19990925.6327944</v>
      </c>
      <c r="BD80" t="n">
        <v>65658903.5582822</v>
      </c>
      <c r="BE80" t="n">
        <v>35343025.0242248</v>
      </c>
      <c r="BF80" t="n">
        <v>6217741.66694416</v>
      </c>
      <c r="BG80" t="n">
        <v>25340950.5915509</v>
      </c>
      <c r="BH80" t="n">
        <v>44978670.862446</v>
      </c>
      <c r="BI80" t="n">
        <v>23805830.7273278</v>
      </c>
      <c r="BJ80" t="n">
        <v>8648668.51821598</v>
      </c>
      <c r="BK80" t="n">
        <v>4464021.52175306</v>
      </c>
      <c r="BL80" t="n">
        <v>14327866.5107083</v>
      </c>
      <c r="BM80" t="n">
        <v>26307901.5298084</v>
      </c>
      <c r="BN80" t="n">
        <v>62768954.1843642</v>
      </c>
      <c r="BO80" t="n">
        <v>59345758.4166206</v>
      </c>
      <c r="BP80" t="n">
        <v>16629464.4335094</v>
      </c>
      <c r="BQ80" t="n">
        <v>23183185.1371474</v>
      </c>
      <c r="BR80" t="n">
        <v>5996804.6153266</v>
      </c>
      <c r="BS80" t="n">
        <v>270898832.670826</v>
      </c>
      <c r="BT80" t="n">
        <v>47295357.113948</v>
      </c>
      <c r="BU80" t="n">
        <v>4663432573.05096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</row>
    <row r="81">
      <c r="A81" t="s">
        <v>176</v>
      </c>
      <c r="B81" t="n">
        <v>-637419.880917923</v>
      </c>
      <c r="C81" t="n">
        <v>1487940.36490778</v>
      </c>
      <c r="D81" t="n">
        <v>0</v>
      </c>
      <c r="E81" t="n">
        <v>0</v>
      </c>
      <c r="F81" t="n">
        <v>2568823.27904939</v>
      </c>
      <c r="G81" t="n">
        <v>218483658.426473</v>
      </c>
      <c r="H81" t="n">
        <v>94043193.8834724</v>
      </c>
      <c r="I81" t="n">
        <v>0</v>
      </c>
      <c r="J81" t="n">
        <v>2745305.55916003</v>
      </c>
      <c r="K81" t="n">
        <v>925925783.913401</v>
      </c>
      <c r="L81" t="n">
        <v>37638110.8332673</v>
      </c>
      <c r="M81" t="n">
        <v>603538.547373686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5495383.03282935</v>
      </c>
      <c r="T81" t="n">
        <v>46388.2076504331</v>
      </c>
      <c r="U81" t="n">
        <v>292481.116616512</v>
      </c>
      <c r="V81" t="n">
        <v>0</v>
      </c>
      <c r="W81" t="n">
        <v>59315992.7321813</v>
      </c>
      <c r="X81" t="n">
        <v>0</v>
      </c>
      <c r="Y81" t="n">
        <v>0</v>
      </c>
      <c r="Z81" t="n">
        <v>2154219.22072574</v>
      </c>
      <c r="AA81" t="n">
        <v>3573354.08779878</v>
      </c>
      <c r="AB81" t="n">
        <v>0</v>
      </c>
      <c r="AC81" t="n">
        <v>1442885.21780994</v>
      </c>
      <c r="AD81" t="n">
        <v>0</v>
      </c>
      <c r="AE81" t="n">
        <v>0</v>
      </c>
      <c r="AF81" t="n">
        <v>7480594.98844486</v>
      </c>
      <c r="AG81" t="n">
        <v>-17020005.7058395</v>
      </c>
      <c r="AH81" t="n">
        <v>0</v>
      </c>
      <c r="AI81" t="n">
        <v>-4302899.67137058</v>
      </c>
      <c r="AJ81" t="n">
        <v>17273734.3599261</v>
      </c>
      <c r="AK81" t="n">
        <v>167638.39811543</v>
      </c>
      <c r="AL81" t="n">
        <v>5330237.22018042</v>
      </c>
      <c r="AM81" t="n">
        <v>85817896.3010284</v>
      </c>
      <c r="AN81" t="n">
        <v>0</v>
      </c>
      <c r="AO81" t="n">
        <v>0</v>
      </c>
      <c r="AP81" t="n">
        <v>2070614.94155511</v>
      </c>
      <c r="AQ81" t="n">
        <v>29678.2695900265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450055.95913125</v>
      </c>
      <c r="AZ81" t="n">
        <v>0</v>
      </c>
      <c r="BA81" t="n">
        <v>0</v>
      </c>
      <c r="BB81" t="n">
        <v>0</v>
      </c>
      <c r="BC81" t="n">
        <v>9143136.52972765</v>
      </c>
      <c r="BD81" t="n">
        <v>0</v>
      </c>
      <c r="BE81" t="n">
        <v>0</v>
      </c>
      <c r="BF81" t="n">
        <v>13570467.9238861</v>
      </c>
      <c r="BG81" t="n">
        <v>0</v>
      </c>
      <c r="BH81" t="n">
        <v>0</v>
      </c>
      <c r="BI81" t="n">
        <v>0</v>
      </c>
      <c r="BJ81" t="n">
        <v>0</v>
      </c>
      <c r="BK81" t="n">
        <v>-5310646.29312001</v>
      </c>
      <c r="BL81" t="n">
        <v>28929165.5884149</v>
      </c>
      <c r="BM81" t="n">
        <v>0</v>
      </c>
      <c r="BN81" t="n">
        <v>0</v>
      </c>
      <c r="BO81" t="n">
        <v>1191864298.0011</v>
      </c>
      <c r="BP81" t="n">
        <v>-897273.260800867</v>
      </c>
      <c r="BQ81" t="n">
        <v>0</v>
      </c>
      <c r="BR81" t="n">
        <v>0</v>
      </c>
      <c r="BS81" t="n">
        <v>0</v>
      </c>
      <c r="BT81" t="n">
        <v>0</v>
      </c>
      <c r="BU81" t="n">
        <v>3120142851.44473</v>
      </c>
      <c r="BV81" t="n">
        <v>-135224939.158259</v>
      </c>
      <c r="BW81" t="n">
        <v>-5790680140.37951</v>
      </c>
      <c r="BX81" t="n">
        <v>0</v>
      </c>
      <c r="BY81" t="n">
        <v>-36144338.7760272</v>
      </c>
      <c r="BZ81" t="n">
        <v>115529813.958115</v>
      </c>
      <c r="CA81" t="n">
        <v>1128664958.91278</v>
      </c>
      <c r="CB81" t="n">
        <v>-668553810.77064</v>
      </c>
      <c r="CC81" t="n">
        <v>0</v>
      </c>
      <c r="CD81" t="n">
        <v>-179046.592728579</v>
      </c>
      <c r="CE81" t="n">
        <v>0</v>
      </c>
      <c r="CF81" t="n">
        <v>0</v>
      </c>
      <c r="CG81" t="n">
        <v>0</v>
      </c>
      <c r="CH81" t="n">
        <v>-24753191.444726</v>
      </c>
      <c r="CI81" t="n">
        <v>1477134.39001077</v>
      </c>
      <c r="CJ81" t="n">
        <v>0</v>
      </c>
      <c r="CK81" t="n">
        <v>0</v>
      </c>
      <c r="CL81" t="n">
        <v>149850743.532323</v>
      </c>
      <c r="CM81" t="n">
        <v>-622375219.260966</v>
      </c>
      <c r="CN81" t="n">
        <v>0</v>
      </c>
    </row>
    <row r="82">
      <c r="A82" t="s">
        <v>177</v>
      </c>
      <c r="B82" t="n">
        <v>33039597.1609124</v>
      </c>
      <c r="C82" t="n">
        <v>215991.343293066</v>
      </c>
      <c r="D82" t="n">
        <v>780498.746032625</v>
      </c>
      <c r="E82" t="n">
        <v>548153.731376936</v>
      </c>
      <c r="F82" t="n">
        <v>1008534.49159862</v>
      </c>
      <c r="G82" t="n">
        <v>69893209.8091266</v>
      </c>
      <c r="H82" t="n">
        <v>50411139.6188084</v>
      </c>
      <c r="I82" t="n">
        <v>3394460.13512919</v>
      </c>
      <c r="J82" t="n">
        <v>10553382.4092386</v>
      </c>
      <c r="K82" t="n">
        <v>22747519.3567674</v>
      </c>
      <c r="L82" t="n">
        <v>47639846.5791705</v>
      </c>
      <c r="M82" t="n">
        <v>117345137.567941</v>
      </c>
      <c r="N82" t="n">
        <v>61789679.4621258</v>
      </c>
      <c r="O82" t="n">
        <v>20694566.5207663</v>
      </c>
      <c r="P82" t="n">
        <v>73160449.4454398</v>
      </c>
      <c r="Q82" t="n">
        <v>2280496.39281719</v>
      </c>
      <c r="R82" t="n">
        <v>4404058.05928738</v>
      </c>
      <c r="S82" t="n">
        <v>25781531.0369973</v>
      </c>
      <c r="T82" t="n">
        <v>102610715.322758</v>
      </c>
      <c r="U82" t="n">
        <v>1418533.41559008</v>
      </c>
      <c r="V82" t="n">
        <v>679592.472648222</v>
      </c>
      <c r="W82" t="n">
        <v>19523008.4836887</v>
      </c>
      <c r="X82" t="n">
        <v>16527702.8326545</v>
      </c>
      <c r="Y82" t="n">
        <v>350295029.824632</v>
      </c>
      <c r="Z82" t="n">
        <v>142357986.836292</v>
      </c>
      <c r="AA82" t="n">
        <v>49431398.2145498</v>
      </c>
      <c r="AB82" t="n">
        <v>383917926.313551</v>
      </c>
      <c r="AC82" t="n">
        <v>4076150.74031309</v>
      </c>
      <c r="AD82" t="n">
        <v>19502610.6824615</v>
      </c>
      <c r="AE82" t="n">
        <v>40197466.7252749</v>
      </c>
      <c r="AF82" t="n">
        <v>113372572.935987</v>
      </c>
      <c r="AG82" t="n">
        <v>1149258865.28111</v>
      </c>
      <c r="AH82" t="n">
        <v>8453968.73511454</v>
      </c>
      <c r="AI82" t="n">
        <v>43946008.1190798</v>
      </c>
      <c r="AJ82" t="n">
        <v>53104700.36968</v>
      </c>
      <c r="AK82" t="n">
        <v>880101.590106007</v>
      </c>
      <c r="AL82" t="n">
        <v>4851882.59785654</v>
      </c>
      <c r="AM82" t="n">
        <v>25686989.3690153</v>
      </c>
      <c r="AN82" t="n">
        <v>4189385.30734633</v>
      </c>
      <c r="AO82" t="n">
        <v>16878038.1760071</v>
      </c>
      <c r="AP82" t="n">
        <v>8479661.1892257</v>
      </c>
      <c r="AQ82" t="n">
        <v>182076183.934813</v>
      </c>
      <c r="AR82" t="n">
        <v>24423467.0044804</v>
      </c>
      <c r="AS82" t="n">
        <v>153885238.667241</v>
      </c>
      <c r="AT82" t="n">
        <v>2062442102.99968</v>
      </c>
      <c r="AU82" t="n">
        <v>108691956.091017</v>
      </c>
      <c r="AV82" t="n">
        <v>14026381.7663818</v>
      </c>
      <c r="AW82" t="n">
        <v>1191345.02819424</v>
      </c>
      <c r="AX82" t="n">
        <v>24652157.642541</v>
      </c>
      <c r="AY82" t="n">
        <v>63048748.4564778</v>
      </c>
      <c r="AZ82" t="n">
        <v>13550519.2303053</v>
      </c>
      <c r="BA82" t="n">
        <v>74269129.9896698</v>
      </c>
      <c r="BB82" t="n">
        <v>147408577.364414</v>
      </c>
      <c r="BC82" t="n">
        <v>73183834.3417607</v>
      </c>
      <c r="BD82" t="n">
        <v>67215472.3926381</v>
      </c>
      <c r="BE82" t="n">
        <v>4166756.63443493</v>
      </c>
      <c r="BF82" t="n">
        <v>21367318.5856097</v>
      </c>
      <c r="BG82" t="n">
        <v>0</v>
      </c>
      <c r="BH82" t="n">
        <v>0</v>
      </c>
      <c r="BI82" t="n">
        <v>13653344.0936144</v>
      </c>
      <c r="BJ82" t="n">
        <v>0</v>
      </c>
      <c r="BK82" t="n">
        <v>13353581.6211061</v>
      </c>
      <c r="BL82" t="n">
        <v>12741957.6221185</v>
      </c>
      <c r="BM82" t="n">
        <v>22502768.6402102</v>
      </c>
      <c r="BN82" t="n">
        <v>82066852.7200101</v>
      </c>
      <c r="BO82" t="n">
        <v>180051965.203489</v>
      </c>
      <c r="BP82" t="n">
        <v>105483444.53975</v>
      </c>
      <c r="BQ82" t="n">
        <v>50965135.1206369</v>
      </c>
      <c r="BR82" t="n">
        <v>99120.7374434149</v>
      </c>
      <c r="BS82" t="n">
        <v>0</v>
      </c>
      <c r="BT82" t="n">
        <v>0</v>
      </c>
      <c r="BU82" t="n">
        <v>-2819487669.80777</v>
      </c>
      <c r="BV82" t="n">
        <v>0</v>
      </c>
      <c r="BW82" t="n">
        <v>0</v>
      </c>
      <c r="BX82" t="n">
        <v>260317258.341215</v>
      </c>
      <c r="BY82" t="n">
        <v>0</v>
      </c>
      <c r="BZ82" t="n">
        <v>0</v>
      </c>
      <c r="CA82" t="n">
        <v>5603772585.44519</v>
      </c>
      <c r="CB82" t="n">
        <v>-11811853616.7399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257</v>
      </c>
    </row>
    <row r="2">
      <c r="A2" t="s">
        <v>258</v>
      </c>
    </row>
    <row r="3">
      <c r="A3" t="s">
        <v>259</v>
      </c>
    </row>
    <row r="4">
      <c r="A4" t="s">
        <v>52</v>
      </c>
    </row>
    <row r="5">
      <c r="A5" t="s">
        <v>1</v>
      </c>
    </row>
    <row r="6">
      <c r="A6" t="s">
        <v>260</v>
      </c>
    </row>
    <row r="7">
      <c r="A7" t="s">
        <v>1</v>
      </c>
    </row>
    <row r="9">
      <c r="A9" t="s">
        <v>261</v>
      </c>
      <c r="B9" t="s">
        <v>262</v>
      </c>
      <c r="C9" t="s">
        <v>263</v>
      </c>
      <c r="D9" t="s">
        <v>264</v>
      </c>
      <c r="E9" t="s">
        <v>265</v>
      </c>
    </row>
    <row r="10">
      <c r="A10" t="s">
        <v>266</v>
      </c>
      <c r="B10" t="n">
        <v>12031000</v>
      </c>
      <c r="C10" t="s">
        <v>267</v>
      </c>
      <c r="D10" t="n">
        <v>600000000</v>
      </c>
      <c r="E10" t="s">
        <v>268</v>
      </c>
    </row>
    <row r="11">
      <c r="A11" t="s">
        <v>269</v>
      </c>
      <c r="B11" t="n">
        <v>1000000</v>
      </c>
      <c r="C11" t="s">
        <v>267</v>
      </c>
      <c r="D11" t="n">
        <v>40000000</v>
      </c>
      <c r="E11" t="s">
        <v>270</v>
      </c>
    </row>
    <row r="12">
      <c r="A12" t="s">
        <v>271</v>
      </c>
      <c r="B12" t="n">
        <v>4220000</v>
      </c>
      <c r="C12" t="s">
        <v>267</v>
      </c>
      <c r="D12" t="n">
        <v>125000000</v>
      </c>
      <c r="E12" t="s">
        <v>272</v>
      </c>
    </row>
    <row r="13">
      <c r="A13" t="s">
        <v>273</v>
      </c>
      <c r="B13" t="n">
        <v>0</v>
      </c>
      <c r="C13" t="s">
        <v>267</v>
      </c>
      <c r="D13" t="n">
        <v>0</v>
      </c>
      <c r="E13"/>
    </row>
    <row r="14">
      <c r="A14" t="s">
        <v>274</v>
      </c>
      <c r="B14" t="n">
        <v>0</v>
      </c>
      <c r="C14" t="s">
        <v>267</v>
      </c>
      <c r="D14" t="n">
        <v>0</v>
      </c>
      <c r="E14"/>
    </row>
    <row r="15">
      <c r="A15" t="s">
        <v>275</v>
      </c>
      <c r="B15" t="n">
        <v>10710000</v>
      </c>
      <c r="C15" t="s">
        <v>267</v>
      </c>
      <c r="D15" t="n">
        <v>330000000</v>
      </c>
      <c r="E15" t="s">
        <v>276</v>
      </c>
    </row>
    <row r="16">
      <c r="A16" t="s">
        <v>277</v>
      </c>
      <c r="B16" t="n">
        <v>0</v>
      </c>
      <c r="C16" t="s">
        <v>267</v>
      </c>
      <c r="D16" t="n">
        <v>0</v>
      </c>
      <c r="E16"/>
    </row>
    <row r="17">
      <c r="A17" t="s">
        <v>278</v>
      </c>
      <c r="B17" t="n">
        <v>0</v>
      </c>
      <c r="C17" t="s">
        <v>267</v>
      </c>
      <c r="D17" t="n">
        <v>0</v>
      </c>
      <c r="E17"/>
    </row>
    <row r="18">
      <c r="A18" t="s">
        <v>279</v>
      </c>
      <c r="B18" t="n">
        <v>0</v>
      </c>
      <c r="C18" t="s">
        <v>267</v>
      </c>
      <c r="D18" t="n">
        <v>0</v>
      </c>
      <c r="E18"/>
    </row>
    <row r="19">
      <c r="A19" t="s">
        <v>280</v>
      </c>
      <c r="B19" t="n">
        <v>0</v>
      </c>
      <c r="C19" t="s">
        <v>267</v>
      </c>
      <c r="D19" t="n">
        <v>0</v>
      </c>
      <c r="E19"/>
    </row>
    <row r="20">
      <c r="A20" t="s">
        <v>281</v>
      </c>
      <c r="B20" t="n">
        <v>0</v>
      </c>
      <c r="C20" t="s">
        <v>267</v>
      </c>
      <c r="D20" t="n">
        <v>0</v>
      </c>
      <c r="E20"/>
    </row>
    <row r="21">
      <c r="A21" t="s">
        <v>282</v>
      </c>
      <c r="B21" t="n">
        <v>0</v>
      </c>
      <c r="C21" t="s">
        <v>267</v>
      </c>
      <c r="D21" t="n">
        <v>0</v>
      </c>
      <c r="E21"/>
    </row>
    <row r="22">
      <c r="A22" t="s">
        <v>283</v>
      </c>
      <c r="B22" t="n">
        <v>0</v>
      </c>
      <c r="C22" t="s">
        <v>267</v>
      </c>
      <c r="D22" t="n">
        <v>0</v>
      </c>
      <c r="E22"/>
    </row>
    <row r="23">
      <c r="A23" t="s">
        <v>284</v>
      </c>
      <c r="B23" t="n">
        <v>45919000</v>
      </c>
      <c r="C23" t="s">
        <v>267</v>
      </c>
      <c r="D23" t="n">
        <v>1950000000</v>
      </c>
      <c r="E23" t="s">
        <v>285</v>
      </c>
    </row>
    <row r="24">
      <c r="A24" t="s">
        <v>286</v>
      </c>
      <c r="B24" t="n">
        <v>28820000</v>
      </c>
      <c r="C24" t="s">
        <v>267</v>
      </c>
      <c r="D24" t="n">
        <v>1210000000</v>
      </c>
      <c r="E24" t="s">
        <v>285</v>
      </c>
    </row>
    <row r="25">
      <c r="A25" t="s">
        <v>287</v>
      </c>
      <c r="B25" t="n">
        <v>0</v>
      </c>
      <c r="C25" t="s">
        <v>267</v>
      </c>
      <c r="D25" t="n">
        <v>0</v>
      </c>
      <c r="E25"/>
    </row>
    <row r="26">
      <c r="A26" t="s">
        <v>288</v>
      </c>
      <c r="B26" t="n">
        <v>0</v>
      </c>
      <c r="C26" t="s">
        <v>267</v>
      </c>
      <c r="D26" t="n">
        <v>0</v>
      </c>
      <c r="E26"/>
    </row>
    <row r="27">
      <c r="A27" t="s">
        <v>289</v>
      </c>
      <c r="B27" t="n">
        <v>36140000</v>
      </c>
      <c r="C27" t="s">
        <v>267</v>
      </c>
      <c r="D27" t="n">
        <v>1730000000</v>
      </c>
      <c r="E27" t="s">
        <v>290</v>
      </c>
    </row>
    <row r="28">
      <c r="A28" t="s">
        <v>291</v>
      </c>
      <c r="B28" t="n">
        <v>2720000</v>
      </c>
      <c r="C28" t="s">
        <v>267</v>
      </c>
      <c r="D28" t="n">
        <v>60000000</v>
      </c>
      <c r="E28" t="s">
        <v>292</v>
      </c>
    </row>
    <row r="29">
      <c r="A29" t="s">
        <v>293</v>
      </c>
      <c r="B29" t="n">
        <v>0</v>
      </c>
      <c r="C29" t="s">
        <v>267</v>
      </c>
      <c r="D29" t="n">
        <v>0</v>
      </c>
      <c r="E29"/>
    </row>
    <row r="30">
      <c r="A30" t="s">
        <v>294</v>
      </c>
      <c r="B30" t="n">
        <v>1320000</v>
      </c>
      <c r="C30" t="s">
        <v>267</v>
      </c>
      <c r="D30" t="n">
        <v>70000000</v>
      </c>
      <c r="E30" t="s">
        <v>295</v>
      </c>
    </row>
    <row r="31">
      <c r="A31" t="s">
        <v>296</v>
      </c>
      <c r="B31" t="n">
        <v>0</v>
      </c>
      <c r="C31" t="s">
        <v>267</v>
      </c>
      <c r="D31" t="n">
        <v>0</v>
      </c>
      <c r="E31"/>
    </row>
    <row r="32">
      <c r="A32" t="s">
        <v>297</v>
      </c>
      <c r="B32" t="n">
        <v>0</v>
      </c>
      <c r="C32" t="s">
        <v>267</v>
      </c>
      <c r="D32" t="n">
        <v>0</v>
      </c>
      <c r="E32"/>
    </row>
    <row r="33">
      <c r="A33" t="s">
        <v>298</v>
      </c>
      <c r="B33" t="n">
        <v>0</v>
      </c>
      <c r="C33" t="s">
        <v>267</v>
      </c>
      <c r="D33" t="n">
        <v>0</v>
      </c>
      <c r="E33"/>
    </row>
    <row r="34">
      <c r="A34" t="s">
        <v>299</v>
      </c>
      <c r="B34" t="n">
        <v>2800000</v>
      </c>
      <c r="C34" t="s">
        <v>267</v>
      </c>
      <c r="D34" t="n">
        <v>65000000</v>
      </c>
      <c r="E34" t="s">
        <v>300</v>
      </c>
    </row>
    <row r="35">
      <c r="A35" t="s">
        <v>301</v>
      </c>
      <c r="B35" t="n">
        <v>264000</v>
      </c>
      <c r="C35" t="s">
        <v>267</v>
      </c>
      <c r="D35" t="n">
        <v>12000000</v>
      </c>
      <c r="E35"/>
    </row>
    <row r="36">
      <c r="A36" t="s">
        <v>302</v>
      </c>
      <c r="B36" t="n">
        <v>38660000</v>
      </c>
      <c r="C36" t="s">
        <v>267</v>
      </c>
      <c r="D36" t="n">
        <v>590000000</v>
      </c>
      <c r="E36" t="s">
        <v>303</v>
      </c>
    </row>
    <row r="37">
      <c r="A37" t="s">
        <v>304</v>
      </c>
      <c r="B37" t="n">
        <v>0</v>
      </c>
      <c r="C37" t="s">
        <v>267</v>
      </c>
      <c r="D37" t="n">
        <v>0</v>
      </c>
      <c r="E37"/>
    </row>
    <row r="38">
      <c r="A38" t="s">
        <v>305</v>
      </c>
      <c r="B38" t="n">
        <v>0</v>
      </c>
      <c r="C38" t="s">
        <v>267</v>
      </c>
      <c r="D38" t="n">
        <v>0</v>
      </c>
      <c r="E38"/>
    </row>
    <row r="39">
      <c r="A39" t="s">
        <v>306</v>
      </c>
      <c r="B39" t="n">
        <v>0</v>
      </c>
      <c r="C39" t="s">
        <v>267</v>
      </c>
      <c r="D39" t="n">
        <v>0</v>
      </c>
      <c r="E39"/>
    </row>
    <row r="40">
      <c r="A40" t="s">
        <v>307</v>
      </c>
      <c r="B40" t="n">
        <v>0</v>
      </c>
      <c r="C40" t="s">
        <v>267</v>
      </c>
      <c r="D40" t="n">
        <v>0</v>
      </c>
      <c r="E40"/>
    </row>
    <row r="41">
      <c r="A41" t="s">
        <v>308</v>
      </c>
      <c r="B41" t="n">
        <v>10720000</v>
      </c>
      <c r="C41" t="s">
        <v>267</v>
      </c>
      <c r="D41" t="n">
        <v>260000000</v>
      </c>
      <c r="E41" t="s">
        <v>309</v>
      </c>
    </row>
    <row r="42">
      <c r="A42" t="s">
        <v>310</v>
      </c>
      <c r="B42" t="n">
        <v>0</v>
      </c>
      <c r="C42" t="s">
        <v>267</v>
      </c>
      <c r="D42" t="n">
        <v>0</v>
      </c>
      <c r="E42"/>
    </row>
    <row r="43">
      <c r="A43" t="s">
        <v>311</v>
      </c>
      <c r="B43" t="n">
        <v>0</v>
      </c>
      <c r="C43" t="s">
        <v>267</v>
      </c>
      <c r="D43" t="n">
        <v>0</v>
      </c>
      <c r="E43"/>
    </row>
    <row r="44">
      <c r="A44" t="s">
        <v>312</v>
      </c>
      <c r="B44" t="n">
        <v>27870000</v>
      </c>
      <c r="C44" t="s">
        <v>267</v>
      </c>
      <c r="D44" t="n">
        <v>560000000</v>
      </c>
      <c r="E44" t="s">
        <v>313</v>
      </c>
    </row>
    <row r="45">
      <c r="A45" t="s">
        <v>314</v>
      </c>
      <c r="B45" t="n">
        <v>8220000</v>
      </c>
      <c r="C45" t="s">
        <v>267</v>
      </c>
      <c r="D45" t="n">
        <v>430000000</v>
      </c>
      <c r="E45" t="s">
        <v>315</v>
      </c>
    </row>
    <row r="46">
      <c r="A46" t="s">
        <v>316</v>
      </c>
      <c r="B46" t="n">
        <v>930000</v>
      </c>
      <c r="C46" t="s">
        <v>267</v>
      </c>
      <c r="D46" t="n">
        <v>40000000</v>
      </c>
      <c r="E46"/>
    </row>
    <row r="47">
      <c r="A47" t="s">
        <v>317</v>
      </c>
      <c r="B47" t="n">
        <v>0</v>
      </c>
      <c r="C47" t="s">
        <v>267</v>
      </c>
      <c r="D47" t="n">
        <v>0</v>
      </c>
      <c r="E47"/>
    </row>
    <row r="48">
      <c r="A48" t="s">
        <v>318</v>
      </c>
      <c r="B48" t="n">
        <v>50110000</v>
      </c>
      <c r="C48" t="s">
        <v>267</v>
      </c>
      <c r="D48" t="n">
        <v>3000000000</v>
      </c>
      <c r="E48" t="s">
        <v>319</v>
      </c>
    </row>
    <row r="49">
      <c r="A49" t="s">
        <v>320</v>
      </c>
      <c r="B49" t="n">
        <v>0</v>
      </c>
      <c r="C49" t="s">
        <v>267</v>
      </c>
      <c r="D49" t="n">
        <v>0</v>
      </c>
      <c r="E49"/>
    </row>
    <row r="50">
      <c r="A50" t="s">
        <v>321</v>
      </c>
      <c r="B50" t="n">
        <v>0</v>
      </c>
      <c r="C50" t="s">
        <v>267</v>
      </c>
      <c r="D50" t="n">
        <v>0</v>
      </c>
      <c r="E50"/>
    </row>
    <row r="51">
      <c r="A51" t="s">
        <v>322</v>
      </c>
      <c r="B51" t="n">
        <v>0</v>
      </c>
      <c r="C51" t="s">
        <v>267</v>
      </c>
      <c r="D51" t="n">
        <v>0</v>
      </c>
      <c r="E51"/>
    </row>
    <row r="52">
      <c r="A52" t="s">
        <v>323</v>
      </c>
      <c r="B52" t="n">
        <v>400000</v>
      </c>
      <c r="C52" t="s">
        <v>267</v>
      </c>
      <c r="D52" t="n">
        <v>22000000</v>
      </c>
      <c r="E52" t="s">
        <v>324</v>
      </c>
    </row>
    <row r="53">
      <c r="A53" t="s">
        <v>325</v>
      </c>
      <c r="B53" t="n">
        <v>22820000</v>
      </c>
      <c r="C53" t="s">
        <v>267</v>
      </c>
      <c r="D53" t="n">
        <v>500000000</v>
      </c>
      <c r="E53" t="s">
        <v>292</v>
      </c>
    </row>
    <row r="54">
      <c r="A54" t="s">
        <v>326</v>
      </c>
      <c r="B54" t="n">
        <v>12810000</v>
      </c>
      <c r="C54" t="s">
        <v>267</v>
      </c>
      <c r="D54" t="n">
        <v>380000000</v>
      </c>
      <c r="E54" t="s">
        <v>327</v>
      </c>
    </row>
    <row r="55">
      <c r="A55" t="s">
        <v>328</v>
      </c>
      <c r="B55" t="n">
        <v>0</v>
      </c>
      <c r="C55" t="s">
        <v>267</v>
      </c>
      <c r="D55" t="n">
        <v>0</v>
      </c>
      <c r="E55"/>
    </row>
    <row r="56">
      <c r="A56" t="s">
        <v>329</v>
      </c>
      <c r="B56" t="n">
        <v>11480000</v>
      </c>
      <c r="C56" t="s">
        <v>267</v>
      </c>
      <c r="D56" t="n">
        <v>620000000</v>
      </c>
      <c r="E56" t="s">
        <v>330</v>
      </c>
    </row>
    <row r="57">
      <c r="A57" t="s">
        <v>331</v>
      </c>
      <c r="B57" t="n">
        <v>3050000</v>
      </c>
      <c r="C57" t="s">
        <v>267</v>
      </c>
      <c r="D57" t="n">
        <v>90000000</v>
      </c>
      <c r="E57" t="s">
        <v>332</v>
      </c>
    </row>
    <row r="58">
      <c r="A58" t="s">
        <v>333</v>
      </c>
      <c r="B58" t="n">
        <v>93320000</v>
      </c>
      <c r="C58" t="s">
        <v>267</v>
      </c>
      <c r="D58" t="n">
        <v>5050000000</v>
      </c>
      <c r="E58" t="s">
        <v>334</v>
      </c>
    </row>
    <row r="59">
      <c r="A59" t="s">
        <v>335</v>
      </c>
      <c r="B59" t="n">
        <v>0</v>
      </c>
      <c r="C59" t="s">
        <v>267</v>
      </c>
      <c r="D59" t="n">
        <v>0</v>
      </c>
      <c r="E59"/>
    </row>
    <row r="60">
      <c r="A60" t="s">
        <v>336</v>
      </c>
      <c r="B60" t="n">
        <v>276040000</v>
      </c>
      <c r="C60" t="s">
        <v>267</v>
      </c>
      <c r="D60" t="n">
        <v>3690000000</v>
      </c>
      <c r="E60" t="s">
        <v>337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338</v>
      </c>
    </row>
    <row r="2">
      <c r="A2" t="s">
        <v>339</v>
      </c>
    </row>
    <row r="3">
      <c r="A3" t="s">
        <v>340</v>
      </c>
    </row>
    <row r="4">
      <c r="A4" t="s">
        <v>1</v>
      </c>
    </row>
    <row r="5">
      <c r="A5" t="s">
        <v>341</v>
      </c>
    </row>
    <row r="6">
      <c r="A6" t="s">
        <v>342</v>
      </c>
    </row>
    <row r="7">
      <c r="A7" t="s">
        <v>343</v>
      </c>
    </row>
    <row r="8">
      <c r="A8" t="s">
        <v>344</v>
      </c>
    </row>
    <row r="9">
      <c r="A9" t="s">
        <v>345</v>
      </c>
    </row>
    <row r="10">
      <c r="A10" t="s">
        <v>346</v>
      </c>
    </row>
    <row r="11">
      <c r="A11" t="s">
        <v>347</v>
      </c>
    </row>
    <row r="12">
      <c r="A12" t="s">
        <v>348</v>
      </c>
    </row>
    <row r="13">
      <c r="A13" t="s">
        <v>1</v>
      </c>
    </row>
    <row r="14">
      <c r="A14" t="s">
        <v>349</v>
      </c>
    </row>
    <row r="15">
      <c r="A15" t="s">
        <v>1</v>
      </c>
    </row>
    <row r="17">
      <c r="A17" t="s">
        <v>350</v>
      </c>
    </row>
    <row r="18">
      <c r="A18" t="s">
        <v>351</v>
      </c>
    </row>
    <row r="20">
      <c r="A20" t="s">
        <v>352</v>
      </c>
    </row>
    <row r="21">
      <c r="A21" t="s">
        <v>353</v>
      </c>
    </row>
    <row r="23">
      <c r="A23" t="s">
        <v>354</v>
      </c>
    </row>
    <row r="25">
      <c r="A25" t="s">
        <v>261</v>
      </c>
      <c r="B25" t="s">
        <v>355</v>
      </c>
      <c r="C25" t="s">
        <v>356</v>
      </c>
      <c r="D25" t="s">
        <v>357</v>
      </c>
      <c r="E25" t="s">
        <v>358</v>
      </c>
    </row>
    <row r="26">
      <c r="A26" t="s">
        <v>269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266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273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271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274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275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277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279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278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280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281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282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287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283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284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286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288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289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291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296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294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293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297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298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301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299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302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311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312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304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306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307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308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305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310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314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316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317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318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320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321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322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323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325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326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329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328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331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335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333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336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8.71" hidden="0" customWidth="1"/>
  </cols>
  <sheetData>
    <row r="1">
      <c r="A1" t="s">
        <v>359</v>
      </c>
    </row>
    <row r="2">
      <c r="A2" t="s">
        <v>1</v>
      </c>
    </row>
    <row r="3">
      <c r="A3" t="s">
        <v>360</v>
      </c>
    </row>
    <row r="4">
      <c r="A4" t="s">
        <v>361</v>
      </c>
    </row>
    <row r="5">
      <c r="A5" t="s">
        <v>362</v>
      </c>
    </row>
    <row r="6">
      <c r="A6" t="s">
        <v>1</v>
      </c>
    </row>
    <row r="8">
      <c r="A8" t="s">
        <v>363</v>
      </c>
      <c r="B8" t="s">
        <v>364</v>
      </c>
      <c r="C8" t="s">
        <v>188</v>
      </c>
      <c r="D8" t="s">
        <v>365</v>
      </c>
      <c r="E8" t="s">
        <v>366</v>
      </c>
      <c r="F8" t="s">
        <v>367</v>
      </c>
      <c r="G8" t="s">
        <v>368</v>
      </c>
    </row>
    <row r="9">
      <c r="A9" t="s">
        <v>105</v>
      </c>
      <c r="B9" t="s">
        <v>369</v>
      </c>
      <c r="C9" t="s">
        <v>190</v>
      </c>
      <c r="D9" t="s">
        <v>370</v>
      </c>
      <c r="E9" t="n">
        <v>1</v>
      </c>
      <c r="F9"/>
      <c r="G9"/>
    </row>
    <row r="10">
      <c r="A10" t="s">
        <v>106</v>
      </c>
      <c r="B10" t="s">
        <v>371</v>
      </c>
      <c r="C10" t="s">
        <v>190</v>
      </c>
      <c r="D10" t="s">
        <v>370</v>
      </c>
      <c r="E10" t="n">
        <v>1</v>
      </c>
      <c r="F10"/>
      <c r="G10"/>
    </row>
    <row r="11">
      <c r="A11" t="s">
        <v>107</v>
      </c>
      <c r="B11" t="s">
        <v>372</v>
      </c>
      <c r="C11" t="s">
        <v>192</v>
      </c>
      <c r="D11" t="s">
        <v>373</v>
      </c>
      <c r="E11" t="n">
        <v>1</v>
      </c>
      <c r="F11"/>
      <c r="G11"/>
    </row>
    <row r="12">
      <c r="A12" t="s">
        <v>109</v>
      </c>
      <c r="B12" t="s">
        <v>374</v>
      </c>
      <c r="C12" t="s">
        <v>194</v>
      </c>
      <c r="D12" t="s">
        <v>375</v>
      </c>
      <c r="E12" t="n">
        <v>1</v>
      </c>
      <c r="F12"/>
      <c r="G12"/>
    </row>
    <row r="13">
      <c r="A13" t="s">
        <v>110</v>
      </c>
      <c r="B13" t="s">
        <v>376</v>
      </c>
      <c r="C13" t="s">
        <v>213</v>
      </c>
      <c r="D13" t="s">
        <v>377</v>
      </c>
      <c r="E13" t="n">
        <v>0.72</v>
      </c>
      <c r="F13" t="s">
        <v>378</v>
      </c>
      <c r="G13"/>
    </row>
    <row r="14">
      <c r="A14" t="s">
        <v>110</v>
      </c>
      <c r="B14" t="s">
        <v>376</v>
      </c>
      <c r="C14" t="s">
        <v>214</v>
      </c>
      <c r="D14" t="s">
        <v>379</v>
      </c>
      <c r="E14" t="n">
        <v>0.2</v>
      </c>
      <c r="F14" t="s">
        <v>380</v>
      </c>
      <c r="G14"/>
    </row>
    <row r="15">
      <c r="A15" t="s">
        <v>110</v>
      </c>
      <c r="B15" t="s">
        <v>376</v>
      </c>
      <c r="C15" t="s">
        <v>215</v>
      </c>
      <c r="D15" t="s">
        <v>381</v>
      </c>
      <c r="E15" t="n">
        <v>0.08</v>
      </c>
      <c r="F15" t="s">
        <v>382</v>
      </c>
      <c r="G15"/>
    </row>
    <row r="16">
      <c r="A16" t="s">
        <v>111</v>
      </c>
      <c r="B16" t="s">
        <v>383</v>
      </c>
      <c r="C16" t="s">
        <v>216</v>
      </c>
      <c r="D16" t="s">
        <v>383</v>
      </c>
      <c r="E16" t="n">
        <v>1</v>
      </c>
      <c r="F16"/>
      <c r="G16"/>
    </row>
    <row r="17">
      <c r="A17" t="s">
        <v>123</v>
      </c>
      <c r="B17" t="s">
        <v>384</v>
      </c>
      <c r="C17" t="s">
        <v>195</v>
      </c>
      <c r="D17" t="s">
        <v>385</v>
      </c>
      <c r="E17" t="n">
        <v>1</v>
      </c>
      <c r="F17"/>
      <c r="G17"/>
    </row>
    <row r="18">
      <c r="A18" t="s">
        <v>124</v>
      </c>
      <c r="B18" t="s">
        <v>386</v>
      </c>
      <c r="C18" t="s">
        <v>196</v>
      </c>
      <c r="D18" t="s">
        <v>387</v>
      </c>
      <c r="E18" t="n">
        <v>1</v>
      </c>
      <c r="F18"/>
      <c r="G18"/>
    </row>
    <row r="19">
      <c r="A19" t="s">
        <v>125</v>
      </c>
      <c r="B19" t="s">
        <v>388</v>
      </c>
      <c r="C19" t="s">
        <v>196</v>
      </c>
      <c r="D19" t="s">
        <v>387</v>
      </c>
      <c r="E19" t="n">
        <v>1</v>
      </c>
      <c r="F19"/>
      <c r="G19"/>
    </row>
    <row r="20">
      <c r="A20" t="s">
        <v>112</v>
      </c>
      <c r="B20" t="s">
        <v>389</v>
      </c>
      <c r="C20" t="s">
        <v>197</v>
      </c>
      <c r="D20" t="s">
        <v>390</v>
      </c>
      <c r="E20" t="n">
        <v>1</v>
      </c>
      <c r="F20"/>
      <c r="G20"/>
    </row>
    <row r="21">
      <c r="A21" t="s">
        <v>126</v>
      </c>
      <c r="B21" t="s">
        <v>391</v>
      </c>
      <c r="C21" t="s">
        <v>198</v>
      </c>
      <c r="D21" t="s">
        <v>392</v>
      </c>
      <c r="E21" t="n">
        <v>1</v>
      </c>
      <c r="F21"/>
      <c r="G21"/>
    </row>
    <row r="22">
      <c r="A22" t="s">
        <v>127</v>
      </c>
      <c r="B22" t="s">
        <v>393</v>
      </c>
      <c r="C22" t="s">
        <v>198</v>
      </c>
      <c r="D22" t="s">
        <v>392</v>
      </c>
      <c r="E22" t="n">
        <v>1</v>
      </c>
      <c r="F22"/>
      <c r="G22"/>
    </row>
    <row r="23">
      <c r="A23" t="s">
        <v>128</v>
      </c>
      <c r="B23" t="s">
        <v>394</v>
      </c>
      <c r="C23" t="s">
        <v>199</v>
      </c>
      <c r="D23" t="s">
        <v>395</v>
      </c>
      <c r="E23" t="n">
        <v>0.961</v>
      </c>
      <c r="F23" t="s">
        <v>396</v>
      </c>
      <c r="G23"/>
    </row>
    <row r="24">
      <c r="A24" t="s">
        <v>128</v>
      </c>
      <c r="B24" t="s">
        <v>394</v>
      </c>
      <c r="C24" t="s">
        <v>204</v>
      </c>
      <c r="D24" t="s">
        <v>397</v>
      </c>
      <c r="E24" t="n">
        <v>0.039</v>
      </c>
      <c r="F24" t="s">
        <v>398</v>
      </c>
      <c r="G24"/>
    </row>
    <row r="25">
      <c r="A25" t="s">
        <v>130</v>
      </c>
      <c r="B25" t="s">
        <v>399</v>
      </c>
      <c r="C25" t="s">
        <v>110</v>
      </c>
      <c r="D25" t="s">
        <v>400</v>
      </c>
      <c r="E25" t="n">
        <v>1</v>
      </c>
      <c r="F25"/>
      <c r="G25"/>
    </row>
    <row r="26">
      <c r="A26" t="s">
        <v>115</v>
      </c>
      <c r="B26" t="s">
        <v>401</v>
      </c>
      <c r="C26" t="s">
        <v>206</v>
      </c>
      <c r="D26" t="s">
        <v>401</v>
      </c>
      <c r="E26" t="n">
        <v>1</v>
      </c>
      <c r="F26"/>
      <c r="G26"/>
    </row>
    <row r="27">
      <c r="A27" t="s">
        <v>116</v>
      </c>
      <c r="B27" t="s">
        <v>402</v>
      </c>
      <c r="C27" t="s">
        <v>209</v>
      </c>
      <c r="D27" t="s">
        <v>403</v>
      </c>
      <c r="E27" t="n">
        <v>1</v>
      </c>
      <c r="F27"/>
      <c r="G27"/>
    </row>
    <row r="28">
      <c r="A28" t="s">
        <v>117</v>
      </c>
      <c r="B28" t="s">
        <v>404</v>
      </c>
      <c r="C28" t="s">
        <v>207</v>
      </c>
      <c r="D28" t="s">
        <v>405</v>
      </c>
      <c r="E28" t="n">
        <v>1</v>
      </c>
      <c r="F28"/>
      <c r="G28"/>
    </row>
    <row r="29">
      <c r="A29" t="s">
        <v>118</v>
      </c>
      <c r="B29" t="s">
        <v>406</v>
      </c>
      <c r="C29" t="s">
        <v>208</v>
      </c>
      <c r="D29" t="s">
        <v>407</v>
      </c>
      <c r="E29" t="n">
        <v>1</v>
      </c>
      <c r="F29"/>
      <c r="G29"/>
    </row>
    <row r="30">
      <c r="A30" t="s">
        <v>119</v>
      </c>
      <c r="B30" t="s">
        <v>408</v>
      </c>
      <c r="C30" t="s">
        <v>210</v>
      </c>
      <c r="D30" t="s">
        <v>409</v>
      </c>
      <c r="E30" t="n">
        <v>1</v>
      </c>
      <c r="F30"/>
      <c r="G30"/>
    </row>
    <row r="31">
      <c r="A31" t="s">
        <v>120</v>
      </c>
      <c r="B31" t="s">
        <v>410</v>
      </c>
      <c r="C31" t="s">
        <v>211</v>
      </c>
      <c r="D31" t="s">
        <v>411</v>
      </c>
      <c r="E31" t="n">
        <v>1</v>
      </c>
      <c r="F31"/>
      <c r="G31"/>
    </row>
    <row r="32">
      <c r="A32" t="s">
        <v>121</v>
      </c>
      <c r="B32" t="s">
        <v>412</v>
      </c>
      <c r="C32" t="s">
        <v>212</v>
      </c>
      <c r="D32" t="s">
        <v>413</v>
      </c>
      <c r="E32" t="n">
        <v>1</v>
      </c>
      <c r="F32"/>
      <c r="G32"/>
    </row>
    <row r="33">
      <c r="A33" t="s">
        <v>122</v>
      </c>
      <c r="B33" t="s">
        <v>414</v>
      </c>
      <c r="C33" t="s">
        <v>212</v>
      </c>
      <c r="D33" t="s">
        <v>413</v>
      </c>
      <c r="E33" t="n">
        <v>1</v>
      </c>
      <c r="F33"/>
      <c r="G33"/>
    </row>
    <row r="34">
      <c r="A34" t="s">
        <v>131</v>
      </c>
      <c r="B34" t="s">
        <v>415</v>
      </c>
      <c r="C34" t="s">
        <v>217</v>
      </c>
      <c r="D34" t="s">
        <v>416</v>
      </c>
      <c r="E34" t="n">
        <v>1</v>
      </c>
      <c r="F34"/>
      <c r="G34"/>
    </row>
    <row r="35">
      <c r="A35" t="s">
        <v>132</v>
      </c>
      <c r="B35" t="s">
        <v>417</v>
      </c>
      <c r="C35" t="s">
        <v>217</v>
      </c>
      <c r="D35" t="s">
        <v>416</v>
      </c>
      <c r="E35" t="n">
        <v>1</v>
      </c>
      <c r="F35"/>
      <c r="G35"/>
    </row>
    <row r="36">
      <c r="A36" t="s">
        <v>133</v>
      </c>
      <c r="B36" t="s">
        <v>418</v>
      </c>
      <c r="C36" t="s">
        <v>217</v>
      </c>
      <c r="D36" t="s">
        <v>416</v>
      </c>
      <c r="E36" t="n">
        <v>1</v>
      </c>
      <c r="F36"/>
      <c r="G36"/>
    </row>
    <row r="37">
      <c r="A37" t="s">
        <v>134</v>
      </c>
      <c r="B37" t="s">
        <v>419</v>
      </c>
      <c r="C37" t="s">
        <v>217</v>
      </c>
      <c r="D37" t="s">
        <v>416</v>
      </c>
      <c r="E37" t="n">
        <v>1</v>
      </c>
      <c r="F37"/>
      <c r="G37"/>
    </row>
    <row r="38">
      <c r="A38" t="s">
        <v>135</v>
      </c>
      <c r="B38" t="s">
        <v>420</v>
      </c>
      <c r="C38" t="s">
        <v>217</v>
      </c>
      <c r="D38" t="s">
        <v>416</v>
      </c>
      <c r="E38" t="n">
        <v>1</v>
      </c>
      <c r="F38"/>
      <c r="G38"/>
    </row>
    <row r="39">
      <c r="A39" t="s">
        <v>136</v>
      </c>
      <c r="B39" t="s">
        <v>421</v>
      </c>
      <c r="C39" t="s">
        <v>218</v>
      </c>
      <c r="D39" t="s">
        <v>422</v>
      </c>
      <c r="E39" t="n">
        <v>1</v>
      </c>
      <c r="F39"/>
      <c r="G39"/>
    </row>
    <row r="40">
      <c r="A40" t="s">
        <v>137</v>
      </c>
      <c r="B40" t="s">
        <v>423</v>
      </c>
      <c r="C40" t="s">
        <v>218</v>
      </c>
      <c r="D40" t="s">
        <v>422</v>
      </c>
      <c r="E40" t="n">
        <v>1</v>
      </c>
      <c r="F40"/>
      <c r="G40"/>
    </row>
    <row r="41">
      <c r="A41" t="s">
        <v>138</v>
      </c>
      <c r="B41" t="s">
        <v>424</v>
      </c>
      <c r="C41" t="s">
        <v>218</v>
      </c>
      <c r="D41" t="s">
        <v>422</v>
      </c>
      <c r="E41" t="n">
        <v>1</v>
      </c>
      <c r="F41"/>
      <c r="G41"/>
    </row>
    <row r="42">
      <c r="A42" t="s">
        <v>139</v>
      </c>
      <c r="B42" t="s">
        <v>425</v>
      </c>
      <c r="C42" t="s">
        <v>218</v>
      </c>
      <c r="D42" t="s">
        <v>422</v>
      </c>
      <c r="E42" t="n">
        <v>1</v>
      </c>
      <c r="F42"/>
      <c r="G42"/>
    </row>
    <row r="43">
      <c r="A43" t="s">
        <v>140</v>
      </c>
      <c r="B43" t="s">
        <v>426</v>
      </c>
      <c r="C43" t="s">
        <v>218</v>
      </c>
      <c r="D43" t="s">
        <v>422</v>
      </c>
      <c r="E43" t="n">
        <v>1</v>
      </c>
      <c r="F43"/>
      <c r="G43"/>
    </row>
    <row r="44">
      <c r="A44" t="s">
        <v>141</v>
      </c>
      <c r="B44" t="s">
        <v>427</v>
      </c>
      <c r="C44" t="s">
        <v>214</v>
      </c>
      <c r="D44" t="s">
        <v>428</v>
      </c>
      <c r="E44" t="n">
        <v>1</v>
      </c>
      <c r="F44" t="s">
        <v>429</v>
      </c>
      <c r="G44"/>
    </row>
    <row r="45">
      <c r="A45" t="s">
        <v>142</v>
      </c>
      <c r="B45" t="s">
        <v>430</v>
      </c>
      <c r="C45" t="s">
        <v>218</v>
      </c>
      <c r="D45" t="s">
        <v>422</v>
      </c>
      <c r="E45" t="n">
        <v>1</v>
      </c>
      <c r="F45"/>
      <c r="G45"/>
    </row>
    <row r="46">
      <c r="A46" t="s">
        <v>143</v>
      </c>
      <c r="B46" t="s">
        <v>431</v>
      </c>
      <c r="C46" t="s">
        <v>218</v>
      </c>
      <c r="D46" t="s">
        <v>422</v>
      </c>
      <c r="E46" t="n">
        <v>1</v>
      </c>
      <c r="F46"/>
      <c r="G46"/>
    </row>
    <row r="47">
      <c r="A47" t="s">
        <v>144</v>
      </c>
      <c r="B47" t="s">
        <v>432</v>
      </c>
      <c r="C47" t="s">
        <v>220</v>
      </c>
      <c r="D47" t="s">
        <v>433</v>
      </c>
      <c r="E47" t="n">
        <v>1</v>
      </c>
      <c r="F47"/>
      <c r="G47"/>
    </row>
    <row r="48">
      <c r="A48" t="s">
        <v>145</v>
      </c>
      <c r="B48" t="s">
        <v>434</v>
      </c>
      <c r="C48" t="s">
        <v>220</v>
      </c>
      <c r="D48" t="s">
        <v>433</v>
      </c>
      <c r="E48" t="n">
        <v>1</v>
      </c>
      <c r="F48"/>
      <c r="G48"/>
    </row>
    <row r="49">
      <c r="A49" t="s">
        <v>146</v>
      </c>
      <c r="B49" t="s">
        <v>435</v>
      </c>
      <c r="C49" t="s">
        <v>220</v>
      </c>
      <c r="D49" t="s">
        <v>433</v>
      </c>
      <c r="E49" t="n">
        <v>0.25</v>
      </c>
      <c r="F49" t="s">
        <v>436</v>
      </c>
      <c r="G49"/>
    </row>
    <row r="50">
      <c r="A50" t="s">
        <v>146</v>
      </c>
      <c r="B50" t="s">
        <v>435</v>
      </c>
      <c r="C50" t="s">
        <v>161</v>
      </c>
      <c r="D50" t="s">
        <v>437</v>
      </c>
      <c r="E50" t="n">
        <v>0.75</v>
      </c>
      <c r="F50"/>
      <c r="G50"/>
    </row>
    <row r="51">
      <c r="A51" t="s">
        <v>147</v>
      </c>
      <c r="B51" t="s">
        <v>438</v>
      </c>
      <c r="C51" t="s">
        <v>221</v>
      </c>
      <c r="D51" t="s">
        <v>439</v>
      </c>
      <c r="E51" t="n">
        <v>1</v>
      </c>
      <c r="F51"/>
      <c r="G51"/>
    </row>
    <row r="52">
      <c r="A52" t="s">
        <v>148</v>
      </c>
      <c r="B52" t="s">
        <v>440</v>
      </c>
      <c r="C52" t="s">
        <v>222</v>
      </c>
      <c r="D52" t="s">
        <v>441</v>
      </c>
      <c r="E52" t="n">
        <v>1</v>
      </c>
      <c r="F52"/>
      <c r="G52"/>
    </row>
    <row r="53">
      <c r="A53" t="s">
        <v>149</v>
      </c>
      <c r="B53" t="s">
        <v>442</v>
      </c>
      <c r="C53" t="s">
        <v>222</v>
      </c>
      <c r="D53" t="s">
        <v>441</v>
      </c>
      <c r="E53" t="n">
        <v>1</v>
      </c>
      <c r="F53"/>
      <c r="G53"/>
    </row>
    <row r="54">
      <c r="A54" t="s">
        <v>150</v>
      </c>
      <c r="B54" t="s">
        <v>443</v>
      </c>
      <c r="C54" t="s">
        <v>222</v>
      </c>
      <c r="D54" t="s">
        <v>441</v>
      </c>
      <c r="E54" t="n">
        <v>1</v>
      </c>
      <c r="F54"/>
      <c r="G54"/>
    </row>
    <row r="55">
      <c r="A55" t="s">
        <v>151</v>
      </c>
      <c r="B55" t="s">
        <v>444</v>
      </c>
      <c r="C55" t="s">
        <v>222</v>
      </c>
      <c r="D55" t="s">
        <v>441</v>
      </c>
      <c r="E55" t="n">
        <v>1</v>
      </c>
      <c r="F55"/>
      <c r="G55"/>
    </row>
    <row r="56">
      <c r="A56" t="s">
        <v>152</v>
      </c>
      <c r="B56" t="s">
        <v>445</v>
      </c>
      <c r="C56" t="s">
        <v>223</v>
      </c>
      <c r="D56" t="s">
        <v>446</v>
      </c>
      <c r="E56" t="n">
        <v>1</v>
      </c>
      <c r="F56"/>
      <c r="G56"/>
    </row>
    <row r="57">
      <c r="A57" t="s">
        <v>153</v>
      </c>
      <c r="B57" t="s">
        <v>447</v>
      </c>
      <c r="C57" t="s">
        <v>223</v>
      </c>
      <c r="D57" t="s">
        <v>446</v>
      </c>
      <c r="E57" t="n">
        <v>1</v>
      </c>
      <c r="F57"/>
      <c r="G57"/>
    </row>
    <row r="58">
      <c r="A58" t="s">
        <v>154</v>
      </c>
      <c r="B58" t="s">
        <v>448</v>
      </c>
      <c r="C58" t="s">
        <v>224</v>
      </c>
      <c r="D58" t="s">
        <v>449</v>
      </c>
      <c r="E58" t="n">
        <v>1</v>
      </c>
      <c r="F58" t="s">
        <v>450</v>
      </c>
      <c r="G58"/>
    </row>
    <row r="59">
      <c r="A59" t="s">
        <v>155</v>
      </c>
      <c r="B59" t="s">
        <v>451</v>
      </c>
      <c r="C59" t="s">
        <v>224</v>
      </c>
      <c r="D59" t="s">
        <v>449</v>
      </c>
      <c r="E59" t="n">
        <v>1</v>
      </c>
      <c r="F59"/>
      <c r="G59"/>
    </row>
    <row r="60">
      <c r="A60" t="s">
        <v>157</v>
      </c>
      <c r="B60" t="s">
        <v>452</v>
      </c>
      <c r="C60" t="s">
        <v>224</v>
      </c>
      <c r="D60" t="s">
        <v>449</v>
      </c>
      <c r="E60" t="n">
        <v>1</v>
      </c>
      <c r="F60"/>
      <c r="G60"/>
    </row>
    <row r="61">
      <c r="A61" t="s">
        <v>156</v>
      </c>
      <c r="B61" t="s">
        <v>453</v>
      </c>
      <c r="C61" t="s">
        <v>221</v>
      </c>
      <c r="D61" t="s">
        <v>439</v>
      </c>
      <c r="E61" t="n">
        <v>1</v>
      </c>
      <c r="F61" t="s">
        <v>454</v>
      </c>
      <c r="G61"/>
    </row>
    <row r="62">
      <c r="A62" t="s">
        <v>158</v>
      </c>
      <c r="B62" t="s">
        <v>455</v>
      </c>
      <c r="C62" t="s">
        <v>224</v>
      </c>
      <c r="D62" t="s">
        <v>449</v>
      </c>
      <c r="E62" t="n">
        <v>1</v>
      </c>
      <c r="F62"/>
      <c r="G62"/>
    </row>
    <row r="63">
      <c r="A63" t="s">
        <v>159</v>
      </c>
      <c r="B63" t="s">
        <v>456</v>
      </c>
      <c r="C63" t="s">
        <v>224</v>
      </c>
      <c r="D63" t="s">
        <v>449</v>
      </c>
      <c r="E63" t="n">
        <v>1</v>
      </c>
      <c r="F63"/>
      <c r="G63"/>
    </row>
    <row r="64">
      <c r="A64" t="s">
        <v>160</v>
      </c>
      <c r="B64" t="s">
        <v>457</v>
      </c>
      <c r="C64" t="s">
        <v>215</v>
      </c>
      <c r="D64" t="s">
        <v>458</v>
      </c>
      <c r="E64" t="n">
        <v>1</v>
      </c>
      <c r="F64"/>
      <c r="G64"/>
    </row>
    <row r="65">
      <c r="A65" t="s">
        <v>161</v>
      </c>
      <c r="B65" t="s">
        <v>459</v>
      </c>
      <c r="C65" t="s">
        <v>226</v>
      </c>
      <c r="D65" t="s">
        <v>460</v>
      </c>
      <c r="E65" t="n">
        <v>1</v>
      </c>
      <c r="F65"/>
      <c r="G65"/>
    </row>
    <row r="66">
      <c r="A66" t="s">
        <v>162</v>
      </c>
      <c r="B66" t="s">
        <v>461</v>
      </c>
      <c r="C66" t="s">
        <v>227</v>
      </c>
      <c r="D66" t="s">
        <v>462</v>
      </c>
      <c r="E66" t="n">
        <v>1</v>
      </c>
      <c r="F66"/>
      <c r="G66"/>
    </row>
    <row r="67">
      <c r="A67" t="s">
        <v>163</v>
      </c>
      <c r="B67" t="s">
        <v>463</v>
      </c>
      <c r="C67" t="s">
        <v>227</v>
      </c>
      <c r="D67" t="s">
        <v>462</v>
      </c>
      <c r="E67" t="n">
        <v>1</v>
      </c>
      <c r="F67"/>
      <c r="G67"/>
    </row>
    <row r="68">
      <c r="A68" t="s">
        <v>164</v>
      </c>
      <c r="B68" t="s">
        <v>464</v>
      </c>
      <c r="C68" t="s">
        <v>227</v>
      </c>
      <c r="D68" t="s">
        <v>462</v>
      </c>
      <c r="E68" t="n">
        <v>1</v>
      </c>
      <c r="F68"/>
      <c r="G68"/>
    </row>
    <row r="69">
      <c r="A69" t="s">
        <v>165</v>
      </c>
      <c r="B69" t="s">
        <v>465</v>
      </c>
      <c r="C69" t="s">
        <v>227</v>
      </c>
      <c r="D69" t="s">
        <v>462</v>
      </c>
      <c r="E69" t="n">
        <v>1</v>
      </c>
      <c r="F69"/>
      <c r="G69"/>
    </row>
    <row r="70">
      <c r="A70" t="s">
        <v>166</v>
      </c>
      <c r="B70" t="s">
        <v>466</v>
      </c>
      <c r="C70" t="s">
        <v>228</v>
      </c>
      <c r="D70" t="s">
        <v>467</v>
      </c>
      <c r="E70" t="n">
        <v>1</v>
      </c>
      <c r="F70"/>
      <c r="G70"/>
    </row>
    <row r="71">
      <c r="A71" t="s">
        <v>167</v>
      </c>
      <c r="B71" t="s">
        <v>468</v>
      </c>
      <c r="C71" t="s">
        <v>228</v>
      </c>
      <c r="D71" t="s">
        <v>467</v>
      </c>
      <c r="E71" t="n">
        <v>1</v>
      </c>
      <c r="F71"/>
      <c r="G71"/>
    </row>
    <row r="72">
      <c r="A72" t="s">
        <v>168</v>
      </c>
      <c r="B72" t="s">
        <v>469</v>
      </c>
      <c r="C72" t="s">
        <v>219</v>
      </c>
      <c r="D72" t="s">
        <v>470</v>
      </c>
      <c r="E72" t="n">
        <v>1</v>
      </c>
      <c r="F72"/>
      <c r="G72"/>
    </row>
    <row r="73">
      <c r="A73" t="s">
        <v>169</v>
      </c>
      <c r="B73" t="s">
        <v>471</v>
      </c>
      <c r="C73" t="s">
        <v>219</v>
      </c>
      <c r="D73" t="s">
        <v>470</v>
      </c>
      <c r="E73" t="n">
        <v>1</v>
      </c>
      <c r="F73"/>
      <c r="G73"/>
    </row>
    <row r="74">
      <c r="A74" t="s">
        <v>170</v>
      </c>
      <c r="B74" t="s">
        <v>472</v>
      </c>
      <c r="C74" t="s">
        <v>228</v>
      </c>
      <c r="D74" t="s">
        <v>467</v>
      </c>
      <c r="E74" t="n">
        <v>1</v>
      </c>
      <c r="F74"/>
      <c r="G74"/>
    </row>
    <row r="75">
      <c r="A75" t="s">
        <v>171</v>
      </c>
      <c r="B75" t="s">
        <v>473</v>
      </c>
      <c r="C75" t="s">
        <v>225</v>
      </c>
      <c r="D75" t="s">
        <v>474</v>
      </c>
      <c r="E75" t="n">
        <v>1</v>
      </c>
      <c r="F75"/>
      <c r="G75"/>
    </row>
    <row r="76">
      <c r="A76" t="s">
        <v>172</v>
      </c>
      <c r="B76" t="s">
        <v>475</v>
      </c>
      <c r="C76" t="s">
        <v>225</v>
      </c>
      <c r="D76" t="s">
        <v>474</v>
      </c>
      <c r="E76" t="n">
        <v>1</v>
      </c>
      <c r="F76"/>
      <c r="G76"/>
    </row>
    <row r="77">
      <c r="A77" t="s">
        <v>173</v>
      </c>
      <c r="B77" t="s">
        <v>476</v>
      </c>
      <c r="C77" t="s">
        <v>225</v>
      </c>
      <c r="D77" t="s">
        <v>474</v>
      </c>
      <c r="E77" t="n">
        <v>1</v>
      </c>
      <c r="F77"/>
      <c r="G77"/>
    </row>
    <row r="78">
      <c r="A78" t="s">
        <v>174</v>
      </c>
      <c r="B78" t="s">
        <v>477</v>
      </c>
      <c r="C78" t="s">
        <v>225</v>
      </c>
      <c r="D78" t="s">
        <v>474</v>
      </c>
      <c r="E78" t="n">
        <v>1</v>
      </c>
      <c r="F78"/>
      <c r="G78"/>
    </row>
    <row r="79">
      <c r="A79" t="s">
        <v>175</v>
      </c>
      <c r="B79" t="s">
        <v>478</v>
      </c>
      <c r="C79" t="s">
        <v>225</v>
      </c>
      <c r="D79" t="s">
        <v>474</v>
      </c>
      <c r="E79" t="n">
        <v>1</v>
      </c>
      <c r="F79"/>
      <c r="G79"/>
    </row>
    <row r="80">
      <c r="A80" t="s">
        <v>108</v>
      </c>
      <c r="B80" t="s">
        <v>479</v>
      </c>
      <c r="C80" t="s">
        <v>191</v>
      </c>
      <c r="D80" t="s">
        <v>480</v>
      </c>
      <c r="E80" t="n">
        <v>0.625869304692799</v>
      </c>
      <c r="F80"/>
      <c r="G80" t="s">
        <v>481</v>
      </c>
    </row>
    <row r="81">
      <c r="A81" t="s">
        <v>108</v>
      </c>
      <c r="B81" t="s">
        <v>479</v>
      </c>
      <c r="C81" t="s">
        <v>193</v>
      </c>
      <c r="D81" t="s">
        <v>482</v>
      </c>
      <c r="E81" t="n">
        <v>0.374130695307201</v>
      </c>
      <c r="F81"/>
      <c r="G81" t="s">
        <v>481</v>
      </c>
    </row>
    <row r="82">
      <c r="A82" t="s">
        <v>113</v>
      </c>
      <c r="B82" t="s">
        <v>483</v>
      </c>
      <c r="C82" t="s">
        <v>202</v>
      </c>
      <c r="D82" t="s">
        <v>484</v>
      </c>
      <c r="E82" t="n">
        <v>0.1</v>
      </c>
      <c r="F82"/>
      <c r="G82" t="s">
        <v>485</v>
      </c>
    </row>
    <row r="83">
      <c r="A83" t="s">
        <v>113</v>
      </c>
      <c r="B83" t="s">
        <v>483</v>
      </c>
      <c r="C83" t="s">
        <v>203</v>
      </c>
      <c r="D83" t="s">
        <v>486</v>
      </c>
      <c r="E83" t="n">
        <v>0.9</v>
      </c>
      <c r="F83"/>
      <c r="G83" t="s">
        <v>485</v>
      </c>
    </row>
    <row r="84">
      <c r="A84" t="s">
        <v>114</v>
      </c>
      <c r="B84" t="s">
        <v>487</v>
      </c>
      <c r="C84" t="s">
        <v>204</v>
      </c>
      <c r="D84" t="s">
        <v>397</v>
      </c>
      <c r="E84" t="n">
        <v>0.55</v>
      </c>
      <c r="F84"/>
      <c r="G84" t="s">
        <v>488</v>
      </c>
    </row>
    <row r="85">
      <c r="A85" t="s">
        <v>114</v>
      </c>
      <c r="B85" t="s">
        <v>487</v>
      </c>
      <c r="C85" t="s">
        <v>205</v>
      </c>
      <c r="D85" t="s">
        <v>489</v>
      </c>
      <c r="E85" t="n">
        <v>0.45</v>
      </c>
      <c r="F85"/>
      <c r="G85" t="s">
        <v>488</v>
      </c>
    </row>
    <row r="86">
      <c r="A86" t="s">
        <v>129</v>
      </c>
      <c r="B86" t="s">
        <v>490</v>
      </c>
      <c r="C86" t="s">
        <v>200</v>
      </c>
      <c r="D86" t="s">
        <v>491</v>
      </c>
      <c r="E86" t="n">
        <v>0.55</v>
      </c>
      <c r="F86"/>
      <c r="G86" t="s">
        <v>492</v>
      </c>
    </row>
    <row r="87">
      <c r="A87" t="s">
        <v>129</v>
      </c>
      <c r="B87" t="s">
        <v>490</v>
      </c>
      <c r="C87" t="s">
        <v>201</v>
      </c>
      <c r="D87" t="s">
        <v>493</v>
      </c>
      <c r="E87" t="n">
        <v>0.45</v>
      </c>
      <c r="F87"/>
      <c r="G87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494</v>
      </c>
    </row>
    <row r="2">
      <c r="A2" t="s">
        <v>1</v>
      </c>
    </row>
    <row r="3">
      <c r="A3" t="s">
        <v>495</v>
      </c>
    </row>
    <row r="4">
      <c r="A4" t="s">
        <v>496</v>
      </c>
    </row>
    <row r="5">
      <c r="A5" t="s">
        <v>497</v>
      </c>
    </row>
    <row r="6">
      <c r="A6" t="s">
        <v>498</v>
      </c>
    </row>
    <row r="7">
      <c r="A7" t="s">
        <v>499</v>
      </c>
    </row>
    <row r="8">
      <c r="A8" t="s">
        <v>500</v>
      </c>
    </row>
    <row r="9">
      <c r="A9" t="s">
        <v>1</v>
      </c>
    </row>
    <row r="11">
      <c r="A11" t="s">
        <v>363</v>
      </c>
      <c r="B11" t="s">
        <v>188</v>
      </c>
      <c r="C11" t="s">
        <v>366</v>
      </c>
      <c r="D11" t="s">
        <v>368</v>
      </c>
    </row>
    <row r="12">
      <c r="A12" t="n">
        <v>212</v>
      </c>
      <c r="B12" t="s">
        <v>191</v>
      </c>
      <c r="C12" t="n">
        <v>0.625869304692799</v>
      </c>
      <c r="D12" t="s">
        <v>481</v>
      </c>
    </row>
    <row r="13">
      <c r="A13" t="n">
        <v>212</v>
      </c>
      <c r="B13" t="s">
        <v>193</v>
      </c>
      <c r="C13" t="n">
        <v>0.374130695307201</v>
      </c>
      <c r="D13" t="s">
        <v>481</v>
      </c>
    </row>
    <row r="14">
      <c r="A14" t="n">
        <v>327</v>
      </c>
      <c r="B14" t="s">
        <v>202</v>
      </c>
      <c r="C14" t="n">
        <v>0.1</v>
      </c>
      <c r="D14" t="s">
        <v>485</v>
      </c>
    </row>
    <row r="15">
      <c r="A15" t="n">
        <v>327</v>
      </c>
      <c r="B15" t="s">
        <v>203</v>
      </c>
      <c r="C15" t="n">
        <v>0.9</v>
      </c>
      <c r="D15" t="s">
        <v>485</v>
      </c>
    </row>
    <row r="16">
      <c r="A16" t="n">
        <v>331</v>
      </c>
      <c r="B16" t="s">
        <v>204</v>
      </c>
      <c r="C16" t="n">
        <v>0.55</v>
      </c>
      <c r="D16" t="s">
        <v>488</v>
      </c>
    </row>
    <row r="17">
      <c r="A17" t="n">
        <v>331</v>
      </c>
      <c r="B17" t="s">
        <v>205</v>
      </c>
      <c r="C17" t="n">
        <v>0.45</v>
      </c>
      <c r="D17" t="s">
        <v>488</v>
      </c>
    </row>
    <row r="18">
      <c r="A18" t="n">
        <v>325</v>
      </c>
      <c r="B18" t="s">
        <v>200</v>
      </c>
      <c r="C18" t="n">
        <v>0.55</v>
      </c>
      <c r="D18" t="s">
        <v>492</v>
      </c>
    </row>
    <row r="19">
      <c r="A19" t="n">
        <v>325</v>
      </c>
      <c r="B19" t="s">
        <v>201</v>
      </c>
      <c r="C19" t="n">
        <v>0.45</v>
      </c>
      <c r="D19" t="s">
        <v>492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501</v>
      </c>
    </row>
    <row r="2">
      <c r="A2" t="s">
        <v>502</v>
      </c>
    </row>
    <row r="3">
      <c r="A3" t="s">
        <v>503</v>
      </c>
    </row>
    <row r="4">
      <c r="A4" t="s">
        <v>504</v>
      </c>
    </row>
    <row r="5">
      <c r="A5" t="s">
        <v>1</v>
      </c>
    </row>
    <row r="7">
      <c r="A7" t="s">
        <v>505</v>
      </c>
      <c r="B7" t="s">
        <v>506</v>
      </c>
      <c r="C7" t="s">
        <v>507</v>
      </c>
    </row>
    <row r="8">
      <c r="A8" t="s">
        <v>190</v>
      </c>
      <c r="B8" t="s">
        <v>508</v>
      </c>
      <c r="C8" t="s">
        <v>509</v>
      </c>
    </row>
    <row r="9">
      <c r="A9" t="s">
        <v>191</v>
      </c>
      <c r="B9" t="s">
        <v>480</v>
      </c>
      <c r="C9" t="s">
        <v>510</v>
      </c>
    </row>
    <row r="10">
      <c r="A10" t="s">
        <v>192</v>
      </c>
      <c r="B10" t="s">
        <v>373</v>
      </c>
      <c r="C10" t="s">
        <v>511</v>
      </c>
    </row>
    <row r="11">
      <c r="A11" t="s">
        <v>193</v>
      </c>
      <c r="B11" t="s">
        <v>512</v>
      </c>
      <c r="C11" t="s">
        <v>513</v>
      </c>
    </row>
    <row r="12">
      <c r="A12" t="s">
        <v>194</v>
      </c>
      <c r="B12" t="s">
        <v>375</v>
      </c>
      <c r="C12" t="s">
        <v>514</v>
      </c>
    </row>
    <row r="13">
      <c r="A13" t="s">
        <v>195</v>
      </c>
      <c r="B13" t="s">
        <v>515</v>
      </c>
      <c r="C13" t="s">
        <v>516</v>
      </c>
    </row>
    <row r="14">
      <c r="A14" t="s">
        <v>196</v>
      </c>
      <c r="B14" t="s">
        <v>517</v>
      </c>
      <c r="C14" t="s">
        <v>518</v>
      </c>
    </row>
    <row r="15">
      <c r="A15" t="s">
        <v>197</v>
      </c>
      <c r="B15" t="s">
        <v>519</v>
      </c>
      <c r="C15" t="s">
        <v>520</v>
      </c>
    </row>
    <row r="16">
      <c r="A16" t="s">
        <v>198</v>
      </c>
      <c r="B16" t="s">
        <v>392</v>
      </c>
      <c r="C16" t="s">
        <v>521</v>
      </c>
    </row>
    <row r="17">
      <c r="A17" t="s">
        <v>199</v>
      </c>
      <c r="B17" t="s">
        <v>395</v>
      </c>
      <c r="C17" t="s">
        <v>522</v>
      </c>
    </row>
    <row r="18">
      <c r="A18" t="s">
        <v>200</v>
      </c>
      <c r="B18" t="s">
        <v>523</v>
      </c>
      <c r="C18" t="s">
        <v>524</v>
      </c>
    </row>
    <row r="19">
      <c r="A19" t="s">
        <v>201</v>
      </c>
      <c r="B19" t="s">
        <v>525</v>
      </c>
      <c r="C19" t="s">
        <v>526</v>
      </c>
    </row>
    <row r="20">
      <c r="A20" t="s">
        <v>110</v>
      </c>
      <c r="B20" t="s">
        <v>400</v>
      </c>
      <c r="C20" t="s">
        <v>527</v>
      </c>
    </row>
    <row r="21">
      <c r="A21" t="s">
        <v>202</v>
      </c>
      <c r="B21" t="s">
        <v>528</v>
      </c>
      <c r="C21" t="s">
        <v>529</v>
      </c>
    </row>
    <row r="22">
      <c r="A22" t="s">
        <v>203</v>
      </c>
      <c r="B22" t="s">
        <v>530</v>
      </c>
      <c r="C22" t="s">
        <v>531</v>
      </c>
    </row>
    <row r="23">
      <c r="A23" t="s">
        <v>204</v>
      </c>
      <c r="B23" t="s">
        <v>532</v>
      </c>
      <c r="C23" t="s">
        <v>533</v>
      </c>
    </row>
    <row r="24">
      <c r="A24" t="s">
        <v>205</v>
      </c>
      <c r="B24" t="s">
        <v>534</v>
      </c>
      <c r="C24" t="s">
        <v>535</v>
      </c>
    </row>
    <row r="25">
      <c r="A25" t="s">
        <v>206</v>
      </c>
      <c r="B25" t="s">
        <v>536</v>
      </c>
      <c r="C25" t="s">
        <v>537</v>
      </c>
    </row>
    <row r="26">
      <c r="A26" t="s">
        <v>207</v>
      </c>
      <c r="B26" t="s">
        <v>405</v>
      </c>
      <c r="C26" t="s">
        <v>538</v>
      </c>
    </row>
    <row r="27">
      <c r="A27" t="s">
        <v>208</v>
      </c>
      <c r="B27" t="s">
        <v>407</v>
      </c>
      <c r="C27" t="s">
        <v>539</v>
      </c>
    </row>
    <row r="28">
      <c r="A28" t="s">
        <v>209</v>
      </c>
      <c r="B28" t="s">
        <v>403</v>
      </c>
      <c r="C28" t="s">
        <v>540</v>
      </c>
    </row>
    <row r="29">
      <c r="A29" t="s">
        <v>210</v>
      </c>
      <c r="B29" t="s">
        <v>541</v>
      </c>
      <c r="C29" t="s">
        <v>542</v>
      </c>
    </row>
    <row r="30">
      <c r="A30" t="s">
        <v>211</v>
      </c>
      <c r="B30" t="s">
        <v>411</v>
      </c>
      <c r="C30" t="s">
        <v>543</v>
      </c>
    </row>
    <row r="31">
      <c r="A31" t="s">
        <v>212</v>
      </c>
      <c r="B31" t="s">
        <v>544</v>
      </c>
      <c r="C31" t="s">
        <v>545</v>
      </c>
    </row>
    <row r="32">
      <c r="A32" t="s">
        <v>213</v>
      </c>
      <c r="B32" t="s">
        <v>546</v>
      </c>
      <c r="C32" t="s">
        <v>547</v>
      </c>
    </row>
    <row r="33">
      <c r="A33" t="s">
        <v>214</v>
      </c>
      <c r="B33" t="s">
        <v>548</v>
      </c>
      <c r="C33" t="s">
        <v>549</v>
      </c>
    </row>
    <row r="34">
      <c r="A34" t="s">
        <v>215</v>
      </c>
      <c r="B34" t="s">
        <v>550</v>
      </c>
      <c r="C34" t="s">
        <v>551</v>
      </c>
    </row>
    <row r="35">
      <c r="A35" t="s">
        <v>216</v>
      </c>
      <c r="B35" t="s">
        <v>383</v>
      </c>
      <c r="C35" t="s">
        <v>552</v>
      </c>
    </row>
    <row r="36">
      <c r="A36" t="s">
        <v>217</v>
      </c>
      <c r="B36" t="s">
        <v>553</v>
      </c>
      <c r="C36" t="s">
        <v>554</v>
      </c>
    </row>
    <row r="37">
      <c r="A37" t="s">
        <v>218</v>
      </c>
      <c r="B37" t="s">
        <v>422</v>
      </c>
      <c r="C37" t="s">
        <v>555</v>
      </c>
    </row>
    <row r="38">
      <c r="A38" t="s">
        <v>219</v>
      </c>
      <c r="B38" t="s">
        <v>556</v>
      </c>
      <c r="C38" t="s">
        <v>557</v>
      </c>
    </row>
    <row r="39">
      <c r="A39" t="s">
        <v>220</v>
      </c>
      <c r="B39" t="s">
        <v>558</v>
      </c>
      <c r="C39" t="s">
        <v>559</v>
      </c>
    </row>
    <row r="40">
      <c r="A40" t="s">
        <v>161</v>
      </c>
      <c r="B40" t="s">
        <v>437</v>
      </c>
      <c r="C40" t="s">
        <v>560</v>
      </c>
    </row>
    <row r="41">
      <c r="A41" t="s">
        <v>221</v>
      </c>
      <c r="B41" t="s">
        <v>439</v>
      </c>
      <c r="C41" t="s">
        <v>561</v>
      </c>
    </row>
    <row r="42">
      <c r="A42" t="s">
        <v>222</v>
      </c>
      <c r="B42" t="s">
        <v>562</v>
      </c>
      <c r="C42" t="s">
        <v>563</v>
      </c>
    </row>
    <row r="43">
      <c r="A43" t="s">
        <v>223</v>
      </c>
      <c r="B43" t="s">
        <v>446</v>
      </c>
      <c r="C43" t="s">
        <v>564</v>
      </c>
    </row>
    <row r="44">
      <c r="A44" t="s">
        <v>224</v>
      </c>
      <c r="B44" t="s">
        <v>565</v>
      </c>
      <c r="C44" t="s">
        <v>566</v>
      </c>
    </row>
    <row r="45">
      <c r="A45" t="s">
        <v>225</v>
      </c>
      <c r="B45" t="s">
        <v>567</v>
      </c>
      <c r="C45" t="s">
        <v>568</v>
      </c>
    </row>
    <row r="46">
      <c r="A46" t="s">
        <v>226</v>
      </c>
      <c r="B46" t="s">
        <v>460</v>
      </c>
      <c r="C46" t="s">
        <v>569</v>
      </c>
    </row>
    <row r="47">
      <c r="A47" t="s">
        <v>227</v>
      </c>
      <c r="B47" t="s">
        <v>570</v>
      </c>
      <c r="C47" t="s">
        <v>571</v>
      </c>
    </row>
    <row r="48">
      <c r="A48" t="s">
        <v>228</v>
      </c>
      <c r="B48" t="s">
        <v>572</v>
      </c>
      <c r="C48" t="s">
        <v>573</v>
      </c>
    </row>
    <row r="49">
      <c r="A49" t="s">
        <v>229</v>
      </c>
      <c r="B49" t="s">
        <v>574</v>
      </c>
      <c r="C49" t="s">
        <v>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IFERROR(INDEX('1_Gov_purchases_by_BEA'!$B$2:$B$74, MATCH($A3, '1_Gov_purchases_by_BEA'!$A$2:$A$74,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IFERROR(INDEX('1_Gov_purchases_by_BEA'!$B$2:$B$74, MATCH($A4, '1_Gov_purchases_by_BEA'!$A$2:$A$74,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IFERROR(INDEX('1_Gov_purchases_by_BEA'!$B$2:$B$74, MATCH($A5, '1_Gov_purchases_by_BEA'!$A$2:$A$74,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IFERROR(INDEX('1_Gov_purchases_by_BEA'!$B$2:$B$74, MATCH($A6, '1_Gov_purchases_by_BEA'!$A$2:$A$74,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IFERROR(INDEX('1_Gov_purchases_by_BEA'!$B$2:$B$74, MATCH($A7, '1_Gov_purchases_by_BEA'!$A$2:$A$74,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IFERROR(INDEX('1_Gov_purchases_by_BEA'!$B$2:$B$74, MATCH($A8, '1_Gov_purchases_by_BEA'!$A$2:$A$74,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IFERROR(INDEX('1_Gov_purchases_by_BEA'!$B$2:$B$74, MATCH($A9, '1_Gov_purchases_by_BEA'!$A$2:$A$74,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IFERROR(INDEX('1_Gov_purchases_by_BEA'!$B$2:$B$74, MATCH($A10, '1_Gov_purchases_by_BEA'!$A$2:$A$74,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IFERROR(INDEX('1_Gov_purchases_by_BEA'!$B$2:$B$74, MATCH($A11, '1_Gov_purchases_by_BEA'!$A$2:$A$74,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IFERROR(INDEX('1_Gov_purchases_by_BEA'!$B$2:$B$74, MATCH($A12, '1_Gov_purchases_by_BEA'!$A$2:$A$74,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IFERROR(INDEX('1_Gov_purchases_by_BEA'!$B$2:$B$74, MATCH($A13, '1_Gov_purchases_by_BEA'!$A$2:$A$74,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IFERROR(INDEX('1_Gov_purchases_by_BEA'!$B$2:$B$74, MATCH($A14, '1_Gov_purchases_by_BEA'!$A$2:$A$74,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IFERROR(INDEX('1_Gov_purchases_by_BEA'!$B$2:$B$74, MATCH($A15, '1_Gov_purchases_by_BEA'!$A$2:$A$74,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IFERROR(INDEX('1_Gov_purchases_by_BEA'!$B$2:$B$74, MATCH($A16, '1_Gov_purchases_by_BEA'!$A$2:$A$74,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IFERROR(INDEX('1_Gov_purchases_by_BEA'!$B$2:$B$74, MATCH($A17, '1_Gov_purchases_by_BEA'!$A$2:$A$74,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IFERROR(INDEX('1_Gov_purchases_by_BEA'!$B$2:$B$74, MATCH($A18, '1_Gov_purchases_by_BEA'!$A$2:$A$74,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IFERROR(INDEX('1_Gov_purchases_by_BEA'!$B$2:$B$74, MATCH($A19, '1_Gov_purchases_by_BEA'!$A$2:$A$74,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IFERROR(INDEX('1_Gov_purchases_by_BEA'!$B$2:$B$74, MATCH($A20, '1_Gov_purchases_by_BEA'!$A$2:$A$74,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IFERROR(INDEX('1_Gov_purchases_by_BEA'!$B$2:$B$74, MATCH($A21, '1_Gov_purchases_by_BEA'!$A$2:$A$74,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IFERROR(INDEX('1_Gov_purchases_by_BEA'!$B$2:$B$74, MATCH($A22, '1_Gov_purchases_by_BEA'!$A$2:$A$74,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IFERROR(INDEX('1_Gov_purchases_by_BEA'!$B$2:$B$74, MATCH($A23, '1_Gov_purchases_by_BEA'!$A$2:$A$74,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IFERROR(INDEX('1_Gov_purchases_by_BEA'!$B$2:$B$74, MATCH($A24, '1_Gov_purchases_by_BEA'!$A$2:$A$74,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IFERROR(INDEX('1_Gov_purchases_by_BEA'!$B$2:$B$74, MATCH($A25, '1_Gov_purchases_by_BEA'!$A$2:$A$74,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IFERROR(INDEX('1_Gov_purchases_by_BEA'!$B$2:$B$74, MATCH($A26, '1_Gov_purchases_by_BEA'!$A$2:$A$74,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IFERROR(INDEX('1_Gov_purchases_by_BEA'!$B$2:$B$74, MATCH($A27, '1_Gov_purchases_by_BEA'!$A$2:$A$74,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IFERROR(INDEX('1_Gov_purchases_by_BEA'!$B$2:$B$74, MATCH($A28, '1_Gov_purchases_by_BEA'!$A$2:$A$74,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IFERROR(INDEX('1_Gov_purchases_by_BEA'!$B$2:$B$74, MATCH($A29, '1_Gov_purchases_by_BEA'!$A$2:$A$74,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IFERROR(INDEX('1_Gov_purchases_by_BEA'!$B$2:$B$74, MATCH($A30, '1_Gov_purchases_by_BEA'!$A$2:$A$74,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IFERROR(INDEX('1_Gov_purchases_by_BEA'!$B$2:$B$74, MATCH($A31, '1_Gov_purchases_by_BEA'!$A$2:$A$74,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IFERROR(INDEX('1_Gov_purchases_by_BEA'!$B$2:$B$74, MATCH($A32, '1_Gov_purchases_by_BEA'!$A$2:$A$74,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IFERROR(INDEX('1_Gov_purchases_by_BEA'!$B$2:$B$74, MATCH($A33, '1_Gov_purchases_by_BEA'!$A$2:$A$74,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IFERROR(INDEX('1_Gov_purchases_by_BEA'!$B$2:$B$74, MATCH($A34, '1_Gov_purchases_by_BEA'!$A$2:$A$74,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IFERROR(INDEX('1_Gov_purchases_by_BEA'!$B$2:$B$74, MATCH($A35, '1_Gov_purchases_by_BEA'!$A$2:$A$74,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IFERROR(INDEX('1_Gov_purchases_by_BEA'!$B$2:$B$74, MATCH($A36, '1_Gov_purchases_by_BEA'!$A$2:$A$74,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IFERROR(INDEX('1_Gov_purchases_by_BEA'!$B$2:$B$74, MATCH($A37, '1_Gov_purchases_by_BEA'!$A$2:$A$74,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IFERROR(INDEX('1_Gov_purchases_by_BEA'!$B$2:$B$74, MATCH($A38, '1_Gov_purchases_by_BEA'!$A$2:$A$74,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IFERROR(INDEX('1_Gov_purchases_by_BEA'!$B$2:$B$74, MATCH($A39, '1_Gov_purchases_by_BEA'!$A$2:$A$74,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IFERROR(INDEX('1_Gov_purchases_by_BEA'!$B$2:$B$74, MATCH($A40, '1_Gov_purchases_by_BEA'!$A$2:$A$74,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IFERROR(INDEX('1_Gov_purchases_by_BEA'!$B$2:$B$74, MATCH($A41, '1_Gov_purchases_by_BEA'!$A$2:$A$74,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IFERROR(INDEX('1_Gov_purchases_by_BEA'!$B$2:$B$74, MATCH($A42, '1_Gov_purchases_by_BEA'!$A$2:$A$74,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IFERROR(INDEX('1_Gov_purchases_by_BEA'!$B$2:$B$74, MATCH($A43, '1_Gov_purchases_by_BEA'!$A$2:$A$74,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IFERROR(INDEX('1_Gov_purchases_by_BEA'!$B$2:$B$74, MATCH($A44, '1_Gov_purchases_by_BEA'!$A$2:$A$74,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IFERROR(INDEX('1_Gov_purchases_by_BEA'!$B$2:$B$74, MATCH($A45, '1_Gov_purchases_by_BEA'!$A$2:$A$74,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IFERROR(INDEX('1_Gov_purchases_by_BEA'!$B$2:$B$74, MATCH($A46, '1_Gov_purchases_by_BEA'!$A$2:$A$74,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IFERROR(INDEX('1_Gov_purchases_by_BEA'!$B$2:$B$74, MATCH($A47, '1_Gov_purchases_by_BEA'!$A$2:$A$74,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IFERROR(INDEX('1_Gov_purchases_by_BEA'!$B$2:$B$74, MATCH($A48, '1_Gov_purchases_by_BEA'!$A$2:$A$74,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IFERROR(INDEX('1_Gov_purchases_by_BEA'!$B$2:$B$74, MATCH($A49, '1_Gov_purchases_by_BEA'!$A$2:$A$74,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IFERROR(INDEX('1_Gov_purchases_by_BEA'!$B$2:$B$74, MATCH($A50, '1_Gov_purchases_by_BEA'!$A$2:$A$74,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IFERROR(INDEX('1_Gov_purchases_by_BEA'!$B$2:$B$74, MATCH($A51, '1_Gov_purchases_by_BEA'!$A$2:$A$74,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IFERROR(INDEX('1_Gov_purchases_by_BEA'!$B$2:$B$74, MATCH($A52, '1_Gov_purchases_by_BEA'!$A$2:$A$74,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IFERROR(INDEX('1_Gov_purchases_by_BEA'!$B$2:$B$74, MATCH($A53, '1_Gov_purchases_by_BEA'!$A$2:$A$74,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IFERROR(INDEX('1_Gov_purchases_by_BEA'!$B$2:$B$74, MATCH($A54, '1_Gov_purchases_by_BEA'!$A$2:$A$74,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IFERROR(INDEX('1_Gov_purchases_by_BEA'!$B$2:$B$74, MATCH($A55, '1_Gov_purchases_by_BEA'!$A$2:$A$74,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IFERROR(INDEX('1_Gov_purchases_by_BEA'!$B$2:$B$74, MATCH($A56, '1_Gov_purchases_by_BEA'!$A$2:$A$74,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IFERROR(INDEX('1_Gov_purchases_by_BEA'!$B$2:$B$74, MATCH($A57, '1_Gov_purchases_by_BEA'!$A$2:$A$74,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IFERROR(INDEX('1_Gov_purchases_by_BEA'!$B$2:$B$74, MATCH($A58, '1_Gov_purchases_by_BEA'!$A$2:$A$74,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IFERROR(INDEX('1_Gov_purchases_by_BEA'!$B$2:$B$74, MATCH($A59, '1_Gov_purchases_by_BEA'!$A$2:$A$74,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IFERROR(INDEX('1_Gov_purchases_by_BEA'!$B$2:$B$74, MATCH($A60, '1_Gov_purchases_by_BEA'!$A$2:$A$74,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IFERROR(INDEX('1_Gov_purchases_by_BEA'!$B$2:$B$74, MATCH($A61, '1_Gov_purchases_by_BEA'!$A$2:$A$74,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IFERROR(INDEX('1_Gov_purchases_by_BEA'!$B$2:$B$74, MATCH($A62, '1_Gov_purchases_by_BEA'!$A$2:$A$74,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IFERROR(INDEX('1_Gov_purchases_by_BEA'!$B$2:$B$74, MATCH($A63, '1_Gov_purchases_by_BEA'!$A$2:$A$74,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IFERROR(INDEX('1_Gov_purchases_by_BEA'!$B$2:$B$74, MATCH($A64, '1_Gov_purchases_by_BEA'!$A$2:$A$74,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IFERROR(INDEX('1_Gov_purchases_by_BEA'!$B$2:$B$74, MATCH($A65, '1_Gov_purchases_by_BEA'!$A$2:$A$74,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IFERROR(INDEX('1_Gov_purchases_by_BEA'!$B$2:$B$74, MATCH($A66, '1_Gov_purchases_by_BEA'!$A$2:$A$74,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IFERROR(INDEX('1_Gov_purchases_by_BEA'!$B$2:$B$74, MATCH($A67, '1_Gov_purchases_by_BEA'!$A$2:$A$74,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IFERROR(INDEX('1_Gov_purchases_by_BEA'!$B$2:$B$74, MATCH($A68, '1_Gov_purchases_by_BEA'!$A$2:$A$74,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IFERROR(INDEX('1_Gov_purchases_by_BEA'!$B$2:$B$74, MATCH($A69, '1_Gov_purchases_by_BEA'!$A$2:$A$74,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IFERROR(INDEX('1_Gov_purchases_by_BEA'!$B$2:$B$74, MATCH($A70, '1_Gov_purchases_by_BEA'!$A$2:$A$74,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IFERROR(INDEX('1_Gov_purchases_by_BEA'!$B$2:$B$74, MATCH($A71, '1_Gov_purchases_by_BEA'!$A$2:$A$74,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IFERROR(INDEX('1_Gov_purchases_by_BEA'!$B$2:$B$74, MATCH($A72, '1_Gov_purchases_by_BEA'!$A$2:$A$74,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IFERROR(INDEX('1_Gov_purchases_by_BEA'!$B$2:$B$74, MATCH($A73, '1_Gov_purchases_by_BEA'!$A$2:$A$74,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IFERROR(INDEX('1_Gov_purchases_by_BEA'!$B$2:$B$74, MATCH($A74, '1_Gov_purchases_by_BEA'!$A$2:$A$74,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IFERROR(INDEX('1_Gov_purchases_by_BEA'!$B$2:$B$74, MATCH($A75, '1_Gov_purchases_by_BEA'!$A$2:$A$74,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IFERROR(INDEX('1_Gov_purchases_by_BEA'!$B$2:$B$74, MATCH($A76, '1_Gov_purchases_by_BEA'!$A$2:$A$74,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IFERROR(INDEX('1_Gov_purchases_by_BEA'!$B$2:$B$74, MATCH($A77, '1_Gov_purchases_by_BEA'!$A$2:$A$74,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IFERROR(INDEX('1_Gov_purchases_by_BEA'!$B$2:$B$74, MATCH($A78, '1_Gov_purchases_by_BEA'!$A$2:$A$74,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IFERROR(INDEX('1_Gov_purchases_by_BEA'!$B$2:$B$74, MATCH($A79, '1_Gov_purchases_by_BEA'!$A$2:$A$74,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IFERROR(INDEX('1_Gov_purchases_by_BEA'!$B$2:$B$74, MATCH($A80, '1_Gov_purchases_by_BEA'!$A$2:$A$74,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IFERROR(INDEX('1_Gov_purchases_by_BEA'!$B$2:$B$74, MATCH($A81, '1_Gov_purchases_by_BEA'!$A$2:$A$74,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SUMIFS('6_Calc_Gov_ISIC'!$E$3:$E$81, '6_Calc_Gov_ISIC'!$B$3:$B$81, $A85)</f>
      </c>
      <c r="C85" t="str">
        <f>B85</f>
      </c>
    </row>
    <row r="86">
      <c r="A86" t="s">
        <v>191</v>
      </c>
      <c r="B86" t="str">
        <f>SUMIFS('6_Calc_Gov_ISIC'!$E$3:$E$81, '6_Calc_Gov_ISIC'!$B$3:$B$81, $A86)</f>
      </c>
      <c r="C86" t="str">
        <f>B86</f>
      </c>
    </row>
    <row r="87">
      <c r="A87" t="s">
        <v>192</v>
      </c>
      <c r="B87" t="str">
        <f>SUMIFS('6_Calc_Gov_ISIC'!$E$3:$E$81, '6_Calc_Gov_ISIC'!$B$3:$B$81, $A87)</f>
      </c>
      <c r="C87" t="str">
        <f>B87</f>
      </c>
    </row>
    <row r="88">
      <c r="A88" t="s">
        <v>193</v>
      </c>
      <c r="B88" t="str">
        <f>SUMIFS('6_Calc_Gov_ISIC'!$E$3:$E$81, '6_Calc_Gov_ISIC'!$B$3:$B$81, $A88)</f>
      </c>
      <c r="C88" t="str">
        <f>B88</f>
      </c>
    </row>
    <row r="89">
      <c r="A89" t="s">
        <v>195</v>
      </c>
      <c r="B89" t="str">
        <f>SUMIFS('6_Calc_Gov_ISIC'!$E$3:$E$81, '6_Calc_Gov_ISIC'!$B$3:$B$81, $A89)</f>
      </c>
      <c r="C89" t="str">
        <f>B89</f>
      </c>
    </row>
    <row r="90">
      <c r="A90" t="s">
        <v>196</v>
      </c>
      <c r="B90" t="str">
        <f>SUMIFS('6_Calc_Gov_ISIC'!$E$3:$E$81, '6_Calc_Gov_ISIC'!$B$3:$B$81, $A90)</f>
      </c>
      <c r="C90" t="str">
        <f>B90</f>
      </c>
    </row>
    <row r="91">
      <c r="A91" t="s">
        <v>197</v>
      </c>
      <c r="B91" t="str">
        <f>SUMIFS('6_Calc_Gov_ISIC'!$E$3:$E$81, '6_Calc_Gov_ISIC'!$B$3:$B$81, $A91)</f>
      </c>
      <c r="C91" t="str">
        <f>B91</f>
      </c>
    </row>
    <row r="92">
      <c r="A92" t="s">
        <v>198</v>
      </c>
      <c r="B92" t="str">
        <f>SUMIFS('6_Calc_Gov_ISIC'!$E$3:$E$81, '6_Calc_Gov_ISIC'!$B$3:$B$81, $A92)</f>
      </c>
      <c r="C92" t="str">
        <f>B92</f>
      </c>
    </row>
    <row r="93">
      <c r="A93" t="s">
        <v>199</v>
      </c>
      <c r="B93" t="str">
        <f>SUMIFS('6_Calc_Gov_ISIC'!$E$3:$E$81, '6_Calc_Gov_ISIC'!$B$3:$B$81, $A93)</f>
      </c>
      <c r="C93" t="str">
        <f>B93</f>
      </c>
    </row>
    <row r="94">
      <c r="A94" t="s">
        <v>200</v>
      </c>
      <c r="B94" t="str">
        <f>SUMIFS('6_Calc_Gov_ISIC'!$E$3:$E$81, '6_Calc_Gov_ISIC'!$B$3:$B$81, $A94)</f>
      </c>
      <c r="C94" t="str">
        <f>B94</f>
      </c>
    </row>
    <row r="95">
      <c r="A95" t="s">
        <v>110</v>
      </c>
      <c r="B95" t="str">
        <f>SUMIFS('6_Calc_Gov_ISIC'!$E$3:$E$81, '6_Calc_Gov_ISIC'!$B$3:$B$81, $A95)</f>
      </c>
      <c r="C95" t="str">
        <f>B95</f>
      </c>
    </row>
    <row r="96">
      <c r="A96" t="s">
        <v>202</v>
      </c>
      <c r="B96" t="str">
        <f>SUMIFS('6_Calc_Gov_ISIC'!$E$3:$E$81, '6_Calc_Gov_ISIC'!$B$3:$B$81, $A96)</f>
      </c>
      <c r="C96" t="str">
        <f>B96</f>
      </c>
    </row>
    <row r="97">
      <c r="A97" t="s">
        <v>203</v>
      </c>
      <c r="B97" t="str">
        <f>SUMIFS('6_Calc_Gov_ISIC'!$E$3:$E$81, '6_Calc_Gov_ISIC'!$B$3:$B$81, $A97)</f>
      </c>
      <c r="C97" t="str">
        <f>B97</f>
      </c>
    </row>
    <row r="98">
      <c r="A98" t="s">
        <v>204</v>
      </c>
      <c r="B98" t="str">
        <f>SUMIFS('6_Calc_Gov_ISIC'!$E$3:$E$81, '6_Calc_Gov_ISIC'!$B$3:$B$81, $A98)</f>
      </c>
      <c r="C98" t="str">
        <f>B98</f>
      </c>
    </row>
    <row r="99">
      <c r="A99" t="s">
        <v>205</v>
      </c>
      <c r="B99" t="str">
        <f>SUMIFS('6_Calc_Gov_ISIC'!$E$3:$E$81, '6_Calc_Gov_ISIC'!$B$3:$B$81, $A99)</f>
      </c>
      <c r="C99" t="str">
        <f>B99</f>
      </c>
    </row>
    <row r="100">
      <c r="A100" t="s">
        <v>206</v>
      </c>
      <c r="B100" t="str">
        <f>SUMIFS('6_Calc_Gov_ISIC'!$E$3:$E$81, '6_Calc_Gov_ISIC'!$B$3:$B$81, $A100)</f>
      </c>
      <c r="C100" t="str">
        <f>B100</f>
      </c>
    </row>
    <row r="101">
      <c r="A101" t="s">
        <v>207</v>
      </c>
      <c r="B101" t="str">
        <f>SUMIFS('6_Calc_Gov_ISIC'!$E$3:$E$81, '6_Calc_Gov_ISIC'!$B$3:$B$81, $A101)</f>
      </c>
      <c r="C101" t="str">
        <f>B101</f>
      </c>
    </row>
    <row r="102">
      <c r="A102" t="s">
        <v>208</v>
      </c>
      <c r="B102" t="str">
        <f>SUMIFS('6_Calc_Gov_ISIC'!$E$3:$E$81, '6_Calc_Gov_ISIC'!$B$3:$B$81, $A102)</f>
      </c>
      <c r="C102" t="str">
        <f>B102</f>
      </c>
    </row>
    <row r="103">
      <c r="A103" t="s">
        <v>209</v>
      </c>
      <c r="B103" t="str">
        <f>SUMIFS('6_Calc_Gov_ISIC'!$E$3:$E$81, '6_Calc_Gov_ISIC'!$B$3:$B$81, $A103)</f>
      </c>
      <c r="C103" t="str">
        <f>B103</f>
      </c>
    </row>
    <row r="104">
      <c r="A104" t="s">
        <v>210</v>
      </c>
      <c r="B104" t="str">
        <f>SUMIFS('6_Calc_Gov_ISIC'!$E$3:$E$81, '6_Calc_Gov_ISIC'!$B$3:$B$81, $A104)</f>
      </c>
      <c r="C104" t="str">
        <f>B104</f>
      </c>
    </row>
    <row r="105">
      <c r="A105" t="s">
        <v>211</v>
      </c>
      <c r="B105" t="str">
        <f>SUMIFS('6_Calc_Gov_ISIC'!$E$3:$E$81, '6_Calc_Gov_ISIC'!$B$3:$B$81, $A105)</f>
      </c>
      <c r="C105" t="str">
        <f>B105</f>
      </c>
    </row>
    <row r="106">
      <c r="A106" t="s">
        <v>212</v>
      </c>
      <c r="B106" t="str">
        <f>SUMIFS('6_Calc_Gov_ISIC'!$E$3:$E$81, '6_Calc_Gov_ISIC'!$B$3:$B$81, $A106)</f>
      </c>
      <c r="C106" t="str">
        <f>B106</f>
      </c>
    </row>
    <row r="107">
      <c r="A107" t="s">
        <v>214</v>
      </c>
      <c r="B107" t="str">
        <f>SUMIFS('6_Calc_Gov_ISIC'!$E$3:$E$81, '6_Calc_Gov_ISIC'!$B$3:$B$81, $A107)</f>
      </c>
      <c r="C107" t="str">
        <f>B107</f>
      </c>
    </row>
    <row r="108">
      <c r="A108" t="s">
        <v>215</v>
      </c>
      <c r="B108" t="str">
        <f>SUMIFS('6_Calc_Gov_ISIC'!$E$3:$E$81, '6_Calc_Gov_ISIC'!$B$3:$B$81, $A108)</f>
      </c>
      <c r="C108" t="str">
        <f>B108</f>
      </c>
    </row>
    <row r="109">
      <c r="A109" t="s">
        <v>216</v>
      </c>
      <c r="B109" t="str">
        <f>SUMIFS('6_Calc_Gov_ISIC'!$E$3:$E$81, '6_Calc_Gov_ISIC'!$B$3:$B$81,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IFERROR(INDEX('2_HH_purchases_by_BEA'!$B$2:$B$74, MATCH($A3, '2_HH_purchases_by_BEA'!$A$2:$A$74,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IFERROR(INDEX('2_HH_purchases_by_BEA'!$B$2:$B$74, MATCH($A4, '2_HH_purchases_by_BEA'!$A$2:$A$74,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IFERROR(INDEX('2_HH_purchases_by_BEA'!$B$2:$B$74, MATCH($A5, '2_HH_purchases_by_BEA'!$A$2:$A$74,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IFERROR(INDEX('2_HH_purchases_by_BEA'!$B$2:$B$74, MATCH($A6, '2_HH_purchases_by_BEA'!$A$2:$A$74,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IFERROR(INDEX('2_HH_purchases_by_BEA'!$B$2:$B$74, MATCH($A7, '2_HH_purchases_by_BEA'!$A$2:$A$74,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IFERROR(INDEX('2_HH_purchases_by_BEA'!$B$2:$B$74, MATCH($A8, '2_HH_purchases_by_BEA'!$A$2:$A$74,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IFERROR(INDEX('2_HH_purchases_by_BEA'!$B$2:$B$74, MATCH($A9, '2_HH_purchases_by_BEA'!$A$2:$A$74,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IFERROR(INDEX('2_HH_purchases_by_BEA'!$B$2:$B$74, MATCH($A10, '2_HH_purchases_by_BEA'!$A$2:$A$74,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IFERROR(INDEX('2_HH_purchases_by_BEA'!$B$2:$B$74, MATCH($A11, '2_HH_purchases_by_BEA'!$A$2:$A$74,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IFERROR(INDEX('2_HH_purchases_by_BEA'!$B$2:$B$74, MATCH($A12, '2_HH_purchases_by_BEA'!$A$2:$A$74,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IFERROR(INDEX('2_HH_purchases_by_BEA'!$B$2:$B$74, MATCH($A13, '2_HH_purchases_by_BEA'!$A$2:$A$74,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IFERROR(INDEX('2_HH_purchases_by_BEA'!$B$2:$B$74, MATCH($A14, '2_HH_purchases_by_BEA'!$A$2:$A$74,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IFERROR(INDEX('2_HH_purchases_by_BEA'!$B$2:$B$74, MATCH($A15, '2_HH_purchases_by_BEA'!$A$2:$A$74,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IFERROR(INDEX('2_HH_purchases_by_BEA'!$B$2:$B$74, MATCH($A16, '2_HH_purchases_by_BEA'!$A$2:$A$74,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IFERROR(INDEX('2_HH_purchases_by_BEA'!$B$2:$B$74, MATCH($A17, '2_HH_purchases_by_BEA'!$A$2:$A$74,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IFERROR(INDEX('2_HH_purchases_by_BEA'!$B$2:$B$74, MATCH($A18, '2_HH_purchases_by_BEA'!$A$2:$A$74,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IFERROR(INDEX('2_HH_purchases_by_BEA'!$B$2:$B$74, MATCH($A19, '2_HH_purchases_by_BEA'!$A$2:$A$74,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IFERROR(INDEX('2_HH_purchases_by_BEA'!$B$2:$B$74, MATCH($A20, '2_HH_purchases_by_BEA'!$A$2:$A$74,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IFERROR(INDEX('2_HH_purchases_by_BEA'!$B$2:$B$74, MATCH($A21, '2_HH_purchases_by_BEA'!$A$2:$A$74,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IFERROR(INDEX('2_HH_purchases_by_BEA'!$B$2:$B$74, MATCH($A22, '2_HH_purchases_by_BEA'!$A$2:$A$74,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IFERROR(INDEX('2_HH_purchases_by_BEA'!$B$2:$B$74, MATCH($A23, '2_HH_purchases_by_BEA'!$A$2:$A$74,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IFERROR(INDEX('2_HH_purchases_by_BEA'!$B$2:$B$74, MATCH($A24, '2_HH_purchases_by_BEA'!$A$2:$A$74,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IFERROR(INDEX('2_HH_purchases_by_BEA'!$B$2:$B$74, MATCH($A25, '2_HH_purchases_by_BEA'!$A$2:$A$74,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IFERROR(INDEX('2_HH_purchases_by_BEA'!$B$2:$B$74, MATCH($A26, '2_HH_purchases_by_BEA'!$A$2:$A$74,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IFERROR(INDEX('2_HH_purchases_by_BEA'!$B$2:$B$74, MATCH($A27, '2_HH_purchases_by_BEA'!$A$2:$A$74,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IFERROR(INDEX('2_HH_purchases_by_BEA'!$B$2:$B$74, MATCH($A28, '2_HH_purchases_by_BEA'!$A$2:$A$74,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IFERROR(INDEX('2_HH_purchases_by_BEA'!$B$2:$B$74, MATCH($A29, '2_HH_purchases_by_BEA'!$A$2:$A$74,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IFERROR(INDEX('2_HH_purchases_by_BEA'!$B$2:$B$74, MATCH($A30, '2_HH_purchases_by_BEA'!$A$2:$A$74,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IFERROR(INDEX('2_HH_purchases_by_BEA'!$B$2:$B$74, MATCH($A31, '2_HH_purchases_by_BEA'!$A$2:$A$74,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IFERROR(INDEX('2_HH_purchases_by_BEA'!$B$2:$B$74, MATCH($A32, '2_HH_purchases_by_BEA'!$A$2:$A$74,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IFERROR(INDEX('2_HH_purchases_by_BEA'!$B$2:$B$74, MATCH($A33, '2_HH_purchases_by_BEA'!$A$2:$A$74,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IFERROR(INDEX('2_HH_purchases_by_BEA'!$B$2:$B$74, MATCH($A34, '2_HH_purchases_by_BEA'!$A$2:$A$74,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IFERROR(INDEX('2_HH_purchases_by_BEA'!$B$2:$B$74, MATCH($A35, '2_HH_purchases_by_BEA'!$A$2:$A$74,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IFERROR(INDEX('2_HH_purchases_by_BEA'!$B$2:$B$74, MATCH($A36, '2_HH_purchases_by_BEA'!$A$2:$A$74,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IFERROR(INDEX('2_HH_purchases_by_BEA'!$B$2:$B$74, MATCH($A37, '2_HH_purchases_by_BEA'!$A$2:$A$74,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IFERROR(INDEX('2_HH_purchases_by_BEA'!$B$2:$B$74, MATCH($A38, '2_HH_purchases_by_BEA'!$A$2:$A$74,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IFERROR(INDEX('2_HH_purchases_by_BEA'!$B$2:$B$74, MATCH($A39, '2_HH_purchases_by_BEA'!$A$2:$A$74,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IFERROR(INDEX('2_HH_purchases_by_BEA'!$B$2:$B$74, MATCH($A40, '2_HH_purchases_by_BEA'!$A$2:$A$74,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IFERROR(INDEX('2_HH_purchases_by_BEA'!$B$2:$B$74, MATCH($A41, '2_HH_purchases_by_BEA'!$A$2:$A$74,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IFERROR(INDEX('2_HH_purchases_by_BEA'!$B$2:$B$74, MATCH($A42, '2_HH_purchases_by_BEA'!$A$2:$A$74,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IFERROR(INDEX('2_HH_purchases_by_BEA'!$B$2:$B$74, MATCH($A43, '2_HH_purchases_by_BEA'!$A$2:$A$74,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IFERROR(INDEX('2_HH_purchases_by_BEA'!$B$2:$B$74, MATCH($A44, '2_HH_purchases_by_BEA'!$A$2:$A$74,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IFERROR(INDEX('2_HH_purchases_by_BEA'!$B$2:$B$74, MATCH($A45, '2_HH_purchases_by_BEA'!$A$2:$A$74,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IFERROR(INDEX('2_HH_purchases_by_BEA'!$B$2:$B$74, MATCH($A46, '2_HH_purchases_by_BEA'!$A$2:$A$74,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IFERROR(INDEX('2_HH_purchases_by_BEA'!$B$2:$B$74, MATCH($A47, '2_HH_purchases_by_BEA'!$A$2:$A$74,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IFERROR(INDEX('2_HH_purchases_by_BEA'!$B$2:$B$74, MATCH($A48, '2_HH_purchases_by_BEA'!$A$2:$A$74,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IFERROR(INDEX('2_HH_purchases_by_BEA'!$B$2:$B$74, MATCH($A49, '2_HH_purchases_by_BEA'!$A$2:$A$74,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IFERROR(INDEX('2_HH_purchases_by_BEA'!$B$2:$B$74, MATCH($A50, '2_HH_purchases_by_BEA'!$A$2:$A$74,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IFERROR(INDEX('2_HH_purchases_by_BEA'!$B$2:$B$74, MATCH($A51, '2_HH_purchases_by_BEA'!$A$2:$A$74,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IFERROR(INDEX('2_HH_purchases_by_BEA'!$B$2:$B$74, MATCH($A52, '2_HH_purchases_by_BEA'!$A$2:$A$74,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IFERROR(INDEX('2_HH_purchases_by_BEA'!$B$2:$B$74, MATCH($A53, '2_HH_purchases_by_BEA'!$A$2:$A$74,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IFERROR(INDEX('2_HH_purchases_by_BEA'!$B$2:$B$74, MATCH($A54, '2_HH_purchases_by_BEA'!$A$2:$A$74,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IFERROR(INDEX('2_HH_purchases_by_BEA'!$B$2:$B$74, MATCH($A55, '2_HH_purchases_by_BEA'!$A$2:$A$74,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IFERROR(INDEX('2_HH_purchases_by_BEA'!$B$2:$B$74, MATCH($A56, '2_HH_purchases_by_BEA'!$A$2:$A$74,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IFERROR(INDEX('2_HH_purchases_by_BEA'!$B$2:$B$74, MATCH($A57, '2_HH_purchases_by_BEA'!$A$2:$A$74,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IFERROR(INDEX('2_HH_purchases_by_BEA'!$B$2:$B$74, MATCH($A58, '2_HH_purchases_by_BEA'!$A$2:$A$74,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IFERROR(INDEX('2_HH_purchases_by_BEA'!$B$2:$B$74, MATCH($A59, '2_HH_purchases_by_BEA'!$A$2:$A$74,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IFERROR(INDEX('2_HH_purchases_by_BEA'!$B$2:$B$74, MATCH($A60, '2_HH_purchases_by_BEA'!$A$2:$A$74,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IFERROR(INDEX('2_HH_purchases_by_BEA'!$B$2:$B$74, MATCH($A61, '2_HH_purchases_by_BEA'!$A$2:$A$74,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IFERROR(INDEX('2_HH_purchases_by_BEA'!$B$2:$B$74, MATCH($A62, '2_HH_purchases_by_BEA'!$A$2:$A$74,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IFERROR(INDEX('2_HH_purchases_by_BEA'!$B$2:$B$74, MATCH($A63, '2_HH_purchases_by_BEA'!$A$2:$A$74,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IFERROR(INDEX('2_HH_purchases_by_BEA'!$B$2:$B$74, MATCH($A64, '2_HH_purchases_by_BEA'!$A$2:$A$74,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IFERROR(INDEX('2_HH_purchases_by_BEA'!$B$2:$B$74, MATCH($A65, '2_HH_purchases_by_BEA'!$A$2:$A$74,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IFERROR(INDEX('2_HH_purchases_by_BEA'!$B$2:$B$74, MATCH($A66, '2_HH_purchases_by_BEA'!$A$2:$A$74,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IFERROR(INDEX('2_HH_purchases_by_BEA'!$B$2:$B$74, MATCH($A67, '2_HH_purchases_by_BEA'!$A$2:$A$74,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IFERROR(INDEX('2_HH_purchases_by_BEA'!$B$2:$B$74, MATCH($A68, '2_HH_purchases_by_BEA'!$A$2:$A$74,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IFERROR(INDEX('2_HH_purchases_by_BEA'!$B$2:$B$74, MATCH($A69, '2_HH_purchases_by_BEA'!$A$2:$A$74,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IFERROR(INDEX('2_HH_purchases_by_BEA'!$B$2:$B$74, MATCH($A70, '2_HH_purchases_by_BEA'!$A$2:$A$74,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IFERROR(INDEX('2_HH_purchases_by_BEA'!$B$2:$B$74, MATCH($A71, '2_HH_purchases_by_BEA'!$A$2:$A$74,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IFERROR(INDEX('2_HH_purchases_by_BEA'!$B$2:$B$74, MATCH($A72, '2_HH_purchases_by_BEA'!$A$2:$A$74,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IFERROR(INDEX('2_HH_purchases_by_BEA'!$B$2:$B$74, MATCH($A73, '2_HH_purchases_by_BEA'!$A$2:$A$74,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IFERROR(INDEX('2_HH_purchases_by_BEA'!$B$2:$B$74, MATCH($A74, '2_HH_purchases_by_BEA'!$A$2:$A$74,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IFERROR(INDEX('2_HH_purchases_by_BEA'!$B$2:$B$74, MATCH($A75, '2_HH_purchases_by_BEA'!$A$2:$A$74,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IFERROR(INDEX('2_HH_purchases_by_BEA'!$B$2:$B$74, MATCH($A76, '2_HH_purchases_by_BEA'!$A$2:$A$74,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IFERROR(INDEX('2_HH_purchases_by_BEA'!$B$2:$B$74, MATCH($A77, '2_HH_purchases_by_BEA'!$A$2:$A$74,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IFERROR(INDEX('2_HH_purchases_by_BEA'!$B$2:$B$74, MATCH($A78, '2_HH_purchases_by_BEA'!$A$2:$A$74,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IFERROR(INDEX('2_HH_purchases_by_BEA'!$B$2:$B$74, MATCH($A79, '2_HH_purchases_by_BEA'!$A$2:$A$74,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IFERROR(INDEX('2_HH_purchases_by_BEA'!$B$2:$B$74, MATCH($A80, '2_HH_purchases_by_BEA'!$A$2:$A$74,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IFERROR(INDEX('2_HH_purchases_by_BEA'!$B$2:$B$74, MATCH($A81, '2_HH_purchases_by_BEA'!$A$2:$A$74,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SUMIFS('7_Calc_HH_ISIC'!$E$3:$E$81, '7_Calc_HH_ISIC'!$B$3:$B$81, $A85)</f>
      </c>
      <c r="C85" t="str">
        <f>B85</f>
      </c>
    </row>
    <row r="86">
      <c r="A86" t="s">
        <v>191</v>
      </c>
      <c r="B86" t="str">
        <f>SUMIFS('7_Calc_HH_ISIC'!$E$3:$E$81, '7_Calc_HH_ISIC'!$B$3:$B$81, $A86)</f>
      </c>
      <c r="C86" t="str">
        <f>B86</f>
      </c>
    </row>
    <row r="87">
      <c r="A87" t="s">
        <v>192</v>
      </c>
      <c r="B87" t="str">
        <f>SUMIFS('7_Calc_HH_ISIC'!$E$3:$E$81, '7_Calc_HH_ISIC'!$B$3:$B$81, $A87)</f>
      </c>
      <c r="C87" t="str">
        <f>B87</f>
      </c>
    </row>
    <row r="88">
      <c r="A88" t="s">
        <v>193</v>
      </c>
      <c r="B88" t="str">
        <f>SUMIFS('7_Calc_HH_ISIC'!$E$3:$E$81, '7_Calc_HH_ISIC'!$B$3:$B$81, $A88)</f>
      </c>
      <c r="C88" t="str">
        <f>B88</f>
      </c>
    </row>
    <row r="89">
      <c r="A89" t="s">
        <v>195</v>
      </c>
      <c r="B89" t="str">
        <f>SUMIFS('7_Calc_HH_ISIC'!$E$3:$E$81, '7_Calc_HH_ISIC'!$B$3:$B$81, $A89)</f>
      </c>
      <c r="C89" t="str">
        <f>B89</f>
      </c>
    </row>
    <row r="90">
      <c r="A90" t="s">
        <v>196</v>
      </c>
      <c r="B90" t="str">
        <f>SUMIFS('7_Calc_HH_ISIC'!$E$3:$E$81, '7_Calc_HH_ISIC'!$B$3:$B$81, $A90)</f>
      </c>
      <c r="C90" t="str">
        <f>B90</f>
      </c>
    </row>
    <row r="91">
      <c r="A91" t="s">
        <v>197</v>
      </c>
      <c r="B91" t="str">
        <f>SUMIFS('7_Calc_HH_ISIC'!$E$3:$E$81, '7_Calc_HH_ISIC'!$B$3:$B$81, $A91)</f>
      </c>
      <c r="C91" t="str">
        <f>B91</f>
      </c>
    </row>
    <row r="92">
      <c r="A92" t="s">
        <v>198</v>
      </c>
      <c r="B92" t="str">
        <f>SUMIFS('7_Calc_HH_ISIC'!$E$3:$E$81, '7_Calc_HH_ISIC'!$B$3:$B$81, $A92)</f>
      </c>
      <c r="C92" t="str">
        <f>B92</f>
      </c>
    </row>
    <row r="93">
      <c r="A93" t="s">
        <v>199</v>
      </c>
      <c r="B93" t="str">
        <f>SUMIFS('7_Calc_HH_ISIC'!$E$3:$E$81, '7_Calc_HH_ISIC'!$B$3:$B$81, $A93)</f>
      </c>
      <c r="C93" t="str">
        <f>B93</f>
      </c>
    </row>
    <row r="94">
      <c r="A94" t="s">
        <v>200</v>
      </c>
      <c r="B94" t="str">
        <f>SUMIFS('7_Calc_HH_ISIC'!$E$3:$E$81, '7_Calc_HH_ISIC'!$B$3:$B$81, $A94)</f>
      </c>
      <c r="C94" t="str">
        <f>B94</f>
      </c>
    </row>
    <row r="95">
      <c r="A95" t="s">
        <v>110</v>
      </c>
      <c r="B95" t="str">
        <f>SUMIFS('7_Calc_HH_ISIC'!$E$3:$E$81, '7_Calc_HH_ISIC'!$B$3:$B$81, $A95)</f>
      </c>
      <c r="C95" t="str">
        <f>B95</f>
      </c>
    </row>
    <row r="96">
      <c r="A96" t="s">
        <v>202</v>
      </c>
      <c r="B96" t="str">
        <f>SUMIFS('7_Calc_HH_ISIC'!$E$3:$E$81, '7_Calc_HH_ISIC'!$B$3:$B$81, $A96)</f>
      </c>
      <c r="C96" t="str">
        <f>B96</f>
      </c>
    </row>
    <row r="97">
      <c r="A97" t="s">
        <v>203</v>
      </c>
      <c r="B97" t="str">
        <f>SUMIFS('7_Calc_HH_ISIC'!$E$3:$E$81, '7_Calc_HH_ISIC'!$B$3:$B$81, $A97)</f>
      </c>
      <c r="C97" t="str">
        <f>B97</f>
      </c>
    </row>
    <row r="98">
      <c r="A98" t="s">
        <v>204</v>
      </c>
      <c r="B98" t="str">
        <f>SUMIFS('7_Calc_HH_ISIC'!$E$3:$E$81, '7_Calc_HH_ISIC'!$B$3:$B$81, $A98)</f>
      </c>
      <c r="C98" t="str">
        <f>B98</f>
      </c>
    </row>
    <row r="99">
      <c r="A99" t="s">
        <v>205</v>
      </c>
      <c r="B99" t="str">
        <f>SUMIFS('7_Calc_HH_ISIC'!$E$3:$E$81, '7_Calc_HH_ISIC'!$B$3:$B$81, $A99)</f>
      </c>
      <c r="C99" t="str">
        <f>B99</f>
      </c>
    </row>
    <row r="100">
      <c r="A100" t="s">
        <v>206</v>
      </c>
      <c r="B100" t="str">
        <f>SUMIFS('7_Calc_HH_ISIC'!$E$3:$E$81, '7_Calc_HH_ISIC'!$B$3:$B$81, $A100)</f>
      </c>
      <c r="C100" t="str">
        <f>B100</f>
      </c>
    </row>
    <row r="101">
      <c r="A101" t="s">
        <v>207</v>
      </c>
      <c r="B101" t="str">
        <f>SUMIFS('7_Calc_HH_ISIC'!$E$3:$E$81, '7_Calc_HH_ISIC'!$B$3:$B$81, $A101)</f>
      </c>
      <c r="C101" t="str">
        <f>B101</f>
      </c>
    </row>
    <row r="102">
      <c r="A102" t="s">
        <v>208</v>
      </c>
      <c r="B102" t="str">
        <f>SUMIFS('7_Calc_HH_ISIC'!$E$3:$E$81, '7_Calc_HH_ISIC'!$B$3:$B$81, $A102)</f>
      </c>
      <c r="C102" t="str">
        <f>B102</f>
      </c>
    </row>
    <row r="103">
      <c r="A103" t="s">
        <v>209</v>
      </c>
      <c r="B103" t="str">
        <f>SUMIFS('7_Calc_HH_ISIC'!$E$3:$E$81, '7_Calc_HH_ISIC'!$B$3:$B$81, $A103)</f>
      </c>
      <c r="C103" t="str">
        <f>B103</f>
      </c>
    </row>
    <row r="104">
      <c r="A104" t="s">
        <v>210</v>
      </c>
      <c r="B104" t="str">
        <f>SUMIFS('7_Calc_HH_ISIC'!$E$3:$E$81, '7_Calc_HH_ISIC'!$B$3:$B$81, $A104)</f>
      </c>
      <c r="C104" t="str">
        <f>B104</f>
      </c>
    </row>
    <row r="105">
      <c r="A105" t="s">
        <v>211</v>
      </c>
      <c r="B105" t="str">
        <f>SUMIFS('7_Calc_HH_ISIC'!$E$3:$E$81, '7_Calc_HH_ISIC'!$B$3:$B$81, $A105)</f>
      </c>
      <c r="C105" t="str">
        <f>B105</f>
      </c>
    </row>
    <row r="106">
      <c r="A106" t="s">
        <v>212</v>
      </c>
      <c r="B106" t="str">
        <f>SUMIFS('7_Calc_HH_ISIC'!$E$3:$E$81, '7_Calc_HH_ISIC'!$B$3:$B$81, $A106)</f>
      </c>
      <c r="C106" t="str">
        <f>B106</f>
      </c>
    </row>
    <row r="107">
      <c r="A107" t="s">
        <v>214</v>
      </c>
      <c r="B107" t="str">
        <f>SUMIFS('7_Calc_HH_ISIC'!$E$3:$E$81, '7_Calc_HH_ISIC'!$B$3:$B$81, $A107)</f>
      </c>
      <c r="C107" t="str">
        <f>B107</f>
      </c>
    </row>
    <row r="108">
      <c r="A108" t="s">
        <v>215</v>
      </c>
      <c r="B108" t="str">
        <f>SUMIFS('7_Calc_HH_ISIC'!$E$3:$E$81, '7_Calc_HH_ISIC'!$B$3:$B$81, $A108)</f>
      </c>
      <c r="C108" t="str">
        <f>B108</f>
      </c>
    </row>
    <row r="109">
      <c r="A109" t="s">
        <v>216</v>
      </c>
      <c r="B109" t="str">
        <f>SUMIFS('7_Calc_HH_ISIC'!$E$3:$E$81, '7_Calc_HH_ISIC'!$B$3:$B$81,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IFERROR(INDEX('3_Intl_purchases_by_BEA'!$B$2:$B$74, MATCH($A3, '3_Intl_purchases_by_BEA'!$A$2:$A$74,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IFERROR(INDEX('3_Intl_purchases_by_BEA'!$B$2:$B$74, MATCH($A4, '3_Intl_purchases_by_BEA'!$A$2:$A$74,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IFERROR(INDEX('3_Intl_purchases_by_BEA'!$B$2:$B$74, MATCH($A5, '3_Intl_purchases_by_BEA'!$A$2:$A$74,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IFERROR(INDEX('3_Intl_purchases_by_BEA'!$B$2:$B$74, MATCH($A6, '3_Intl_purchases_by_BEA'!$A$2:$A$74,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IFERROR(INDEX('3_Intl_purchases_by_BEA'!$B$2:$B$74, MATCH($A7, '3_Intl_purchases_by_BEA'!$A$2:$A$74,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IFERROR(INDEX('3_Intl_purchases_by_BEA'!$B$2:$B$74, MATCH($A8, '3_Intl_purchases_by_BEA'!$A$2:$A$74,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IFERROR(INDEX('3_Intl_purchases_by_BEA'!$B$2:$B$74, MATCH($A9, '3_Intl_purchases_by_BEA'!$A$2:$A$74,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IFERROR(INDEX('3_Intl_purchases_by_BEA'!$B$2:$B$74, MATCH($A10, '3_Intl_purchases_by_BEA'!$A$2:$A$74,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IFERROR(INDEX('3_Intl_purchases_by_BEA'!$B$2:$B$74, MATCH($A11, '3_Intl_purchases_by_BEA'!$A$2:$A$74,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IFERROR(INDEX('3_Intl_purchases_by_BEA'!$B$2:$B$74, MATCH($A12, '3_Intl_purchases_by_BEA'!$A$2:$A$74,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IFERROR(INDEX('3_Intl_purchases_by_BEA'!$B$2:$B$74, MATCH($A13, '3_Intl_purchases_by_BEA'!$A$2:$A$74,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IFERROR(INDEX('3_Intl_purchases_by_BEA'!$B$2:$B$74, MATCH($A14, '3_Intl_purchases_by_BEA'!$A$2:$A$74,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IFERROR(INDEX('3_Intl_purchases_by_BEA'!$B$2:$B$74, MATCH($A15, '3_Intl_purchases_by_BEA'!$A$2:$A$74,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IFERROR(INDEX('3_Intl_purchases_by_BEA'!$B$2:$B$74, MATCH($A16, '3_Intl_purchases_by_BEA'!$A$2:$A$74,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IFERROR(INDEX('3_Intl_purchases_by_BEA'!$B$2:$B$74, MATCH($A17, '3_Intl_purchases_by_BEA'!$A$2:$A$74,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IFERROR(INDEX('3_Intl_purchases_by_BEA'!$B$2:$B$74, MATCH($A18, '3_Intl_purchases_by_BEA'!$A$2:$A$74,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IFERROR(INDEX('3_Intl_purchases_by_BEA'!$B$2:$B$74, MATCH($A19, '3_Intl_purchases_by_BEA'!$A$2:$A$74,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IFERROR(INDEX('3_Intl_purchases_by_BEA'!$B$2:$B$74, MATCH($A20, '3_Intl_purchases_by_BEA'!$A$2:$A$74,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IFERROR(INDEX('3_Intl_purchases_by_BEA'!$B$2:$B$74, MATCH($A21, '3_Intl_purchases_by_BEA'!$A$2:$A$74,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IFERROR(INDEX('3_Intl_purchases_by_BEA'!$B$2:$B$74, MATCH($A22, '3_Intl_purchases_by_BEA'!$A$2:$A$74,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IFERROR(INDEX('3_Intl_purchases_by_BEA'!$B$2:$B$74, MATCH($A23, '3_Intl_purchases_by_BEA'!$A$2:$A$74,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IFERROR(INDEX('3_Intl_purchases_by_BEA'!$B$2:$B$74, MATCH($A24, '3_Intl_purchases_by_BEA'!$A$2:$A$74,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IFERROR(INDEX('3_Intl_purchases_by_BEA'!$B$2:$B$74, MATCH($A25, '3_Intl_purchases_by_BEA'!$A$2:$A$74,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IFERROR(INDEX('3_Intl_purchases_by_BEA'!$B$2:$B$74, MATCH($A26, '3_Intl_purchases_by_BEA'!$A$2:$A$74,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IFERROR(INDEX('3_Intl_purchases_by_BEA'!$B$2:$B$74, MATCH($A27, '3_Intl_purchases_by_BEA'!$A$2:$A$74,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IFERROR(INDEX('3_Intl_purchases_by_BEA'!$B$2:$B$74, MATCH($A28, '3_Intl_purchases_by_BEA'!$A$2:$A$74,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IFERROR(INDEX('3_Intl_purchases_by_BEA'!$B$2:$B$74, MATCH($A29, '3_Intl_purchases_by_BEA'!$A$2:$A$74,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IFERROR(INDEX('3_Intl_purchases_by_BEA'!$B$2:$B$74, MATCH($A30, '3_Intl_purchases_by_BEA'!$A$2:$A$74,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IFERROR(INDEX('3_Intl_purchases_by_BEA'!$B$2:$B$74, MATCH($A31, '3_Intl_purchases_by_BEA'!$A$2:$A$74,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IFERROR(INDEX('3_Intl_purchases_by_BEA'!$B$2:$B$74, MATCH($A32, '3_Intl_purchases_by_BEA'!$A$2:$A$74,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IFERROR(INDEX('3_Intl_purchases_by_BEA'!$B$2:$B$74, MATCH($A33, '3_Intl_purchases_by_BEA'!$A$2:$A$74,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IFERROR(INDEX('3_Intl_purchases_by_BEA'!$B$2:$B$74, MATCH($A34, '3_Intl_purchases_by_BEA'!$A$2:$A$74,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IFERROR(INDEX('3_Intl_purchases_by_BEA'!$B$2:$B$74, MATCH($A35, '3_Intl_purchases_by_BEA'!$A$2:$A$74,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IFERROR(INDEX('3_Intl_purchases_by_BEA'!$B$2:$B$74, MATCH($A36, '3_Intl_purchases_by_BEA'!$A$2:$A$74,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IFERROR(INDEX('3_Intl_purchases_by_BEA'!$B$2:$B$74, MATCH($A37, '3_Intl_purchases_by_BEA'!$A$2:$A$74,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IFERROR(INDEX('3_Intl_purchases_by_BEA'!$B$2:$B$74, MATCH($A38, '3_Intl_purchases_by_BEA'!$A$2:$A$74,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IFERROR(INDEX('3_Intl_purchases_by_BEA'!$B$2:$B$74, MATCH($A39, '3_Intl_purchases_by_BEA'!$A$2:$A$74,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IFERROR(INDEX('3_Intl_purchases_by_BEA'!$B$2:$B$74, MATCH($A40, '3_Intl_purchases_by_BEA'!$A$2:$A$74,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IFERROR(INDEX('3_Intl_purchases_by_BEA'!$B$2:$B$74, MATCH($A41, '3_Intl_purchases_by_BEA'!$A$2:$A$74,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IFERROR(INDEX('3_Intl_purchases_by_BEA'!$B$2:$B$74, MATCH($A42, '3_Intl_purchases_by_BEA'!$A$2:$A$74,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IFERROR(INDEX('3_Intl_purchases_by_BEA'!$B$2:$B$74, MATCH($A43, '3_Intl_purchases_by_BEA'!$A$2:$A$74,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IFERROR(INDEX('3_Intl_purchases_by_BEA'!$B$2:$B$74, MATCH($A44, '3_Intl_purchases_by_BEA'!$A$2:$A$74,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IFERROR(INDEX('3_Intl_purchases_by_BEA'!$B$2:$B$74, MATCH($A45, '3_Intl_purchases_by_BEA'!$A$2:$A$74,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IFERROR(INDEX('3_Intl_purchases_by_BEA'!$B$2:$B$74, MATCH($A46, '3_Intl_purchases_by_BEA'!$A$2:$A$74,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IFERROR(INDEX('3_Intl_purchases_by_BEA'!$B$2:$B$74, MATCH($A47, '3_Intl_purchases_by_BEA'!$A$2:$A$74,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IFERROR(INDEX('3_Intl_purchases_by_BEA'!$B$2:$B$74, MATCH($A48, '3_Intl_purchases_by_BEA'!$A$2:$A$74,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IFERROR(INDEX('3_Intl_purchases_by_BEA'!$B$2:$B$74, MATCH($A49, '3_Intl_purchases_by_BEA'!$A$2:$A$74,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IFERROR(INDEX('3_Intl_purchases_by_BEA'!$B$2:$B$74, MATCH($A50, '3_Intl_purchases_by_BEA'!$A$2:$A$74,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IFERROR(INDEX('3_Intl_purchases_by_BEA'!$B$2:$B$74, MATCH($A51, '3_Intl_purchases_by_BEA'!$A$2:$A$74,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IFERROR(INDEX('3_Intl_purchases_by_BEA'!$B$2:$B$74, MATCH($A52, '3_Intl_purchases_by_BEA'!$A$2:$A$74,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IFERROR(INDEX('3_Intl_purchases_by_BEA'!$B$2:$B$74, MATCH($A53, '3_Intl_purchases_by_BEA'!$A$2:$A$74,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IFERROR(INDEX('3_Intl_purchases_by_BEA'!$B$2:$B$74, MATCH($A54, '3_Intl_purchases_by_BEA'!$A$2:$A$74,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IFERROR(INDEX('3_Intl_purchases_by_BEA'!$B$2:$B$74, MATCH($A55, '3_Intl_purchases_by_BEA'!$A$2:$A$74,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IFERROR(INDEX('3_Intl_purchases_by_BEA'!$B$2:$B$74, MATCH($A56, '3_Intl_purchases_by_BEA'!$A$2:$A$74,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IFERROR(INDEX('3_Intl_purchases_by_BEA'!$B$2:$B$74, MATCH($A57, '3_Intl_purchases_by_BEA'!$A$2:$A$74,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IFERROR(INDEX('3_Intl_purchases_by_BEA'!$B$2:$B$74, MATCH($A58, '3_Intl_purchases_by_BEA'!$A$2:$A$74,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IFERROR(INDEX('3_Intl_purchases_by_BEA'!$B$2:$B$74, MATCH($A59, '3_Intl_purchases_by_BEA'!$A$2:$A$74,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IFERROR(INDEX('3_Intl_purchases_by_BEA'!$B$2:$B$74, MATCH($A60, '3_Intl_purchases_by_BEA'!$A$2:$A$74,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IFERROR(INDEX('3_Intl_purchases_by_BEA'!$B$2:$B$74, MATCH($A61, '3_Intl_purchases_by_BEA'!$A$2:$A$74,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IFERROR(INDEX('3_Intl_purchases_by_BEA'!$B$2:$B$74, MATCH($A62, '3_Intl_purchases_by_BEA'!$A$2:$A$74,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IFERROR(INDEX('3_Intl_purchases_by_BEA'!$B$2:$B$74, MATCH($A63, '3_Intl_purchases_by_BEA'!$A$2:$A$74,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IFERROR(INDEX('3_Intl_purchases_by_BEA'!$B$2:$B$74, MATCH($A64, '3_Intl_purchases_by_BEA'!$A$2:$A$74,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IFERROR(INDEX('3_Intl_purchases_by_BEA'!$B$2:$B$74, MATCH($A65, '3_Intl_purchases_by_BEA'!$A$2:$A$74,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IFERROR(INDEX('3_Intl_purchases_by_BEA'!$B$2:$B$74, MATCH($A66, '3_Intl_purchases_by_BEA'!$A$2:$A$74,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IFERROR(INDEX('3_Intl_purchases_by_BEA'!$B$2:$B$74, MATCH($A67, '3_Intl_purchases_by_BEA'!$A$2:$A$74,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IFERROR(INDEX('3_Intl_purchases_by_BEA'!$B$2:$B$74, MATCH($A68, '3_Intl_purchases_by_BEA'!$A$2:$A$74,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IFERROR(INDEX('3_Intl_purchases_by_BEA'!$B$2:$B$74, MATCH($A69, '3_Intl_purchases_by_BEA'!$A$2:$A$74,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IFERROR(INDEX('3_Intl_purchases_by_BEA'!$B$2:$B$74, MATCH($A70, '3_Intl_purchases_by_BEA'!$A$2:$A$74,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IFERROR(INDEX('3_Intl_purchases_by_BEA'!$B$2:$B$74, MATCH($A71, '3_Intl_purchases_by_BEA'!$A$2:$A$74,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IFERROR(INDEX('3_Intl_purchases_by_BEA'!$B$2:$B$74, MATCH($A72, '3_Intl_purchases_by_BEA'!$A$2:$A$74,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IFERROR(INDEX('3_Intl_purchases_by_BEA'!$B$2:$B$74, MATCH($A73, '3_Intl_purchases_by_BEA'!$A$2:$A$74,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IFERROR(INDEX('3_Intl_purchases_by_BEA'!$B$2:$B$74, MATCH($A74, '3_Intl_purchases_by_BEA'!$A$2:$A$74,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IFERROR(INDEX('3_Intl_purchases_by_BEA'!$B$2:$B$74, MATCH($A75, '3_Intl_purchases_by_BEA'!$A$2:$A$74,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IFERROR(INDEX('3_Intl_purchases_by_BEA'!$B$2:$B$74, MATCH($A76, '3_Intl_purchases_by_BEA'!$A$2:$A$74,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IFERROR(INDEX('3_Intl_purchases_by_BEA'!$B$2:$B$74, MATCH($A77, '3_Intl_purchases_by_BEA'!$A$2:$A$74,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IFERROR(INDEX('3_Intl_purchases_by_BEA'!$B$2:$B$74, MATCH($A78, '3_Intl_purchases_by_BEA'!$A$2:$A$74,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IFERROR(INDEX('3_Intl_purchases_by_BEA'!$B$2:$B$74, MATCH($A79, '3_Intl_purchases_by_BEA'!$A$2:$A$74,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IFERROR(INDEX('3_Intl_purchases_by_BEA'!$B$2:$B$74, MATCH($A80, '3_Intl_purchases_by_BEA'!$A$2:$A$74,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IFERROR(INDEX('3_Intl_purchases_by_BEA'!$B$2:$B$74, MATCH($A81, '3_Intl_purchases_by_BEA'!$A$2:$A$74,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SUMIFS('8_Calc_Intl_ISIC'!$E$3:$E$81, '8_Calc_Intl_ISIC'!$B$3:$B$81, $A85)</f>
      </c>
      <c r="C85" t="str">
        <f>B85</f>
      </c>
    </row>
    <row r="86">
      <c r="A86" t="s">
        <v>191</v>
      </c>
      <c r="B86" t="str">
        <f>SUMIFS('8_Calc_Intl_ISIC'!$E$3:$E$81, '8_Calc_Intl_ISIC'!$B$3:$B$81, $A86)</f>
      </c>
      <c r="C86" t="str">
        <f>B86</f>
      </c>
    </row>
    <row r="87">
      <c r="A87" t="s">
        <v>192</v>
      </c>
      <c r="B87" t="str">
        <f>SUMIFS('8_Calc_Intl_ISIC'!$E$3:$E$81, '8_Calc_Intl_ISIC'!$B$3:$B$81, $A87)</f>
      </c>
      <c r="C87" t="str">
        <f>B87</f>
      </c>
    </row>
    <row r="88">
      <c r="A88" t="s">
        <v>193</v>
      </c>
      <c r="B88" t="str">
        <f>SUMIFS('8_Calc_Intl_ISIC'!$E$3:$E$81, '8_Calc_Intl_ISIC'!$B$3:$B$81, $A88)</f>
      </c>
      <c r="C88" t="str">
        <f>B88</f>
      </c>
    </row>
    <row r="89">
      <c r="A89" t="s">
        <v>195</v>
      </c>
      <c r="B89" t="str">
        <f>SUMIFS('8_Calc_Intl_ISIC'!$E$3:$E$81, '8_Calc_Intl_ISIC'!$B$3:$B$81, $A89)</f>
      </c>
      <c r="C89" t="str">
        <f>B89</f>
      </c>
    </row>
    <row r="90">
      <c r="A90" t="s">
        <v>196</v>
      </c>
      <c r="B90" t="str">
        <f>SUMIFS('8_Calc_Intl_ISIC'!$E$3:$E$81, '8_Calc_Intl_ISIC'!$B$3:$B$81, $A90)</f>
      </c>
      <c r="C90" t="str">
        <f>B90</f>
      </c>
    </row>
    <row r="91">
      <c r="A91" t="s">
        <v>197</v>
      </c>
      <c r="B91" t="str">
        <f>SUMIFS('8_Calc_Intl_ISIC'!$E$3:$E$81, '8_Calc_Intl_ISIC'!$B$3:$B$81, $A91)</f>
      </c>
      <c r="C91" t="str">
        <f>B91</f>
      </c>
    </row>
    <row r="92">
      <c r="A92" t="s">
        <v>198</v>
      </c>
      <c r="B92" t="str">
        <f>SUMIFS('8_Calc_Intl_ISIC'!$E$3:$E$81, '8_Calc_Intl_ISIC'!$B$3:$B$81, $A92)</f>
      </c>
      <c r="C92" t="str">
        <f>B92</f>
      </c>
    </row>
    <row r="93">
      <c r="A93" t="s">
        <v>199</v>
      </c>
      <c r="B93" t="str">
        <f>SUMIFS('8_Calc_Intl_ISIC'!$E$3:$E$81, '8_Calc_Intl_ISIC'!$B$3:$B$81, $A93)</f>
      </c>
      <c r="C93" t="str">
        <f>B93</f>
      </c>
    </row>
    <row r="94">
      <c r="A94" t="s">
        <v>200</v>
      </c>
      <c r="B94" t="str">
        <f>SUMIFS('8_Calc_Intl_ISIC'!$E$3:$E$81, '8_Calc_Intl_ISIC'!$B$3:$B$81, $A94)</f>
      </c>
      <c r="C94" t="str">
        <f>B94</f>
      </c>
    </row>
    <row r="95">
      <c r="A95" t="s">
        <v>110</v>
      </c>
      <c r="B95" t="str">
        <f>SUMIFS('8_Calc_Intl_ISIC'!$E$3:$E$81, '8_Calc_Intl_ISIC'!$B$3:$B$81, $A95)</f>
      </c>
      <c r="C95" t="str">
        <f>B95</f>
      </c>
    </row>
    <row r="96">
      <c r="A96" t="s">
        <v>202</v>
      </c>
      <c r="B96" t="str">
        <f>SUMIFS('8_Calc_Intl_ISIC'!$E$3:$E$81, '8_Calc_Intl_ISIC'!$B$3:$B$81, $A96)</f>
      </c>
      <c r="C96" t="str">
        <f>B96</f>
      </c>
    </row>
    <row r="97">
      <c r="A97" t="s">
        <v>203</v>
      </c>
      <c r="B97" t="str">
        <f>SUMIFS('8_Calc_Intl_ISIC'!$E$3:$E$81, '8_Calc_Intl_ISIC'!$B$3:$B$81, $A97)</f>
      </c>
      <c r="C97" t="str">
        <f>B97</f>
      </c>
    </row>
    <row r="98">
      <c r="A98" t="s">
        <v>204</v>
      </c>
      <c r="B98" t="str">
        <f>SUMIFS('8_Calc_Intl_ISIC'!$E$3:$E$81, '8_Calc_Intl_ISIC'!$B$3:$B$81, $A98)</f>
      </c>
      <c r="C98" t="str">
        <f>B98</f>
      </c>
    </row>
    <row r="99">
      <c r="A99" t="s">
        <v>205</v>
      </c>
      <c r="B99" t="str">
        <f>SUMIFS('8_Calc_Intl_ISIC'!$E$3:$E$81, '8_Calc_Intl_ISIC'!$B$3:$B$81, $A99)</f>
      </c>
      <c r="C99" t="str">
        <f>B99</f>
      </c>
    </row>
    <row r="100">
      <c r="A100" t="s">
        <v>206</v>
      </c>
      <c r="B100" t="str">
        <f>SUMIFS('8_Calc_Intl_ISIC'!$E$3:$E$81, '8_Calc_Intl_ISIC'!$B$3:$B$81, $A100)</f>
      </c>
      <c r="C100" t="str">
        <f>B100</f>
      </c>
    </row>
    <row r="101">
      <c r="A101" t="s">
        <v>207</v>
      </c>
      <c r="B101" t="str">
        <f>SUMIFS('8_Calc_Intl_ISIC'!$E$3:$E$81, '8_Calc_Intl_ISIC'!$B$3:$B$81, $A101)</f>
      </c>
      <c r="C101" t="str">
        <f>B101</f>
      </c>
    </row>
    <row r="102">
      <c r="A102" t="s">
        <v>208</v>
      </c>
      <c r="B102" t="str">
        <f>SUMIFS('8_Calc_Intl_ISIC'!$E$3:$E$81, '8_Calc_Intl_ISIC'!$B$3:$B$81, $A102)</f>
      </c>
      <c r="C102" t="str">
        <f>B102</f>
      </c>
    </row>
    <row r="103">
      <c r="A103" t="s">
        <v>209</v>
      </c>
      <c r="B103" t="str">
        <f>SUMIFS('8_Calc_Intl_ISIC'!$E$3:$E$81, '8_Calc_Intl_ISIC'!$B$3:$B$81, $A103)</f>
      </c>
      <c r="C103" t="str">
        <f>B103</f>
      </c>
    </row>
    <row r="104">
      <c r="A104" t="s">
        <v>210</v>
      </c>
      <c r="B104" t="str">
        <f>SUMIFS('8_Calc_Intl_ISIC'!$E$3:$E$81, '8_Calc_Intl_ISIC'!$B$3:$B$81, $A104)</f>
      </c>
      <c r="C104" t="str">
        <f>B104</f>
      </c>
    </row>
    <row r="105">
      <c r="A105" t="s">
        <v>211</v>
      </c>
      <c r="B105" t="str">
        <f>SUMIFS('8_Calc_Intl_ISIC'!$E$3:$E$81, '8_Calc_Intl_ISIC'!$B$3:$B$81, $A105)</f>
      </c>
      <c r="C105" t="str">
        <f>B105</f>
      </c>
    </row>
    <row r="106">
      <c r="A106" t="s">
        <v>212</v>
      </c>
      <c r="B106" t="str">
        <f>SUMIFS('8_Calc_Intl_ISIC'!$E$3:$E$81, '8_Calc_Intl_ISIC'!$B$3:$B$81, $A106)</f>
      </c>
      <c r="C106" t="str">
        <f>B106</f>
      </c>
    </row>
    <row r="107">
      <c r="A107" t="s">
        <v>214</v>
      </c>
      <c r="B107" t="str">
        <f>SUMIFS('8_Calc_Intl_ISIC'!$E$3:$E$81, '8_Calc_Intl_ISIC'!$B$3:$B$81, $A107)</f>
      </c>
      <c r="C107" t="str">
        <f>B107</f>
      </c>
    </row>
    <row r="108">
      <c r="A108" t="s">
        <v>215</v>
      </c>
      <c r="B108" t="str">
        <f>SUMIFS('8_Calc_Intl_ISIC'!$E$3:$E$81, '8_Calc_Intl_ISIC'!$B$3:$B$81, $A108)</f>
      </c>
      <c r="C108" t="str">
        <f>B108</f>
      </c>
    </row>
    <row r="109">
      <c r="A109" t="s">
        <v>216</v>
      </c>
      <c r="B109" t="str">
        <f>SUMIFS('8_Calc_Intl_ISIC'!$E$3:$E$81, '8_Calc_Intl_ISIC'!$B$3:$B$81,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6.71" hidden="0" customWidth="1"/>
    <col min="3" max="3" width="18.71" hidden="0" customWidth="1"/>
    <col min="4" max="4" width="20.71" hidden="0" customWidth="1"/>
    <col min="5" max="5" width="20.71" hidden="0" customWidth="1"/>
  </cols>
  <sheetData>
    <row r="1">
      <c r="A1" t="s">
        <v>576</v>
      </c>
    </row>
    <row r="2">
      <c r="A2" t="s">
        <v>363</v>
      </c>
      <c r="B2" t="s">
        <v>188</v>
      </c>
      <c r="C2" t="s">
        <v>366</v>
      </c>
      <c r="D2" t="s">
        <v>577</v>
      </c>
      <c r="E2" t="s">
        <v>578</v>
      </c>
    </row>
    <row r="3">
      <c r="A3" t="str">
        <f>'Crosswalk_BEA_to_ISIC'!A9</f>
      </c>
      <c r="B3" t="str">
        <f>'Crosswalk_BEA_to_ISIC'!C9</f>
      </c>
      <c r="C3" t="str">
        <f>'Crosswalk_BEA_to_ISIC'!E9</f>
      </c>
      <c r="D3" t="str">
        <f>IFERROR(INDEX('5_Total_purchases_by_BEA'!$B$2:$B$74, MATCH($A3, '5_Total_purchases_by_BEA'!$A$2:$A$74, 0)), 0)</f>
      </c>
      <c r="E3" t="str">
        <f>C3*D3</f>
      </c>
    </row>
    <row r="4">
      <c r="A4" t="str">
        <f>'Crosswalk_BEA_to_ISIC'!A10</f>
      </c>
      <c r="B4" t="str">
        <f>'Crosswalk_BEA_to_ISIC'!C10</f>
      </c>
      <c r="C4" t="str">
        <f>'Crosswalk_BEA_to_ISIC'!E10</f>
      </c>
      <c r="D4" t="str">
        <f>IFERROR(INDEX('5_Total_purchases_by_BEA'!$B$2:$B$74, MATCH($A4, '5_Total_purchases_by_BEA'!$A$2:$A$74, 0)), 0)</f>
      </c>
      <c r="E4" t="str">
        <f>C4*D4</f>
      </c>
    </row>
    <row r="5">
      <c r="A5" t="str">
        <f>'Crosswalk_BEA_to_ISIC'!A11</f>
      </c>
      <c r="B5" t="str">
        <f>'Crosswalk_BEA_to_ISIC'!C11</f>
      </c>
      <c r="C5" t="str">
        <f>'Crosswalk_BEA_to_ISIC'!E11</f>
      </c>
      <c r="D5" t="str">
        <f>IFERROR(INDEX('5_Total_purchases_by_BEA'!$B$2:$B$74, MATCH($A5, '5_Total_purchases_by_BEA'!$A$2:$A$74, 0)), 0)</f>
      </c>
      <c r="E5" t="str">
        <f>C5*D5</f>
      </c>
    </row>
    <row r="6">
      <c r="A6" t="str">
        <f>'Crosswalk_BEA_to_ISIC'!A12</f>
      </c>
      <c r="B6" t="str">
        <f>'Crosswalk_BEA_to_ISIC'!C12</f>
      </c>
      <c r="C6" t="str">
        <f>'Crosswalk_BEA_to_ISIC'!E12</f>
      </c>
      <c r="D6" t="str">
        <f>IFERROR(INDEX('5_Total_purchases_by_BEA'!$B$2:$B$74, MATCH($A6, '5_Total_purchases_by_BEA'!$A$2:$A$74, 0)), 0)</f>
      </c>
      <c r="E6" t="str">
        <f>C6*D6</f>
      </c>
    </row>
    <row r="7">
      <c r="A7" t="str">
        <f>'Crosswalk_BEA_to_ISIC'!A13</f>
      </c>
      <c r="B7" t="str">
        <f>'Crosswalk_BEA_to_ISIC'!C13</f>
      </c>
      <c r="C7" t="str">
        <f>'Crosswalk_BEA_to_ISIC'!E13</f>
      </c>
      <c r="D7" t="str">
        <f>IFERROR(INDEX('5_Total_purchases_by_BEA'!$B$2:$B$74, MATCH($A7, '5_Total_purchases_by_BEA'!$A$2:$A$74, 0)), 0)</f>
      </c>
      <c r="E7" t="str">
        <f>C7*D7</f>
      </c>
    </row>
    <row r="8">
      <c r="A8" t="str">
        <f>'Crosswalk_BEA_to_ISIC'!A14</f>
      </c>
      <c r="B8" t="str">
        <f>'Crosswalk_BEA_to_ISIC'!C14</f>
      </c>
      <c r="C8" t="str">
        <f>'Crosswalk_BEA_to_ISIC'!E14</f>
      </c>
      <c r="D8" t="str">
        <f>IFERROR(INDEX('5_Total_purchases_by_BEA'!$B$2:$B$74, MATCH($A8, '5_Total_purchases_by_BEA'!$A$2:$A$74, 0)), 0)</f>
      </c>
      <c r="E8" t="str">
        <f>C8*D8</f>
      </c>
    </row>
    <row r="9">
      <c r="A9" t="str">
        <f>'Crosswalk_BEA_to_ISIC'!A15</f>
      </c>
      <c r="B9" t="str">
        <f>'Crosswalk_BEA_to_ISIC'!C15</f>
      </c>
      <c r="C9" t="str">
        <f>'Crosswalk_BEA_to_ISIC'!E15</f>
      </c>
      <c r="D9" t="str">
        <f>IFERROR(INDEX('5_Total_purchases_by_BEA'!$B$2:$B$74, MATCH($A9, '5_Total_purchases_by_BEA'!$A$2:$A$74, 0)), 0)</f>
      </c>
      <c r="E9" t="str">
        <f>C9*D9</f>
      </c>
    </row>
    <row r="10">
      <c r="A10" t="str">
        <f>'Crosswalk_BEA_to_ISIC'!A16</f>
      </c>
      <c r="B10" t="str">
        <f>'Crosswalk_BEA_to_ISIC'!C16</f>
      </c>
      <c r="C10" t="str">
        <f>'Crosswalk_BEA_to_ISIC'!E16</f>
      </c>
      <c r="D10" t="str">
        <f>IFERROR(INDEX('5_Total_purchases_by_BEA'!$B$2:$B$74, MATCH($A10, '5_Total_purchases_by_BEA'!$A$2:$A$74, 0)), 0)</f>
      </c>
      <c r="E10" t="str">
        <f>C10*D10</f>
      </c>
    </row>
    <row r="11">
      <c r="A11" t="str">
        <f>'Crosswalk_BEA_to_ISIC'!A17</f>
      </c>
      <c r="B11" t="str">
        <f>'Crosswalk_BEA_to_ISIC'!C17</f>
      </c>
      <c r="C11" t="str">
        <f>'Crosswalk_BEA_to_ISIC'!E17</f>
      </c>
      <c r="D11" t="str">
        <f>IFERROR(INDEX('5_Total_purchases_by_BEA'!$B$2:$B$74, MATCH($A11, '5_Total_purchases_by_BEA'!$A$2:$A$74, 0)), 0)</f>
      </c>
      <c r="E11" t="str">
        <f>C11*D11</f>
      </c>
    </row>
    <row r="12">
      <c r="A12" t="str">
        <f>'Crosswalk_BEA_to_ISIC'!A18</f>
      </c>
      <c r="B12" t="str">
        <f>'Crosswalk_BEA_to_ISIC'!C18</f>
      </c>
      <c r="C12" t="str">
        <f>'Crosswalk_BEA_to_ISIC'!E18</f>
      </c>
      <c r="D12" t="str">
        <f>IFERROR(INDEX('5_Total_purchases_by_BEA'!$B$2:$B$74, MATCH($A12, '5_Total_purchases_by_BEA'!$A$2:$A$74, 0)), 0)</f>
      </c>
      <c r="E12" t="str">
        <f>C12*D12</f>
      </c>
    </row>
    <row r="13">
      <c r="A13" t="str">
        <f>'Crosswalk_BEA_to_ISIC'!A19</f>
      </c>
      <c r="B13" t="str">
        <f>'Crosswalk_BEA_to_ISIC'!C19</f>
      </c>
      <c r="C13" t="str">
        <f>'Crosswalk_BEA_to_ISIC'!E19</f>
      </c>
      <c r="D13" t="str">
        <f>IFERROR(INDEX('5_Total_purchases_by_BEA'!$B$2:$B$74, MATCH($A13, '5_Total_purchases_by_BEA'!$A$2:$A$74, 0)), 0)</f>
      </c>
      <c r="E13" t="str">
        <f>C13*D13</f>
      </c>
    </row>
    <row r="14">
      <c r="A14" t="str">
        <f>'Crosswalk_BEA_to_ISIC'!A20</f>
      </c>
      <c r="B14" t="str">
        <f>'Crosswalk_BEA_to_ISIC'!C20</f>
      </c>
      <c r="C14" t="str">
        <f>'Crosswalk_BEA_to_ISIC'!E20</f>
      </c>
      <c r="D14" t="str">
        <f>IFERROR(INDEX('5_Total_purchases_by_BEA'!$B$2:$B$74, MATCH($A14, '5_Total_purchases_by_BEA'!$A$2:$A$74, 0)), 0)</f>
      </c>
      <c r="E14" t="str">
        <f>C14*D14</f>
      </c>
    </row>
    <row r="15">
      <c r="A15" t="str">
        <f>'Crosswalk_BEA_to_ISIC'!A21</f>
      </c>
      <c r="B15" t="str">
        <f>'Crosswalk_BEA_to_ISIC'!C21</f>
      </c>
      <c r="C15" t="str">
        <f>'Crosswalk_BEA_to_ISIC'!E21</f>
      </c>
      <c r="D15" t="str">
        <f>IFERROR(INDEX('5_Total_purchases_by_BEA'!$B$2:$B$74, MATCH($A15, '5_Total_purchases_by_BEA'!$A$2:$A$74, 0)), 0)</f>
      </c>
      <c r="E15" t="str">
        <f>C15*D15</f>
      </c>
    </row>
    <row r="16">
      <c r="A16" t="str">
        <f>'Crosswalk_BEA_to_ISIC'!A22</f>
      </c>
      <c r="B16" t="str">
        <f>'Crosswalk_BEA_to_ISIC'!C22</f>
      </c>
      <c r="C16" t="str">
        <f>'Crosswalk_BEA_to_ISIC'!E22</f>
      </c>
      <c r="D16" t="str">
        <f>IFERROR(INDEX('5_Total_purchases_by_BEA'!$B$2:$B$74, MATCH($A16, '5_Total_purchases_by_BEA'!$A$2:$A$74, 0)), 0)</f>
      </c>
      <c r="E16" t="str">
        <f>C16*D16</f>
      </c>
    </row>
    <row r="17">
      <c r="A17" t="str">
        <f>'Crosswalk_BEA_to_ISIC'!A23</f>
      </c>
      <c r="B17" t="str">
        <f>'Crosswalk_BEA_to_ISIC'!C23</f>
      </c>
      <c r="C17" t="str">
        <f>'Crosswalk_BEA_to_ISIC'!E23</f>
      </c>
      <c r="D17" t="str">
        <f>IFERROR(INDEX('5_Total_purchases_by_BEA'!$B$2:$B$74, MATCH($A17, '5_Total_purchases_by_BEA'!$A$2:$A$74, 0)), 0)</f>
      </c>
      <c r="E17" t="str">
        <f>C17*D17</f>
      </c>
    </row>
    <row r="18">
      <c r="A18" t="str">
        <f>'Crosswalk_BEA_to_ISIC'!A24</f>
      </c>
      <c r="B18" t="str">
        <f>'Crosswalk_BEA_to_ISIC'!C24</f>
      </c>
      <c r="C18" t="str">
        <f>'Crosswalk_BEA_to_ISIC'!E24</f>
      </c>
      <c r="D18" t="str">
        <f>IFERROR(INDEX('5_Total_purchases_by_BEA'!$B$2:$B$74, MATCH($A18, '5_Total_purchases_by_BEA'!$A$2:$A$74, 0)), 0)</f>
      </c>
      <c r="E18" t="str">
        <f>C18*D18</f>
      </c>
    </row>
    <row r="19">
      <c r="A19" t="str">
        <f>'Crosswalk_BEA_to_ISIC'!A25</f>
      </c>
      <c r="B19" t="str">
        <f>'Crosswalk_BEA_to_ISIC'!C25</f>
      </c>
      <c r="C19" t="str">
        <f>'Crosswalk_BEA_to_ISIC'!E25</f>
      </c>
      <c r="D19" t="str">
        <f>IFERROR(INDEX('5_Total_purchases_by_BEA'!$B$2:$B$74, MATCH($A19, '5_Total_purchases_by_BEA'!$A$2:$A$74, 0)), 0)</f>
      </c>
      <c r="E19" t="str">
        <f>C19*D19</f>
      </c>
    </row>
    <row r="20">
      <c r="A20" t="str">
        <f>'Crosswalk_BEA_to_ISIC'!A26</f>
      </c>
      <c r="B20" t="str">
        <f>'Crosswalk_BEA_to_ISIC'!C26</f>
      </c>
      <c r="C20" t="str">
        <f>'Crosswalk_BEA_to_ISIC'!E26</f>
      </c>
      <c r="D20" t="str">
        <f>IFERROR(INDEX('5_Total_purchases_by_BEA'!$B$2:$B$74, MATCH($A20, '5_Total_purchases_by_BEA'!$A$2:$A$74, 0)), 0)</f>
      </c>
      <c r="E20" t="str">
        <f>C20*D20</f>
      </c>
    </row>
    <row r="21">
      <c r="A21" t="str">
        <f>'Crosswalk_BEA_to_ISIC'!A27</f>
      </c>
      <c r="B21" t="str">
        <f>'Crosswalk_BEA_to_ISIC'!C27</f>
      </c>
      <c r="C21" t="str">
        <f>'Crosswalk_BEA_to_ISIC'!E27</f>
      </c>
      <c r="D21" t="str">
        <f>IFERROR(INDEX('5_Total_purchases_by_BEA'!$B$2:$B$74, MATCH($A21, '5_Total_purchases_by_BEA'!$A$2:$A$74, 0)), 0)</f>
      </c>
      <c r="E21" t="str">
        <f>C21*D21</f>
      </c>
    </row>
    <row r="22">
      <c r="A22" t="str">
        <f>'Crosswalk_BEA_to_ISIC'!A28</f>
      </c>
      <c r="B22" t="str">
        <f>'Crosswalk_BEA_to_ISIC'!C28</f>
      </c>
      <c r="C22" t="str">
        <f>'Crosswalk_BEA_to_ISIC'!E28</f>
      </c>
      <c r="D22" t="str">
        <f>IFERROR(INDEX('5_Total_purchases_by_BEA'!$B$2:$B$74, MATCH($A22, '5_Total_purchases_by_BEA'!$A$2:$A$74, 0)), 0)</f>
      </c>
      <c r="E22" t="str">
        <f>C22*D22</f>
      </c>
    </row>
    <row r="23">
      <c r="A23" t="str">
        <f>'Crosswalk_BEA_to_ISIC'!A29</f>
      </c>
      <c r="B23" t="str">
        <f>'Crosswalk_BEA_to_ISIC'!C29</f>
      </c>
      <c r="C23" t="str">
        <f>'Crosswalk_BEA_to_ISIC'!E29</f>
      </c>
      <c r="D23" t="str">
        <f>IFERROR(INDEX('5_Total_purchases_by_BEA'!$B$2:$B$74, MATCH($A23, '5_Total_purchases_by_BEA'!$A$2:$A$74, 0)), 0)</f>
      </c>
      <c r="E23" t="str">
        <f>C23*D23</f>
      </c>
    </row>
    <row r="24">
      <c r="A24" t="str">
        <f>'Crosswalk_BEA_to_ISIC'!A30</f>
      </c>
      <c r="B24" t="str">
        <f>'Crosswalk_BEA_to_ISIC'!C30</f>
      </c>
      <c r="C24" t="str">
        <f>'Crosswalk_BEA_to_ISIC'!E30</f>
      </c>
      <c r="D24" t="str">
        <f>IFERROR(INDEX('5_Total_purchases_by_BEA'!$B$2:$B$74, MATCH($A24, '5_Total_purchases_by_BEA'!$A$2:$A$74, 0)), 0)</f>
      </c>
      <c r="E24" t="str">
        <f>C24*D24</f>
      </c>
    </row>
    <row r="25">
      <c r="A25" t="str">
        <f>'Crosswalk_BEA_to_ISIC'!A31</f>
      </c>
      <c r="B25" t="str">
        <f>'Crosswalk_BEA_to_ISIC'!C31</f>
      </c>
      <c r="C25" t="str">
        <f>'Crosswalk_BEA_to_ISIC'!E31</f>
      </c>
      <c r="D25" t="str">
        <f>IFERROR(INDEX('5_Total_purchases_by_BEA'!$B$2:$B$74, MATCH($A25, '5_Total_purchases_by_BEA'!$A$2:$A$74, 0)), 0)</f>
      </c>
      <c r="E25" t="str">
        <f>C25*D25</f>
      </c>
    </row>
    <row r="26">
      <c r="A26" t="str">
        <f>'Crosswalk_BEA_to_ISIC'!A32</f>
      </c>
      <c r="B26" t="str">
        <f>'Crosswalk_BEA_to_ISIC'!C32</f>
      </c>
      <c r="C26" t="str">
        <f>'Crosswalk_BEA_to_ISIC'!E32</f>
      </c>
      <c r="D26" t="str">
        <f>IFERROR(INDEX('5_Total_purchases_by_BEA'!$B$2:$B$74, MATCH($A26, '5_Total_purchases_by_BEA'!$A$2:$A$74, 0)), 0)</f>
      </c>
      <c r="E26" t="str">
        <f>C26*D26</f>
      </c>
    </row>
    <row r="27">
      <c r="A27" t="str">
        <f>'Crosswalk_BEA_to_ISIC'!A33</f>
      </c>
      <c r="B27" t="str">
        <f>'Crosswalk_BEA_to_ISIC'!C33</f>
      </c>
      <c r="C27" t="str">
        <f>'Crosswalk_BEA_to_ISIC'!E33</f>
      </c>
      <c r="D27" t="str">
        <f>IFERROR(INDEX('5_Total_purchases_by_BEA'!$B$2:$B$74, MATCH($A27, '5_Total_purchases_by_BEA'!$A$2:$A$74, 0)), 0)</f>
      </c>
      <c r="E27" t="str">
        <f>C27*D27</f>
      </c>
    </row>
    <row r="28">
      <c r="A28" t="str">
        <f>'Crosswalk_BEA_to_ISIC'!A34</f>
      </c>
      <c r="B28" t="str">
        <f>'Crosswalk_BEA_to_ISIC'!C34</f>
      </c>
      <c r="C28" t="str">
        <f>'Crosswalk_BEA_to_ISIC'!E34</f>
      </c>
      <c r="D28" t="str">
        <f>IFERROR(INDEX('5_Total_purchases_by_BEA'!$B$2:$B$74, MATCH($A28, '5_Total_purchases_by_BEA'!$A$2:$A$74, 0)), 0)</f>
      </c>
      <c r="E28" t="str">
        <f>C28*D28</f>
      </c>
    </row>
    <row r="29">
      <c r="A29" t="str">
        <f>'Crosswalk_BEA_to_ISIC'!A35</f>
      </c>
      <c r="B29" t="str">
        <f>'Crosswalk_BEA_to_ISIC'!C35</f>
      </c>
      <c r="C29" t="str">
        <f>'Crosswalk_BEA_to_ISIC'!E35</f>
      </c>
      <c r="D29" t="str">
        <f>IFERROR(INDEX('5_Total_purchases_by_BEA'!$B$2:$B$74, MATCH($A29, '5_Total_purchases_by_BEA'!$A$2:$A$74, 0)), 0)</f>
      </c>
      <c r="E29" t="str">
        <f>C29*D29</f>
      </c>
    </row>
    <row r="30">
      <c r="A30" t="str">
        <f>'Crosswalk_BEA_to_ISIC'!A36</f>
      </c>
      <c r="B30" t="str">
        <f>'Crosswalk_BEA_to_ISIC'!C36</f>
      </c>
      <c r="C30" t="str">
        <f>'Crosswalk_BEA_to_ISIC'!E36</f>
      </c>
      <c r="D30" t="str">
        <f>IFERROR(INDEX('5_Total_purchases_by_BEA'!$B$2:$B$74, MATCH($A30, '5_Total_purchases_by_BEA'!$A$2:$A$74, 0)), 0)</f>
      </c>
      <c r="E30" t="str">
        <f>C30*D30</f>
      </c>
    </row>
    <row r="31">
      <c r="A31" t="str">
        <f>'Crosswalk_BEA_to_ISIC'!A37</f>
      </c>
      <c r="B31" t="str">
        <f>'Crosswalk_BEA_to_ISIC'!C37</f>
      </c>
      <c r="C31" t="str">
        <f>'Crosswalk_BEA_to_ISIC'!E37</f>
      </c>
      <c r="D31" t="str">
        <f>IFERROR(INDEX('5_Total_purchases_by_BEA'!$B$2:$B$74, MATCH($A31, '5_Total_purchases_by_BEA'!$A$2:$A$74, 0)), 0)</f>
      </c>
      <c r="E31" t="str">
        <f>C31*D31</f>
      </c>
    </row>
    <row r="32">
      <c r="A32" t="str">
        <f>'Crosswalk_BEA_to_ISIC'!A38</f>
      </c>
      <c r="B32" t="str">
        <f>'Crosswalk_BEA_to_ISIC'!C38</f>
      </c>
      <c r="C32" t="str">
        <f>'Crosswalk_BEA_to_ISIC'!E38</f>
      </c>
      <c r="D32" t="str">
        <f>IFERROR(INDEX('5_Total_purchases_by_BEA'!$B$2:$B$74, MATCH($A32, '5_Total_purchases_by_BEA'!$A$2:$A$74, 0)), 0)</f>
      </c>
      <c r="E32" t="str">
        <f>C32*D32</f>
      </c>
    </row>
    <row r="33">
      <c r="A33" t="str">
        <f>'Crosswalk_BEA_to_ISIC'!A39</f>
      </c>
      <c r="B33" t="str">
        <f>'Crosswalk_BEA_to_ISIC'!C39</f>
      </c>
      <c r="C33" t="str">
        <f>'Crosswalk_BEA_to_ISIC'!E39</f>
      </c>
      <c r="D33" t="str">
        <f>IFERROR(INDEX('5_Total_purchases_by_BEA'!$B$2:$B$74, MATCH($A33, '5_Total_purchases_by_BEA'!$A$2:$A$74, 0)), 0)</f>
      </c>
      <c r="E33" t="str">
        <f>C33*D33</f>
      </c>
    </row>
    <row r="34">
      <c r="A34" t="str">
        <f>'Crosswalk_BEA_to_ISIC'!A40</f>
      </c>
      <c r="B34" t="str">
        <f>'Crosswalk_BEA_to_ISIC'!C40</f>
      </c>
      <c r="C34" t="str">
        <f>'Crosswalk_BEA_to_ISIC'!E40</f>
      </c>
      <c r="D34" t="str">
        <f>IFERROR(INDEX('5_Total_purchases_by_BEA'!$B$2:$B$74, MATCH($A34, '5_Total_purchases_by_BEA'!$A$2:$A$74, 0)), 0)</f>
      </c>
      <c r="E34" t="str">
        <f>C34*D34</f>
      </c>
    </row>
    <row r="35">
      <c r="A35" t="str">
        <f>'Crosswalk_BEA_to_ISIC'!A41</f>
      </c>
      <c r="B35" t="str">
        <f>'Crosswalk_BEA_to_ISIC'!C41</f>
      </c>
      <c r="C35" t="str">
        <f>'Crosswalk_BEA_to_ISIC'!E41</f>
      </c>
      <c r="D35" t="str">
        <f>IFERROR(INDEX('5_Total_purchases_by_BEA'!$B$2:$B$74, MATCH($A35, '5_Total_purchases_by_BEA'!$A$2:$A$74, 0)), 0)</f>
      </c>
      <c r="E35" t="str">
        <f>C35*D35</f>
      </c>
    </row>
    <row r="36">
      <c r="A36" t="str">
        <f>'Crosswalk_BEA_to_ISIC'!A42</f>
      </c>
      <c r="B36" t="str">
        <f>'Crosswalk_BEA_to_ISIC'!C42</f>
      </c>
      <c r="C36" t="str">
        <f>'Crosswalk_BEA_to_ISIC'!E42</f>
      </c>
      <c r="D36" t="str">
        <f>IFERROR(INDEX('5_Total_purchases_by_BEA'!$B$2:$B$74, MATCH($A36, '5_Total_purchases_by_BEA'!$A$2:$A$74, 0)), 0)</f>
      </c>
      <c r="E36" t="str">
        <f>C36*D36</f>
      </c>
    </row>
    <row r="37">
      <c r="A37" t="str">
        <f>'Crosswalk_BEA_to_ISIC'!A43</f>
      </c>
      <c r="B37" t="str">
        <f>'Crosswalk_BEA_to_ISIC'!C43</f>
      </c>
      <c r="C37" t="str">
        <f>'Crosswalk_BEA_to_ISIC'!E43</f>
      </c>
      <c r="D37" t="str">
        <f>IFERROR(INDEX('5_Total_purchases_by_BEA'!$B$2:$B$74, MATCH($A37, '5_Total_purchases_by_BEA'!$A$2:$A$74, 0)), 0)</f>
      </c>
      <c r="E37" t="str">
        <f>C37*D37</f>
      </c>
    </row>
    <row r="38">
      <c r="A38" t="str">
        <f>'Crosswalk_BEA_to_ISIC'!A44</f>
      </c>
      <c r="B38" t="str">
        <f>'Crosswalk_BEA_to_ISIC'!C44</f>
      </c>
      <c r="C38" t="str">
        <f>'Crosswalk_BEA_to_ISIC'!E44</f>
      </c>
      <c r="D38" t="str">
        <f>IFERROR(INDEX('5_Total_purchases_by_BEA'!$B$2:$B$74, MATCH($A38, '5_Total_purchases_by_BEA'!$A$2:$A$74, 0)), 0)</f>
      </c>
      <c r="E38" t="str">
        <f>C38*D38</f>
      </c>
    </row>
    <row r="39">
      <c r="A39" t="str">
        <f>'Crosswalk_BEA_to_ISIC'!A45</f>
      </c>
      <c r="B39" t="str">
        <f>'Crosswalk_BEA_to_ISIC'!C45</f>
      </c>
      <c r="C39" t="str">
        <f>'Crosswalk_BEA_to_ISIC'!E45</f>
      </c>
      <c r="D39" t="str">
        <f>IFERROR(INDEX('5_Total_purchases_by_BEA'!$B$2:$B$74, MATCH($A39, '5_Total_purchases_by_BEA'!$A$2:$A$74, 0)), 0)</f>
      </c>
      <c r="E39" t="str">
        <f>C39*D39</f>
      </c>
    </row>
    <row r="40">
      <c r="A40" t="str">
        <f>'Crosswalk_BEA_to_ISIC'!A46</f>
      </c>
      <c r="B40" t="str">
        <f>'Crosswalk_BEA_to_ISIC'!C46</f>
      </c>
      <c r="C40" t="str">
        <f>'Crosswalk_BEA_to_ISIC'!E46</f>
      </c>
      <c r="D40" t="str">
        <f>IFERROR(INDEX('5_Total_purchases_by_BEA'!$B$2:$B$74, MATCH($A40, '5_Total_purchases_by_BEA'!$A$2:$A$74, 0)), 0)</f>
      </c>
      <c r="E40" t="str">
        <f>C40*D40</f>
      </c>
    </row>
    <row r="41">
      <c r="A41" t="str">
        <f>'Crosswalk_BEA_to_ISIC'!A47</f>
      </c>
      <c r="B41" t="str">
        <f>'Crosswalk_BEA_to_ISIC'!C47</f>
      </c>
      <c r="C41" t="str">
        <f>'Crosswalk_BEA_to_ISIC'!E47</f>
      </c>
      <c r="D41" t="str">
        <f>IFERROR(INDEX('5_Total_purchases_by_BEA'!$B$2:$B$74, MATCH($A41, '5_Total_purchases_by_BEA'!$A$2:$A$74, 0)), 0)</f>
      </c>
      <c r="E41" t="str">
        <f>C41*D41</f>
      </c>
    </row>
    <row r="42">
      <c r="A42" t="str">
        <f>'Crosswalk_BEA_to_ISIC'!A48</f>
      </c>
      <c r="B42" t="str">
        <f>'Crosswalk_BEA_to_ISIC'!C48</f>
      </c>
      <c r="C42" t="str">
        <f>'Crosswalk_BEA_to_ISIC'!E48</f>
      </c>
      <c r="D42" t="str">
        <f>IFERROR(INDEX('5_Total_purchases_by_BEA'!$B$2:$B$74, MATCH($A42, '5_Total_purchases_by_BEA'!$A$2:$A$74, 0)), 0)</f>
      </c>
      <c r="E42" t="str">
        <f>C42*D42</f>
      </c>
    </row>
    <row r="43">
      <c r="A43" t="str">
        <f>'Crosswalk_BEA_to_ISIC'!A49</f>
      </c>
      <c r="B43" t="str">
        <f>'Crosswalk_BEA_to_ISIC'!C49</f>
      </c>
      <c r="C43" t="str">
        <f>'Crosswalk_BEA_to_ISIC'!E49</f>
      </c>
      <c r="D43" t="str">
        <f>IFERROR(INDEX('5_Total_purchases_by_BEA'!$B$2:$B$74, MATCH($A43, '5_Total_purchases_by_BEA'!$A$2:$A$74, 0)), 0)</f>
      </c>
      <c r="E43" t="str">
        <f>C43*D43</f>
      </c>
    </row>
    <row r="44">
      <c r="A44" t="str">
        <f>'Crosswalk_BEA_to_ISIC'!A50</f>
      </c>
      <c r="B44" t="str">
        <f>'Crosswalk_BEA_to_ISIC'!C50</f>
      </c>
      <c r="C44" t="str">
        <f>'Crosswalk_BEA_to_ISIC'!E50</f>
      </c>
      <c r="D44" t="str">
        <f>IFERROR(INDEX('5_Total_purchases_by_BEA'!$B$2:$B$74, MATCH($A44, '5_Total_purchases_by_BEA'!$A$2:$A$74, 0)), 0)</f>
      </c>
      <c r="E44" t="str">
        <f>C44*D44</f>
      </c>
    </row>
    <row r="45">
      <c r="A45" t="str">
        <f>'Crosswalk_BEA_to_ISIC'!A51</f>
      </c>
      <c r="B45" t="str">
        <f>'Crosswalk_BEA_to_ISIC'!C51</f>
      </c>
      <c r="C45" t="str">
        <f>'Crosswalk_BEA_to_ISIC'!E51</f>
      </c>
      <c r="D45" t="str">
        <f>IFERROR(INDEX('5_Total_purchases_by_BEA'!$B$2:$B$74, MATCH($A45, '5_Total_purchases_by_BEA'!$A$2:$A$74, 0)), 0)</f>
      </c>
      <c r="E45" t="str">
        <f>C45*D45</f>
      </c>
    </row>
    <row r="46">
      <c r="A46" t="str">
        <f>'Crosswalk_BEA_to_ISIC'!A52</f>
      </c>
      <c r="B46" t="str">
        <f>'Crosswalk_BEA_to_ISIC'!C52</f>
      </c>
      <c r="C46" t="str">
        <f>'Crosswalk_BEA_to_ISIC'!E52</f>
      </c>
      <c r="D46" t="str">
        <f>IFERROR(INDEX('5_Total_purchases_by_BEA'!$B$2:$B$74, MATCH($A46, '5_Total_purchases_by_BEA'!$A$2:$A$74, 0)), 0)</f>
      </c>
      <c r="E46" t="str">
        <f>C46*D46</f>
      </c>
    </row>
    <row r="47">
      <c r="A47" t="str">
        <f>'Crosswalk_BEA_to_ISIC'!A53</f>
      </c>
      <c r="B47" t="str">
        <f>'Crosswalk_BEA_to_ISIC'!C53</f>
      </c>
      <c r="C47" t="str">
        <f>'Crosswalk_BEA_to_ISIC'!E53</f>
      </c>
      <c r="D47" t="str">
        <f>IFERROR(INDEX('5_Total_purchases_by_BEA'!$B$2:$B$74, MATCH($A47, '5_Total_purchases_by_BEA'!$A$2:$A$74, 0)), 0)</f>
      </c>
      <c r="E47" t="str">
        <f>C47*D47</f>
      </c>
    </row>
    <row r="48">
      <c r="A48" t="str">
        <f>'Crosswalk_BEA_to_ISIC'!A54</f>
      </c>
      <c r="B48" t="str">
        <f>'Crosswalk_BEA_to_ISIC'!C54</f>
      </c>
      <c r="C48" t="str">
        <f>'Crosswalk_BEA_to_ISIC'!E54</f>
      </c>
      <c r="D48" t="str">
        <f>IFERROR(INDEX('5_Total_purchases_by_BEA'!$B$2:$B$74, MATCH($A48, '5_Total_purchases_by_BEA'!$A$2:$A$74, 0)), 0)</f>
      </c>
      <c r="E48" t="str">
        <f>C48*D48</f>
      </c>
    </row>
    <row r="49">
      <c r="A49" t="str">
        <f>'Crosswalk_BEA_to_ISIC'!A55</f>
      </c>
      <c r="B49" t="str">
        <f>'Crosswalk_BEA_to_ISIC'!C55</f>
      </c>
      <c r="C49" t="str">
        <f>'Crosswalk_BEA_to_ISIC'!E55</f>
      </c>
      <c r="D49" t="str">
        <f>IFERROR(INDEX('5_Total_purchases_by_BEA'!$B$2:$B$74, MATCH($A49, '5_Total_purchases_by_BEA'!$A$2:$A$74, 0)), 0)</f>
      </c>
      <c r="E49" t="str">
        <f>C49*D49</f>
      </c>
    </row>
    <row r="50">
      <c r="A50" t="str">
        <f>'Crosswalk_BEA_to_ISIC'!A56</f>
      </c>
      <c r="B50" t="str">
        <f>'Crosswalk_BEA_to_ISIC'!C56</f>
      </c>
      <c r="C50" t="str">
        <f>'Crosswalk_BEA_to_ISIC'!E56</f>
      </c>
      <c r="D50" t="str">
        <f>IFERROR(INDEX('5_Total_purchases_by_BEA'!$B$2:$B$74, MATCH($A50, '5_Total_purchases_by_BEA'!$A$2:$A$74, 0)), 0)</f>
      </c>
      <c r="E50" t="str">
        <f>C50*D50</f>
      </c>
    </row>
    <row r="51">
      <c r="A51" t="str">
        <f>'Crosswalk_BEA_to_ISIC'!A57</f>
      </c>
      <c r="B51" t="str">
        <f>'Crosswalk_BEA_to_ISIC'!C57</f>
      </c>
      <c r="C51" t="str">
        <f>'Crosswalk_BEA_to_ISIC'!E57</f>
      </c>
      <c r="D51" t="str">
        <f>IFERROR(INDEX('5_Total_purchases_by_BEA'!$B$2:$B$74, MATCH($A51, '5_Total_purchases_by_BEA'!$A$2:$A$74, 0)), 0)</f>
      </c>
      <c r="E51" t="str">
        <f>C51*D51</f>
      </c>
    </row>
    <row r="52">
      <c r="A52" t="str">
        <f>'Crosswalk_BEA_to_ISIC'!A58</f>
      </c>
      <c r="B52" t="str">
        <f>'Crosswalk_BEA_to_ISIC'!C58</f>
      </c>
      <c r="C52" t="str">
        <f>'Crosswalk_BEA_to_ISIC'!E58</f>
      </c>
      <c r="D52" t="str">
        <f>IFERROR(INDEX('5_Total_purchases_by_BEA'!$B$2:$B$74, MATCH($A52, '5_Total_purchases_by_BEA'!$A$2:$A$74, 0)), 0)</f>
      </c>
      <c r="E52" t="str">
        <f>C52*D52</f>
      </c>
    </row>
    <row r="53">
      <c r="A53" t="str">
        <f>'Crosswalk_BEA_to_ISIC'!A59</f>
      </c>
      <c r="B53" t="str">
        <f>'Crosswalk_BEA_to_ISIC'!C59</f>
      </c>
      <c r="C53" t="str">
        <f>'Crosswalk_BEA_to_ISIC'!E59</f>
      </c>
      <c r="D53" t="str">
        <f>IFERROR(INDEX('5_Total_purchases_by_BEA'!$B$2:$B$74, MATCH($A53, '5_Total_purchases_by_BEA'!$A$2:$A$74, 0)), 0)</f>
      </c>
      <c r="E53" t="str">
        <f>C53*D53</f>
      </c>
    </row>
    <row r="54">
      <c r="A54" t="str">
        <f>'Crosswalk_BEA_to_ISIC'!A60</f>
      </c>
      <c r="B54" t="str">
        <f>'Crosswalk_BEA_to_ISIC'!C60</f>
      </c>
      <c r="C54" t="str">
        <f>'Crosswalk_BEA_to_ISIC'!E60</f>
      </c>
      <c r="D54" t="str">
        <f>IFERROR(INDEX('5_Total_purchases_by_BEA'!$B$2:$B$74, MATCH($A54, '5_Total_purchases_by_BEA'!$A$2:$A$74, 0)), 0)</f>
      </c>
      <c r="E54" t="str">
        <f>C54*D54</f>
      </c>
    </row>
    <row r="55">
      <c r="A55" t="str">
        <f>'Crosswalk_BEA_to_ISIC'!A61</f>
      </c>
      <c r="B55" t="str">
        <f>'Crosswalk_BEA_to_ISIC'!C61</f>
      </c>
      <c r="C55" t="str">
        <f>'Crosswalk_BEA_to_ISIC'!E61</f>
      </c>
      <c r="D55" t="str">
        <f>IFERROR(INDEX('5_Total_purchases_by_BEA'!$B$2:$B$74, MATCH($A55, '5_Total_purchases_by_BEA'!$A$2:$A$74, 0)), 0)</f>
      </c>
      <c r="E55" t="str">
        <f>C55*D55</f>
      </c>
    </row>
    <row r="56">
      <c r="A56" t="str">
        <f>'Crosswalk_BEA_to_ISIC'!A62</f>
      </c>
      <c r="B56" t="str">
        <f>'Crosswalk_BEA_to_ISIC'!C62</f>
      </c>
      <c r="C56" t="str">
        <f>'Crosswalk_BEA_to_ISIC'!E62</f>
      </c>
      <c r="D56" t="str">
        <f>IFERROR(INDEX('5_Total_purchases_by_BEA'!$B$2:$B$74, MATCH($A56, '5_Total_purchases_by_BEA'!$A$2:$A$74, 0)), 0)</f>
      </c>
      <c r="E56" t="str">
        <f>C56*D56</f>
      </c>
    </row>
    <row r="57">
      <c r="A57" t="str">
        <f>'Crosswalk_BEA_to_ISIC'!A63</f>
      </c>
      <c r="B57" t="str">
        <f>'Crosswalk_BEA_to_ISIC'!C63</f>
      </c>
      <c r="C57" t="str">
        <f>'Crosswalk_BEA_to_ISIC'!E63</f>
      </c>
      <c r="D57" t="str">
        <f>IFERROR(INDEX('5_Total_purchases_by_BEA'!$B$2:$B$74, MATCH($A57, '5_Total_purchases_by_BEA'!$A$2:$A$74, 0)), 0)</f>
      </c>
      <c r="E57" t="str">
        <f>C57*D57</f>
      </c>
    </row>
    <row r="58">
      <c r="A58" t="str">
        <f>'Crosswalk_BEA_to_ISIC'!A64</f>
      </c>
      <c r="B58" t="str">
        <f>'Crosswalk_BEA_to_ISIC'!C64</f>
      </c>
      <c r="C58" t="str">
        <f>'Crosswalk_BEA_to_ISIC'!E64</f>
      </c>
      <c r="D58" t="str">
        <f>IFERROR(INDEX('5_Total_purchases_by_BEA'!$B$2:$B$74, MATCH($A58, '5_Total_purchases_by_BEA'!$A$2:$A$74, 0)), 0)</f>
      </c>
      <c r="E58" t="str">
        <f>C58*D58</f>
      </c>
    </row>
    <row r="59">
      <c r="A59" t="str">
        <f>'Crosswalk_BEA_to_ISIC'!A65</f>
      </c>
      <c r="B59" t="str">
        <f>'Crosswalk_BEA_to_ISIC'!C65</f>
      </c>
      <c r="C59" t="str">
        <f>'Crosswalk_BEA_to_ISIC'!E65</f>
      </c>
      <c r="D59" t="str">
        <f>IFERROR(INDEX('5_Total_purchases_by_BEA'!$B$2:$B$74, MATCH($A59, '5_Total_purchases_by_BEA'!$A$2:$A$74, 0)), 0)</f>
      </c>
      <c r="E59" t="str">
        <f>C59*D59</f>
      </c>
    </row>
    <row r="60">
      <c r="A60" t="str">
        <f>'Crosswalk_BEA_to_ISIC'!A66</f>
      </c>
      <c r="B60" t="str">
        <f>'Crosswalk_BEA_to_ISIC'!C66</f>
      </c>
      <c r="C60" t="str">
        <f>'Crosswalk_BEA_to_ISIC'!E66</f>
      </c>
      <c r="D60" t="str">
        <f>IFERROR(INDEX('5_Total_purchases_by_BEA'!$B$2:$B$74, MATCH($A60, '5_Total_purchases_by_BEA'!$A$2:$A$74, 0)), 0)</f>
      </c>
      <c r="E60" t="str">
        <f>C60*D60</f>
      </c>
    </row>
    <row r="61">
      <c r="A61" t="str">
        <f>'Crosswalk_BEA_to_ISIC'!A67</f>
      </c>
      <c r="B61" t="str">
        <f>'Crosswalk_BEA_to_ISIC'!C67</f>
      </c>
      <c r="C61" t="str">
        <f>'Crosswalk_BEA_to_ISIC'!E67</f>
      </c>
      <c r="D61" t="str">
        <f>IFERROR(INDEX('5_Total_purchases_by_BEA'!$B$2:$B$74, MATCH($A61, '5_Total_purchases_by_BEA'!$A$2:$A$74, 0)), 0)</f>
      </c>
      <c r="E61" t="str">
        <f>C61*D61</f>
      </c>
    </row>
    <row r="62">
      <c r="A62" t="str">
        <f>'Crosswalk_BEA_to_ISIC'!A68</f>
      </c>
      <c r="B62" t="str">
        <f>'Crosswalk_BEA_to_ISIC'!C68</f>
      </c>
      <c r="C62" t="str">
        <f>'Crosswalk_BEA_to_ISIC'!E68</f>
      </c>
      <c r="D62" t="str">
        <f>IFERROR(INDEX('5_Total_purchases_by_BEA'!$B$2:$B$74, MATCH($A62, '5_Total_purchases_by_BEA'!$A$2:$A$74, 0)), 0)</f>
      </c>
      <c r="E62" t="str">
        <f>C62*D62</f>
      </c>
    </row>
    <row r="63">
      <c r="A63" t="str">
        <f>'Crosswalk_BEA_to_ISIC'!A69</f>
      </c>
      <c r="B63" t="str">
        <f>'Crosswalk_BEA_to_ISIC'!C69</f>
      </c>
      <c r="C63" t="str">
        <f>'Crosswalk_BEA_to_ISIC'!E69</f>
      </c>
      <c r="D63" t="str">
        <f>IFERROR(INDEX('5_Total_purchases_by_BEA'!$B$2:$B$74, MATCH($A63, '5_Total_purchases_by_BEA'!$A$2:$A$74, 0)), 0)</f>
      </c>
      <c r="E63" t="str">
        <f>C63*D63</f>
      </c>
    </row>
    <row r="64">
      <c r="A64" t="str">
        <f>'Crosswalk_BEA_to_ISIC'!A70</f>
      </c>
      <c r="B64" t="str">
        <f>'Crosswalk_BEA_to_ISIC'!C70</f>
      </c>
      <c r="C64" t="str">
        <f>'Crosswalk_BEA_to_ISIC'!E70</f>
      </c>
      <c r="D64" t="str">
        <f>IFERROR(INDEX('5_Total_purchases_by_BEA'!$B$2:$B$74, MATCH($A64, '5_Total_purchases_by_BEA'!$A$2:$A$74, 0)), 0)</f>
      </c>
      <c r="E64" t="str">
        <f>C64*D64</f>
      </c>
    </row>
    <row r="65">
      <c r="A65" t="str">
        <f>'Crosswalk_BEA_to_ISIC'!A71</f>
      </c>
      <c r="B65" t="str">
        <f>'Crosswalk_BEA_to_ISIC'!C71</f>
      </c>
      <c r="C65" t="str">
        <f>'Crosswalk_BEA_to_ISIC'!E71</f>
      </c>
      <c r="D65" t="str">
        <f>IFERROR(INDEX('5_Total_purchases_by_BEA'!$B$2:$B$74, MATCH($A65, '5_Total_purchases_by_BEA'!$A$2:$A$74, 0)), 0)</f>
      </c>
      <c r="E65" t="str">
        <f>C65*D65</f>
      </c>
    </row>
    <row r="66">
      <c r="A66" t="str">
        <f>'Crosswalk_BEA_to_ISIC'!A72</f>
      </c>
      <c r="B66" t="str">
        <f>'Crosswalk_BEA_to_ISIC'!C72</f>
      </c>
      <c r="C66" t="str">
        <f>'Crosswalk_BEA_to_ISIC'!E72</f>
      </c>
      <c r="D66" t="str">
        <f>IFERROR(INDEX('5_Total_purchases_by_BEA'!$B$2:$B$74, MATCH($A66, '5_Total_purchases_by_BEA'!$A$2:$A$74, 0)), 0)</f>
      </c>
      <c r="E66" t="str">
        <f>C66*D66</f>
      </c>
    </row>
    <row r="67">
      <c r="A67" t="str">
        <f>'Crosswalk_BEA_to_ISIC'!A73</f>
      </c>
      <c r="B67" t="str">
        <f>'Crosswalk_BEA_to_ISIC'!C73</f>
      </c>
      <c r="C67" t="str">
        <f>'Crosswalk_BEA_to_ISIC'!E73</f>
      </c>
      <c r="D67" t="str">
        <f>IFERROR(INDEX('5_Total_purchases_by_BEA'!$B$2:$B$74, MATCH($A67, '5_Total_purchases_by_BEA'!$A$2:$A$74, 0)), 0)</f>
      </c>
      <c r="E67" t="str">
        <f>C67*D67</f>
      </c>
    </row>
    <row r="68">
      <c r="A68" t="str">
        <f>'Crosswalk_BEA_to_ISIC'!A74</f>
      </c>
      <c r="B68" t="str">
        <f>'Crosswalk_BEA_to_ISIC'!C74</f>
      </c>
      <c r="C68" t="str">
        <f>'Crosswalk_BEA_to_ISIC'!E74</f>
      </c>
      <c r="D68" t="str">
        <f>IFERROR(INDEX('5_Total_purchases_by_BEA'!$B$2:$B$74, MATCH($A68, '5_Total_purchases_by_BEA'!$A$2:$A$74, 0)), 0)</f>
      </c>
      <c r="E68" t="str">
        <f>C68*D68</f>
      </c>
    </row>
    <row r="69">
      <c r="A69" t="str">
        <f>'Crosswalk_BEA_to_ISIC'!A75</f>
      </c>
      <c r="B69" t="str">
        <f>'Crosswalk_BEA_to_ISIC'!C75</f>
      </c>
      <c r="C69" t="str">
        <f>'Crosswalk_BEA_to_ISIC'!E75</f>
      </c>
      <c r="D69" t="str">
        <f>IFERROR(INDEX('5_Total_purchases_by_BEA'!$B$2:$B$74, MATCH($A69, '5_Total_purchases_by_BEA'!$A$2:$A$74, 0)), 0)</f>
      </c>
      <c r="E69" t="str">
        <f>C69*D69</f>
      </c>
    </row>
    <row r="70">
      <c r="A70" t="str">
        <f>'Crosswalk_BEA_to_ISIC'!A76</f>
      </c>
      <c r="B70" t="str">
        <f>'Crosswalk_BEA_to_ISIC'!C76</f>
      </c>
      <c r="C70" t="str">
        <f>'Crosswalk_BEA_to_ISIC'!E76</f>
      </c>
      <c r="D70" t="str">
        <f>IFERROR(INDEX('5_Total_purchases_by_BEA'!$B$2:$B$74, MATCH($A70, '5_Total_purchases_by_BEA'!$A$2:$A$74, 0)), 0)</f>
      </c>
      <c r="E70" t="str">
        <f>C70*D70</f>
      </c>
    </row>
    <row r="71">
      <c r="A71" t="str">
        <f>'Crosswalk_BEA_to_ISIC'!A77</f>
      </c>
      <c r="B71" t="str">
        <f>'Crosswalk_BEA_to_ISIC'!C77</f>
      </c>
      <c r="C71" t="str">
        <f>'Crosswalk_BEA_to_ISIC'!E77</f>
      </c>
      <c r="D71" t="str">
        <f>IFERROR(INDEX('5_Total_purchases_by_BEA'!$B$2:$B$74, MATCH($A71, '5_Total_purchases_by_BEA'!$A$2:$A$74, 0)), 0)</f>
      </c>
      <c r="E71" t="str">
        <f>C71*D71</f>
      </c>
    </row>
    <row r="72">
      <c r="A72" t="str">
        <f>'Crosswalk_BEA_to_ISIC'!A78</f>
      </c>
      <c r="B72" t="str">
        <f>'Crosswalk_BEA_to_ISIC'!C78</f>
      </c>
      <c r="C72" t="str">
        <f>'Crosswalk_BEA_to_ISIC'!E78</f>
      </c>
      <c r="D72" t="str">
        <f>IFERROR(INDEX('5_Total_purchases_by_BEA'!$B$2:$B$74, MATCH($A72, '5_Total_purchases_by_BEA'!$A$2:$A$74, 0)), 0)</f>
      </c>
      <c r="E72" t="str">
        <f>C72*D72</f>
      </c>
    </row>
    <row r="73">
      <c r="A73" t="str">
        <f>'Crosswalk_BEA_to_ISIC'!A79</f>
      </c>
      <c r="B73" t="str">
        <f>'Crosswalk_BEA_to_ISIC'!C79</f>
      </c>
      <c r="C73" t="str">
        <f>'Crosswalk_BEA_to_ISIC'!E79</f>
      </c>
      <c r="D73" t="str">
        <f>IFERROR(INDEX('5_Total_purchases_by_BEA'!$B$2:$B$74, MATCH($A73, '5_Total_purchases_by_BEA'!$A$2:$A$74, 0)), 0)</f>
      </c>
      <c r="E73" t="str">
        <f>C73*D73</f>
      </c>
    </row>
    <row r="74">
      <c r="A74" t="str">
        <f>'Crosswalk_BEA_to_ISIC'!A80</f>
      </c>
      <c r="B74" t="str">
        <f>'Crosswalk_BEA_to_ISIC'!C80</f>
      </c>
      <c r="C74" t="str">
        <f>'Crosswalk_BEA_to_ISIC'!E80</f>
      </c>
      <c r="D74" t="str">
        <f>IFERROR(INDEX('5_Total_purchases_by_BEA'!$B$2:$B$74, MATCH($A74, '5_Total_purchases_by_BEA'!$A$2:$A$74, 0)), 0)</f>
      </c>
      <c r="E74" t="str">
        <f>C74*D74</f>
      </c>
    </row>
    <row r="75">
      <c r="A75" t="str">
        <f>'Crosswalk_BEA_to_ISIC'!A81</f>
      </c>
      <c r="B75" t="str">
        <f>'Crosswalk_BEA_to_ISIC'!C81</f>
      </c>
      <c r="C75" t="str">
        <f>'Crosswalk_BEA_to_ISIC'!E81</f>
      </c>
      <c r="D75" t="str">
        <f>IFERROR(INDEX('5_Total_purchases_by_BEA'!$B$2:$B$74, MATCH($A75, '5_Total_purchases_by_BEA'!$A$2:$A$74, 0)), 0)</f>
      </c>
      <c r="E75" t="str">
        <f>C75*D75</f>
      </c>
    </row>
    <row r="76">
      <c r="A76" t="str">
        <f>'Crosswalk_BEA_to_ISIC'!A82</f>
      </c>
      <c r="B76" t="str">
        <f>'Crosswalk_BEA_to_ISIC'!C82</f>
      </c>
      <c r="C76" t="str">
        <f>'Crosswalk_BEA_to_ISIC'!E82</f>
      </c>
      <c r="D76" t="str">
        <f>IFERROR(INDEX('5_Total_purchases_by_BEA'!$B$2:$B$74, MATCH($A76, '5_Total_purchases_by_BEA'!$A$2:$A$74, 0)), 0)</f>
      </c>
      <c r="E76" t="str">
        <f>C76*D76</f>
      </c>
    </row>
    <row r="77">
      <c r="A77" t="str">
        <f>'Crosswalk_BEA_to_ISIC'!A83</f>
      </c>
      <c r="B77" t="str">
        <f>'Crosswalk_BEA_to_ISIC'!C83</f>
      </c>
      <c r="C77" t="str">
        <f>'Crosswalk_BEA_to_ISIC'!E83</f>
      </c>
      <c r="D77" t="str">
        <f>IFERROR(INDEX('5_Total_purchases_by_BEA'!$B$2:$B$74, MATCH($A77, '5_Total_purchases_by_BEA'!$A$2:$A$74, 0)), 0)</f>
      </c>
      <c r="E77" t="str">
        <f>C77*D77</f>
      </c>
    </row>
    <row r="78">
      <c r="A78" t="str">
        <f>'Crosswalk_BEA_to_ISIC'!A84</f>
      </c>
      <c r="B78" t="str">
        <f>'Crosswalk_BEA_to_ISIC'!C84</f>
      </c>
      <c r="C78" t="str">
        <f>'Crosswalk_BEA_to_ISIC'!E84</f>
      </c>
      <c r="D78" t="str">
        <f>IFERROR(INDEX('5_Total_purchases_by_BEA'!$B$2:$B$74, MATCH($A78, '5_Total_purchases_by_BEA'!$A$2:$A$74, 0)), 0)</f>
      </c>
      <c r="E78" t="str">
        <f>C78*D78</f>
      </c>
    </row>
    <row r="79">
      <c r="A79" t="str">
        <f>'Crosswalk_BEA_to_ISIC'!A85</f>
      </c>
      <c r="B79" t="str">
        <f>'Crosswalk_BEA_to_ISIC'!C85</f>
      </c>
      <c r="C79" t="str">
        <f>'Crosswalk_BEA_to_ISIC'!E85</f>
      </c>
      <c r="D79" t="str">
        <f>IFERROR(INDEX('5_Total_purchases_by_BEA'!$B$2:$B$74, MATCH($A79, '5_Total_purchases_by_BEA'!$A$2:$A$74, 0)), 0)</f>
      </c>
      <c r="E79" t="str">
        <f>C79*D79</f>
      </c>
    </row>
    <row r="80">
      <c r="A80" t="str">
        <f>'Crosswalk_BEA_to_ISIC'!A86</f>
      </c>
      <c r="B80" t="str">
        <f>'Crosswalk_BEA_to_ISIC'!C86</f>
      </c>
      <c r="C80" t="str">
        <f>'Crosswalk_BEA_to_ISIC'!E86</f>
      </c>
      <c r="D80" t="str">
        <f>IFERROR(INDEX('5_Total_purchases_by_BEA'!$B$2:$B$74, MATCH($A80, '5_Total_purchases_by_BEA'!$A$2:$A$74, 0)), 0)</f>
      </c>
      <c r="E80" t="str">
        <f>C80*D80</f>
      </c>
    </row>
    <row r="81">
      <c r="A81" t="str">
        <f>'Crosswalk_BEA_to_ISIC'!A87</f>
      </c>
      <c r="B81" t="str">
        <f>'Crosswalk_BEA_to_ISIC'!C87</f>
      </c>
      <c r="C81" t="str">
        <f>'Crosswalk_BEA_to_ISIC'!E87</f>
      </c>
      <c r="D81" t="str">
        <f>IFERROR(INDEX('5_Total_purchases_by_BEA'!$B$2:$B$74, MATCH($A81, '5_Total_purchases_by_BEA'!$A$2:$A$74, 0)), 0)</f>
      </c>
      <c r="E81" t="str">
        <f>C81*D81</f>
      </c>
    </row>
    <row r="83">
      <c r="A83" t="s">
        <v>579</v>
      </c>
    </row>
    <row r="84">
      <c r="A84" t="s">
        <v>188</v>
      </c>
      <c r="B84" t="s">
        <v>580</v>
      </c>
      <c r="C84" t="s">
        <v>581</v>
      </c>
    </row>
    <row r="85">
      <c r="A85" t="s">
        <v>190</v>
      </c>
      <c r="B85" t="str">
        <f>SUMIFS('9_Calc_Total_ISIC'!$E$3:$E$81, '9_Calc_Total_ISIC'!$B$3:$B$81, $A85)</f>
      </c>
      <c r="C85" t="str">
        <f>B85</f>
      </c>
    </row>
    <row r="86">
      <c r="A86" t="s">
        <v>191</v>
      </c>
      <c r="B86" t="str">
        <f>SUMIFS('9_Calc_Total_ISIC'!$E$3:$E$81, '9_Calc_Total_ISIC'!$B$3:$B$81, $A86)</f>
      </c>
      <c r="C86" t="str">
        <f>B86</f>
      </c>
    </row>
    <row r="87">
      <c r="A87" t="s">
        <v>192</v>
      </c>
      <c r="B87" t="str">
        <f>SUMIFS('9_Calc_Total_ISIC'!$E$3:$E$81, '9_Calc_Total_ISIC'!$B$3:$B$81, $A87)</f>
      </c>
      <c r="C87" t="str">
        <f>B87</f>
      </c>
    </row>
    <row r="88">
      <c r="A88" t="s">
        <v>193</v>
      </c>
      <c r="B88" t="str">
        <f>SUMIFS('9_Calc_Total_ISIC'!$E$3:$E$81, '9_Calc_Total_ISIC'!$B$3:$B$81, $A88)</f>
      </c>
      <c r="C88" t="str">
        <f>B88</f>
      </c>
    </row>
    <row r="89">
      <c r="A89" t="s">
        <v>195</v>
      </c>
      <c r="B89" t="str">
        <f>SUMIFS('9_Calc_Total_ISIC'!$E$3:$E$81, '9_Calc_Total_ISIC'!$B$3:$B$81, $A89)</f>
      </c>
      <c r="C89" t="str">
        <f>B89</f>
      </c>
    </row>
    <row r="90">
      <c r="A90" t="s">
        <v>196</v>
      </c>
      <c r="B90" t="str">
        <f>SUMIFS('9_Calc_Total_ISIC'!$E$3:$E$81, '9_Calc_Total_ISIC'!$B$3:$B$81, $A90)</f>
      </c>
      <c r="C90" t="str">
        <f>B90</f>
      </c>
    </row>
    <row r="91">
      <c r="A91" t="s">
        <v>197</v>
      </c>
      <c r="B91" t="str">
        <f>SUMIFS('9_Calc_Total_ISIC'!$E$3:$E$81, '9_Calc_Total_ISIC'!$B$3:$B$81, $A91)</f>
      </c>
      <c r="C91" t="str">
        <f>B91</f>
      </c>
    </row>
    <row r="92">
      <c r="A92" t="s">
        <v>198</v>
      </c>
      <c r="B92" t="str">
        <f>SUMIFS('9_Calc_Total_ISIC'!$E$3:$E$81, '9_Calc_Total_ISIC'!$B$3:$B$81, $A92)</f>
      </c>
      <c r="C92" t="str">
        <f>B92</f>
      </c>
    </row>
    <row r="93">
      <c r="A93" t="s">
        <v>199</v>
      </c>
      <c r="B93" t="str">
        <f>SUMIFS('9_Calc_Total_ISIC'!$E$3:$E$81, '9_Calc_Total_ISIC'!$B$3:$B$81, $A93)</f>
      </c>
      <c r="C93" t="str">
        <f>B93</f>
      </c>
    </row>
    <row r="94">
      <c r="A94" t="s">
        <v>200</v>
      </c>
      <c r="B94" t="str">
        <f>SUMIFS('9_Calc_Total_ISIC'!$E$3:$E$81, '9_Calc_Total_ISIC'!$B$3:$B$81, $A94)</f>
      </c>
      <c r="C94" t="str">
        <f>B94</f>
      </c>
    </row>
    <row r="95">
      <c r="A95" t="s">
        <v>110</v>
      </c>
      <c r="B95" t="str">
        <f>SUMIFS('9_Calc_Total_ISIC'!$E$3:$E$81, '9_Calc_Total_ISIC'!$B$3:$B$81, $A95)</f>
      </c>
      <c r="C95" t="str">
        <f>B95</f>
      </c>
    </row>
    <row r="96">
      <c r="A96" t="s">
        <v>202</v>
      </c>
      <c r="B96" t="str">
        <f>SUMIFS('9_Calc_Total_ISIC'!$E$3:$E$81, '9_Calc_Total_ISIC'!$B$3:$B$81, $A96)</f>
      </c>
      <c r="C96" t="str">
        <f>B96</f>
      </c>
    </row>
    <row r="97">
      <c r="A97" t="s">
        <v>203</v>
      </c>
      <c r="B97" t="str">
        <f>SUMIFS('9_Calc_Total_ISIC'!$E$3:$E$81, '9_Calc_Total_ISIC'!$B$3:$B$81, $A97)</f>
      </c>
      <c r="C97" t="str">
        <f>B97</f>
      </c>
    </row>
    <row r="98">
      <c r="A98" t="s">
        <v>204</v>
      </c>
      <c r="B98" t="str">
        <f>SUMIFS('9_Calc_Total_ISIC'!$E$3:$E$81, '9_Calc_Total_ISIC'!$B$3:$B$81, $A98)</f>
      </c>
      <c r="C98" t="str">
        <f>B98</f>
      </c>
    </row>
    <row r="99">
      <c r="A99" t="s">
        <v>205</v>
      </c>
      <c r="B99" t="str">
        <f>SUMIFS('9_Calc_Total_ISIC'!$E$3:$E$81, '9_Calc_Total_ISIC'!$B$3:$B$81, $A99)</f>
      </c>
      <c r="C99" t="str">
        <f>B99</f>
      </c>
    </row>
    <row r="100">
      <c r="A100" t="s">
        <v>206</v>
      </c>
      <c r="B100" t="str">
        <f>SUMIFS('9_Calc_Total_ISIC'!$E$3:$E$81, '9_Calc_Total_ISIC'!$B$3:$B$81, $A100)</f>
      </c>
      <c r="C100" t="str">
        <f>B100</f>
      </c>
    </row>
    <row r="101">
      <c r="A101" t="s">
        <v>207</v>
      </c>
      <c r="B101" t="str">
        <f>SUMIFS('9_Calc_Total_ISIC'!$E$3:$E$81, '9_Calc_Total_ISIC'!$B$3:$B$81, $A101)</f>
      </c>
      <c r="C101" t="str">
        <f>B101</f>
      </c>
    </row>
    <row r="102">
      <c r="A102" t="s">
        <v>208</v>
      </c>
      <c r="B102" t="str">
        <f>SUMIFS('9_Calc_Total_ISIC'!$E$3:$E$81, '9_Calc_Total_ISIC'!$B$3:$B$81, $A102)</f>
      </c>
      <c r="C102" t="str">
        <f>B102</f>
      </c>
    </row>
    <row r="103">
      <c r="A103" t="s">
        <v>209</v>
      </c>
      <c r="B103" t="str">
        <f>SUMIFS('9_Calc_Total_ISIC'!$E$3:$E$81, '9_Calc_Total_ISIC'!$B$3:$B$81, $A103)</f>
      </c>
      <c r="C103" t="str">
        <f>B103</f>
      </c>
    </row>
    <row r="104">
      <c r="A104" t="s">
        <v>210</v>
      </c>
      <c r="B104" t="str">
        <f>SUMIFS('9_Calc_Total_ISIC'!$E$3:$E$81, '9_Calc_Total_ISIC'!$B$3:$B$81, $A104)</f>
      </c>
      <c r="C104" t="str">
        <f>B104</f>
      </c>
    </row>
    <row r="105">
      <c r="A105" t="s">
        <v>211</v>
      </c>
      <c r="B105" t="str">
        <f>SUMIFS('9_Calc_Total_ISIC'!$E$3:$E$81, '9_Calc_Total_ISIC'!$B$3:$B$81, $A105)</f>
      </c>
      <c r="C105" t="str">
        <f>B105</f>
      </c>
    </row>
    <row r="106">
      <c r="A106" t="s">
        <v>212</v>
      </c>
      <c r="B106" t="str">
        <f>SUMIFS('9_Calc_Total_ISIC'!$E$3:$E$81, '9_Calc_Total_ISIC'!$B$3:$B$81, $A106)</f>
      </c>
      <c r="C106" t="str">
        <f>B106</f>
      </c>
    </row>
    <row r="107">
      <c r="A107" t="s">
        <v>214</v>
      </c>
      <c r="B107" t="str">
        <f>SUMIFS('9_Calc_Total_ISIC'!$E$3:$E$81, '9_Calc_Total_ISIC'!$B$3:$B$81, $A107)</f>
      </c>
      <c r="C107" t="str">
        <f>B107</f>
      </c>
    </row>
    <row r="108">
      <c r="A108" t="s">
        <v>215</v>
      </c>
      <c r="B108" t="str">
        <f>SUMIFS('9_Calc_Total_ISIC'!$E$3:$E$81, '9_Calc_Total_ISIC'!$B$3:$B$81, $A108)</f>
      </c>
      <c r="C108" t="str">
        <f>B108</f>
      </c>
    </row>
    <row r="109">
      <c r="A109" t="s">
        <v>216</v>
      </c>
      <c r="B109" t="str">
        <f>SUMIFS('9_Calc_Total_ISIC'!$E$3:$E$81, '9_Calc_Total_ISIC'!$B$3:$B$81, $A109)</f>
      </c>
      <c r="C109" t="str">
        <f>B109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" topLeftCell="A3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6.71" hidden="0" customWidth="1"/>
    <col min="4" max="4" width="16.71" hidden="0" customWidth="1"/>
    <col min="5" max="5" width="16.71" hidden="0" customWidth="1"/>
    <col min="6" max="6" width="16.71" hidden="0" customWidth="1"/>
    <col min="7" max="7" width="20.71" hidden="0" customWidth="1"/>
    <col min="8" max="8" width="20.71" hidden="0" customWidth="1"/>
    <col min="9" max="9" width="20.71" hidden="0" customWidth="1"/>
    <col min="10" max="10" width="20.71" hidden="0" customWidth="1"/>
  </cols>
  <sheetData>
    <row r="1">
      <c r="A1" t="s">
        <v>582</v>
      </c>
    </row>
    <row r="2">
      <c r="A2" t="s">
        <v>188</v>
      </c>
      <c r="B2" t="s">
        <v>583</v>
      </c>
      <c r="C2" t="s">
        <v>584</v>
      </c>
      <c r="D2" t="s">
        <v>585</v>
      </c>
      <c r="E2" t="s">
        <v>586</v>
      </c>
      <c r="F2" t="s">
        <v>587</v>
      </c>
      <c r="G2" t="s">
        <v>588</v>
      </c>
      <c r="H2" t="s">
        <v>589</v>
      </c>
      <c r="I2" t="s">
        <v>590</v>
      </c>
      <c r="J2" t="s">
        <v>591</v>
      </c>
    </row>
    <row r="3">
      <c r="A3" t="s">
        <v>190</v>
      </c>
      <c r="B3" t="str">
        <f>IFERROR(INDEX('6_Calc_Gov_ISIC'!$C$85:$C$109, MATCH($A3, '6_Calc_Gov_ISIC'!$A$85:$A$109, 0)), 0)</f>
      </c>
      <c r="C3" t="str">
        <f>IFERROR(INDEX('7_Calc_HH_ISIC'!$C$85:$C$109, MATCH($A3, '7_Calc_HH_ISIC'!$A$85:$A$109, 0)), 0)</f>
      </c>
      <c r="D3" t="str">
        <f>IFERROR(INDEX('8_Calc_Intl_ISIC'!$C$85:$C$109, MATCH($A3, '8_Calc_Intl_ISIC'!$A$85:$A$109, 0)), 0)</f>
      </c>
      <c r="E3" t="str">
        <f>IFERROR(INDEX('9_Calc_Total_ISIC'!$C$85:$C$109, MATCH($A3, '9_Calc_Total_ISIC'!$A$85:$A$109, 0)), 0)</f>
      </c>
      <c r="F3" t="str">
        <f>MAX(E3, Keys!$C$5)</f>
      </c>
      <c r="G3" t="str">
        <f>B3/F3</f>
      </c>
      <c r="H3" t="str">
        <f>C3/F3</f>
      </c>
      <c r="I3" t="str">
        <f>D3/F3</f>
      </c>
      <c r="J3" t="str">
        <f>MAX(0, 1-G3-H3-I3)</f>
      </c>
    </row>
    <row r="4">
      <c r="A4" t="s">
        <v>191</v>
      </c>
      <c r="B4" t="str">
        <f>IFERROR(INDEX('6_Calc_Gov_ISIC'!$C$85:$C$109, MATCH($A4, '6_Calc_Gov_ISIC'!$A$85:$A$109, 0)), 0)</f>
      </c>
      <c r="C4" t="str">
        <f>IFERROR(INDEX('7_Calc_HH_ISIC'!$C$85:$C$109, MATCH($A4, '7_Calc_HH_ISIC'!$A$85:$A$109, 0)), 0)</f>
      </c>
      <c r="D4" t="str">
        <f>IFERROR(INDEX('8_Calc_Intl_ISIC'!$C$85:$C$109, MATCH($A4, '8_Calc_Intl_ISIC'!$A$85:$A$109, 0)), 0)</f>
      </c>
      <c r="E4" t="str">
        <f>IFERROR(INDEX('9_Calc_Total_ISIC'!$C$85:$C$109, MATCH($A4, '9_Calc_Total_ISIC'!$A$85:$A$109, 0)), 0)</f>
      </c>
      <c r="F4" t="str">
        <f>MAX(E4, Keys!$C$5)</f>
      </c>
      <c r="G4" t="str">
        <f>B4/F4</f>
      </c>
      <c r="H4" t="str">
        <f>C4/F4</f>
      </c>
      <c r="I4" t="str">
        <f>D4/F4</f>
      </c>
      <c r="J4" t="str">
        <f>MAX(0, 1-G4-H4-I4)</f>
      </c>
    </row>
    <row r="5">
      <c r="A5" t="s">
        <v>192</v>
      </c>
      <c r="B5" t="str">
        <f>IFERROR(INDEX('6_Calc_Gov_ISIC'!$C$85:$C$109, MATCH($A5, '6_Calc_Gov_ISIC'!$A$85:$A$109, 0)), 0)</f>
      </c>
      <c r="C5" t="str">
        <f>IFERROR(INDEX('7_Calc_HH_ISIC'!$C$85:$C$109, MATCH($A5, '7_Calc_HH_ISIC'!$A$85:$A$109, 0)), 0)</f>
      </c>
      <c r="D5" t="str">
        <f>IFERROR(INDEX('8_Calc_Intl_ISIC'!$C$85:$C$109, MATCH($A5, '8_Calc_Intl_ISIC'!$A$85:$A$109, 0)), 0)</f>
      </c>
      <c r="E5" t="str">
        <f>IFERROR(INDEX('9_Calc_Total_ISIC'!$C$85:$C$109, MATCH($A5, '9_Calc_Total_ISIC'!$A$85:$A$109, 0)), 0)</f>
      </c>
      <c r="F5" t="str">
        <f>MAX(E5, Keys!$C$5)</f>
      </c>
      <c r="G5" t="str">
        <f>B5/F5</f>
      </c>
      <c r="H5" t="str">
        <f>C5/F5</f>
      </c>
      <c r="I5" t="str">
        <f>D5/F5</f>
      </c>
      <c r="J5" t="str">
        <f>MAX(0, 1-G5-H5-I5)</f>
      </c>
    </row>
    <row r="6">
      <c r="A6" t="s">
        <v>193</v>
      </c>
      <c r="B6" t="str">
        <f>IFERROR(INDEX('6_Calc_Gov_ISIC'!$C$85:$C$109, MATCH($A6, '6_Calc_Gov_ISIC'!$A$85:$A$109, 0)), 0)</f>
      </c>
      <c r="C6" t="str">
        <f>IFERROR(INDEX('7_Calc_HH_ISIC'!$C$85:$C$109, MATCH($A6, '7_Calc_HH_ISIC'!$A$85:$A$109, 0)), 0)</f>
      </c>
      <c r="D6" t="str">
        <f>IFERROR(INDEX('8_Calc_Intl_ISIC'!$C$85:$C$109, MATCH($A6, '8_Calc_Intl_ISIC'!$A$85:$A$109, 0)), 0)</f>
      </c>
      <c r="E6" t="str">
        <f>IFERROR(INDEX('9_Calc_Total_ISIC'!$C$85:$C$109, MATCH($A6, '9_Calc_Total_ISIC'!$A$85:$A$109, 0)), 0)</f>
      </c>
      <c r="F6" t="str">
        <f>MAX(E6, Keys!$C$5)</f>
      </c>
      <c r="G6" t="str">
        <f>B6/F6</f>
      </c>
      <c r="H6" t="str">
        <f>C6/F6</f>
      </c>
      <c r="I6" t="str">
        <f>D6/F6</f>
      </c>
      <c r="J6" t="str">
        <f>MAX(0, 1-G6-H6-I6)</f>
      </c>
    </row>
    <row r="7">
      <c r="A7" t="s">
        <v>195</v>
      </c>
      <c r="B7" t="str">
        <f>IFERROR(INDEX('6_Calc_Gov_ISIC'!$C$85:$C$109, MATCH($A7, '6_Calc_Gov_ISIC'!$A$85:$A$109, 0)), 0)</f>
      </c>
      <c r="C7" t="str">
        <f>IFERROR(INDEX('7_Calc_HH_ISIC'!$C$85:$C$109, MATCH($A7, '7_Calc_HH_ISIC'!$A$85:$A$109, 0)), 0)</f>
      </c>
      <c r="D7" t="str">
        <f>IFERROR(INDEX('8_Calc_Intl_ISIC'!$C$85:$C$109, MATCH($A7, '8_Calc_Intl_ISIC'!$A$85:$A$109, 0)), 0)</f>
      </c>
      <c r="E7" t="str">
        <f>IFERROR(INDEX('9_Calc_Total_ISIC'!$C$85:$C$109, MATCH($A7, '9_Calc_Total_ISIC'!$A$85:$A$109, 0)), 0)</f>
      </c>
      <c r="F7" t="str">
        <f>MAX(E7, Keys!$C$5)</f>
      </c>
      <c r="G7" t="str">
        <f>B7/F7</f>
      </c>
      <c r="H7" t="str">
        <f>C7/F7</f>
      </c>
      <c r="I7" t="str">
        <f>D7/F7</f>
      </c>
      <c r="J7" t="str">
        <f>MAX(0, 1-G7-H7-I7)</f>
      </c>
    </row>
    <row r="8">
      <c r="A8" t="s">
        <v>196</v>
      </c>
      <c r="B8" t="str">
        <f>IFERROR(INDEX('6_Calc_Gov_ISIC'!$C$85:$C$109, MATCH($A8, '6_Calc_Gov_ISIC'!$A$85:$A$109, 0)), 0)</f>
      </c>
      <c r="C8" t="str">
        <f>IFERROR(INDEX('7_Calc_HH_ISIC'!$C$85:$C$109, MATCH($A8, '7_Calc_HH_ISIC'!$A$85:$A$109, 0)), 0)</f>
      </c>
      <c r="D8" t="str">
        <f>IFERROR(INDEX('8_Calc_Intl_ISIC'!$C$85:$C$109, MATCH($A8, '8_Calc_Intl_ISIC'!$A$85:$A$109, 0)), 0)</f>
      </c>
      <c r="E8" t="str">
        <f>IFERROR(INDEX('9_Calc_Total_ISIC'!$C$85:$C$109, MATCH($A8, '9_Calc_Total_ISIC'!$A$85:$A$109, 0)), 0)</f>
      </c>
      <c r="F8" t="str">
        <f>MAX(E8, Keys!$C$5)</f>
      </c>
      <c r="G8" t="str">
        <f>B8/F8</f>
      </c>
      <c r="H8" t="str">
        <f>C8/F8</f>
      </c>
      <c r="I8" t="str">
        <f>D8/F8</f>
      </c>
      <c r="J8" t="str">
        <f>MAX(0, 1-G8-H8-I8)</f>
      </c>
    </row>
    <row r="9">
      <c r="A9" t="s">
        <v>197</v>
      </c>
      <c r="B9" t="str">
        <f>IFERROR(INDEX('6_Calc_Gov_ISIC'!$C$85:$C$109, MATCH($A9, '6_Calc_Gov_ISIC'!$A$85:$A$109, 0)), 0)</f>
      </c>
      <c r="C9" t="str">
        <f>IFERROR(INDEX('7_Calc_HH_ISIC'!$C$85:$C$109, MATCH($A9, '7_Calc_HH_ISIC'!$A$85:$A$109, 0)), 0)</f>
      </c>
      <c r="D9" t="str">
        <f>IFERROR(INDEX('8_Calc_Intl_ISIC'!$C$85:$C$109, MATCH($A9, '8_Calc_Intl_ISIC'!$A$85:$A$109, 0)), 0)</f>
      </c>
      <c r="E9" t="str">
        <f>IFERROR(INDEX('9_Calc_Total_ISIC'!$C$85:$C$109, MATCH($A9, '9_Calc_Total_ISIC'!$A$85:$A$109, 0)), 0)</f>
      </c>
      <c r="F9" t="str">
        <f>MAX(E9, Keys!$C$5)</f>
      </c>
      <c r="G9" t="str">
        <f>B9/F9</f>
      </c>
      <c r="H9" t="str">
        <f>C9/F9</f>
      </c>
      <c r="I9" t="str">
        <f>D9/F9</f>
      </c>
      <c r="J9" t="str">
        <f>MAX(0, 1-G9-H9-I9)</f>
      </c>
    </row>
    <row r="10">
      <c r="A10" t="s">
        <v>198</v>
      </c>
      <c r="B10" t="str">
        <f>IFERROR(INDEX('6_Calc_Gov_ISIC'!$C$85:$C$109, MATCH($A10, '6_Calc_Gov_ISIC'!$A$85:$A$109, 0)), 0)</f>
      </c>
      <c r="C10" t="str">
        <f>IFERROR(INDEX('7_Calc_HH_ISIC'!$C$85:$C$109, MATCH($A10, '7_Calc_HH_ISIC'!$A$85:$A$109, 0)), 0)</f>
      </c>
      <c r="D10" t="str">
        <f>IFERROR(INDEX('8_Calc_Intl_ISIC'!$C$85:$C$109, MATCH($A10, '8_Calc_Intl_ISIC'!$A$85:$A$109, 0)), 0)</f>
      </c>
      <c r="E10" t="str">
        <f>IFERROR(INDEX('9_Calc_Total_ISIC'!$C$85:$C$109, MATCH($A10, '9_Calc_Total_ISIC'!$A$85:$A$109, 0)), 0)</f>
      </c>
      <c r="F10" t="str">
        <f>MAX(E10, Keys!$C$5)</f>
      </c>
      <c r="G10" t="str">
        <f>B10/F10</f>
      </c>
      <c r="H10" t="str">
        <f>C10/F10</f>
      </c>
      <c r="I10" t="str">
        <f>D10/F10</f>
      </c>
      <c r="J10" t="str">
        <f>MAX(0, 1-G10-H10-I10)</f>
      </c>
    </row>
    <row r="11">
      <c r="A11" t="s">
        <v>199</v>
      </c>
      <c r="B11" t="str">
        <f>IFERROR(INDEX('6_Calc_Gov_ISIC'!$C$85:$C$109, MATCH($A11, '6_Calc_Gov_ISIC'!$A$85:$A$109, 0)), 0)</f>
      </c>
      <c r="C11" t="str">
        <f>IFERROR(INDEX('7_Calc_HH_ISIC'!$C$85:$C$109, MATCH($A11, '7_Calc_HH_ISIC'!$A$85:$A$109, 0)), 0)</f>
      </c>
      <c r="D11" t="str">
        <f>IFERROR(INDEX('8_Calc_Intl_ISIC'!$C$85:$C$109, MATCH($A11, '8_Calc_Intl_ISIC'!$A$85:$A$109, 0)), 0)</f>
      </c>
      <c r="E11" t="str">
        <f>IFERROR(INDEX('9_Calc_Total_ISIC'!$C$85:$C$109, MATCH($A11, '9_Calc_Total_ISIC'!$A$85:$A$109, 0)), 0)</f>
      </c>
      <c r="F11" t="str">
        <f>MAX(E11, Keys!$C$5)</f>
      </c>
      <c r="G11" t="str">
        <f>B11/F11</f>
      </c>
      <c r="H11" t="str">
        <f>C11/F11</f>
      </c>
      <c r="I11" t="str">
        <f>D11/F11</f>
      </c>
      <c r="J11" t="str">
        <f>MAX(0, 1-G11-H11-I11)</f>
      </c>
    </row>
    <row r="12">
      <c r="A12" t="s">
        <v>200</v>
      </c>
      <c r="B12" t="str">
        <f>IFERROR(INDEX('6_Calc_Gov_ISIC'!$C$85:$C$109, MATCH($A12, '6_Calc_Gov_ISIC'!$A$85:$A$109, 0)), 0)</f>
      </c>
      <c r="C12" t="str">
        <f>IFERROR(INDEX('7_Calc_HH_ISIC'!$C$85:$C$109, MATCH($A12, '7_Calc_HH_ISIC'!$A$85:$A$109, 0)), 0)</f>
      </c>
      <c r="D12" t="str">
        <f>IFERROR(INDEX('8_Calc_Intl_ISIC'!$C$85:$C$109, MATCH($A12, '8_Calc_Intl_ISIC'!$A$85:$A$109, 0)), 0)</f>
      </c>
      <c r="E12" t="str">
        <f>IFERROR(INDEX('9_Calc_Total_ISIC'!$C$85:$C$109, MATCH($A12, '9_Calc_Total_ISIC'!$A$85:$A$109, 0)), 0)</f>
      </c>
      <c r="F12" t="str">
        <f>MAX(E12, Keys!$C$5)</f>
      </c>
      <c r="G12" t="str">
        <f>B12/F12</f>
      </c>
      <c r="H12" t="str">
        <f>C12/F12</f>
      </c>
      <c r="I12" t="str">
        <f>D12/F12</f>
      </c>
      <c r="J12" t="str">
        <f>MAX(0, 1-G12-H12-I12)</f>
      </c>
    </row>
    <row r="13">
      <c r="A13" t="s">
        <v>110</v>
      </c>
      <c r="B13" t="str">
        <f>IFERROR(INDEX('6_Calc_Gov_ISIC'!$C$85:$C$109, MATCH($A13, '6_Calc_Gov_ISIC'!$A$85:$A$109, 0)), 0)</f>
      </c>
      <c r="C13" t="str">
        <f>IFERROR(INDEX('7_Calc_HH_ISIC'!$C$85:$C$109, MATCH($A13, '7_Calc_HH_ISIC'!$A$85:$A$109, 0)), 0)</f>
      </c>
      <c r="D13" t="str">
        <f>IFERROR(INDEX('8_Calc_Intl_ISIC'!$C$85:$C$109, MATCH($A13, '8_Calc_Intl_ISIC'!$A$85:$A$109, 0)), 0)</f>
      </c>
      <c r="E13" t="str">
        <f>IFERROR(INDEX('9_Calc_Total_ISIC'!$C$85:$C$109, MATCH($A13, '9_Calc_Total_ISIC'!$A$85:$A$109, 0)), 0)</f>
      </c>
      <c r="F13" t="str">
        <f>MAX(E13, Keys!$C$5)</f>
      </c>
      <c r="G13" t="str">
        <f>B13/F13</f>
      </c>
      <c r="H13" t="str">
        <f>C13/F13</f>
      </c>
      <c r="I13" t="str">
        <f>D13/F13</f>
      </c>
      <c r="J13" t="str">
        <f>MAX(0, 1-G13-H13-I13)</f>
      </c>
    </row>
    <row r="14">
      <c r="A14" t="s">
        <v>202</v>
      </c>
      <c r="B14" t="str">
        <f>IFERROR(INDEX('6_Calc_Gov_ISIC'!$C$85:$C$109, MATCH($A14, '6_Calc_Gov_ISIC'!$A$85:$A$109, 0)), 0)</f>
      </c>
      <c r="C14" t="str">
        <f>IFERROR(INDEX('7_Calc_HH_ISIC'!$C$85:$C$109, MATCH($A14, '7_Calc_HH_ISIC'!$A$85:$A$109, 0)), 0)</f>
      </c>
      <c r="D14" t="str">
        <f>IFERROR(INDEX('8_Calc_Intl_ISIC'!$C$85:$C$109, MATCH($A14, '8_Calc_Intl_ISIC'!$A$85:$A$109, 0)), 0)</f>
      </c>
      <c r="E14" t="str">
        <f>IFERROR(INDEX('9_Calc_Total_ISIC'!$C$85:$C$109, MATCH($A14, '9_Calc_Total_ISIC'!$A$85:$A$109, 0)), 0)</f>
      </c>
      <c r="F14" t="str">
        <f>MAX(E14, Keys!$C$5)</f>
      </c>
      <c r="G14" t="str">
        <f>B14/F14</f>
      </c>
      <c r="H14" t="str">
        <f>C14/F14</f>
      </c>
      <c r="I14" t="str">
        <f>D14/F14</f>
      </c>
      <c r="J14" t="str">
        <f>MAX(0, 1-G14-H14-I14)</f>
      </c>
    </row>
    <row r="15">
      <c r="A15" t="s">
        <v>203</v>
      </c>
      <c r="B15" t="str">
        <f>IFERROR(INDEX('6_Calc_Gov_ISIC'!$C$85:$C$109, MATCH($A15, '6_Calc_Gov_ISIC'!$A$85:$A$109, 0)), 0)</f>
      </c>
      <c r="C15" t="str">
        <f>IFERROR(INDEX('7_Calc_HH_ISIC'!$C$85:$C$109, MATCH($A15, '7_Calc_HH_ISIC'!$A$85:$A$109, 0)), 0)</f>
      </c>
      <c r="D15" t="str">
        <f>IFERROR(INDEX('8_Calc_Intl_ISIC'!$C$85:$C$109, MATCH($A15, '8_Calc_Intl_ISIC'!$A$85:$A$109, 0)), 0)</f>
      </c>
      <c r="E15" t="str">
        <f>IFERROR(INDEX('9_Calc_Total_ISIC'!$C$85:$C$109, MATCH($A15, '9_Calc_Total_ISIC'!$A$85:$A$109, 0)), 0)</f>
      </c>
      <c r="F15" t="str">
        <f>MAX(E15, Keys!$C$5)</f>
      </c>
      <c r="G15" t="str">
        <f>B15/F15</f>
      </c>
      <c r="H15" t="str">
        <f>C15/F15</f>
      </c>
      <c r="I15" t="str">
        <f>D15/F15</f>
      </c>
      <c r="J15" t="str">
        <f>MAX(0, 1-G15-H15-I15)</f>
      </c>
    </row>
    <row r="16">
      <c r="A16" t="s">
        <v>204</v>
      </c>
      <c r="B16" t="str">
        <f>IFERROR(INDEX('6_Calc_Gov_ISIC'!$C$85:$C$109, MATCH($A16, '6_Calc_Gov_ISIC'!$A$85:$A$109, 0)), 0)</f>
      </c>
      <c r="C16" t="str">
        <f>IFERROR(INDEX('7_Calc_HH_ISIC'!$C$85:$C$109, MATCH($A16, '7_Calc_HH_ISIC'!$A$85:$A$109, 0)), 0)</f>
      </c>
      <c r="D16" t="str">
        <f>IFERROR(INDEX('8_Calc_Intl_ISIC'!$C$85:$C$109, MATCH($A16, '8_Calc_Intl_ISIC'!$A$85:$A$109, 0)), 0)</f>
      </c>
      <c r="E16" t="str">
        <f>IFERROR(INDEX('9_Calc_Total_ISIC'!$C$85:$C$109, MATCH($A16, '9_Calc_Total_ISIC'!$A$85:$A$109, 0)), 0)</f>
      </c>
      <c r="F16" t="str">
        <f>MAX(E16, Keys!$C$5)</f>
      </c>
      <c r="G16" t="str">
        <f>B16/F16</f>
      </c>
      <c r="H16" t="str">
        <f>C16/F16</f>
      </c>
      <c r="I16" t="str">
        <f>D16/F16</f>
      </c>
      <c r="J16" t="str">
        <f>MAX(0, 1-G16-H16-I16)</f>
      </c>
    </row>
    <row r="17">
      <c r="A17" t="s">
        <v>205</v>
      </c>
      <c r="B17" t="str">
        <f>IFERROR(INDEX('6_Calc_Gov_ISIC'!$C$85:$C$109, MATCH($A17, '6_Calc_Gov_ISIC'!$A$85:$A$109, 0)), 0)</f>
      </c>
      <c r="C17" t="str">
        <f>IFERROR(INDEX('7_Calc_HH_ISIC'!$C$85:$C$109, MATCH($A17, '7_Calc_HH_ISIC'!$A$85:$A$109, 0)), 0)</f>
      </c>
      <c r="D17" t="str">
        <f>IFERROR(INDEX('8_Calc_Intl_ISIC'!$C$85:$C$109, MATCH($A17, '8_Calc_Intl_ISIC'!$A$85:$A$109, 0)), 0)</f>
      </c>
      <c r="E17" t="str">
        <f>IFERROR(INDEX('9_Calc_Total_ISIC'!$C$85:$C$109, MATCH($A17, '9_Calc_Total_ISIC'!$A$85:$A$109, 0)), 0)</f>
      </c>
      <c r="F17" t="str">
        <f>MAX(E17, Keys!$C$5)</f>
      </c>
      <c r="G17" t="str">
        <f>B17/F17</f>
      </c>
      <c r="H17" t="str">
        <f>C17/F17</f>
      </c>
      <c r="I17" t="str">
        <f>D17/F17</f>
      </c>
      <c r="J17" t="str">
        <f>MAX(0, 1-G17-H17-I17)</f>
      </c>
    </row>
    <row r="18">
      <c r="A18" t="s">
        <v>206</v>
      </c>
      <c r="B18" t="str">
        <f>IFERROR(INDEX('6_Calc_Gov_ISIC'!$C$85:$C$109, MATCH($A18, '6_Calc_Gov_ISIC'!$A$85:$A$109, 0)), 0)</f>
      </c>
      <c r="C18" t="str">
        <f>IFERROR(INDEX('7_Calc_HH_ISIC'!$C$85:$C$109, MATCH($A18, '7_Calc_HH_ISIC'!$A$85:$A$109, 0)), 0)</f>
      </c>
      <c r="D18" t="str">
        <f>IFERROR(INDEX('8_Calc_Intl_ISIC'!$C$85:$C$109, MATCH($A18, '8_Calc_Intl_ISIC'!$A$85:$A$109, 0)), 0)</f>
      </c>
      <c r="E18" t="str">
        <f>IFERROR(INDEX('9_Calc_Total_ISIC'!$C$85:$C$109, MATCH($A18, '9_Calc_Total_ISIC'!$A$85:$A$109, 0)), 0)</f>
      </c>
      <c r="F18" t="str">
        <f>MAX(E18, Keys!$C$5)</f>
      </c>
      <c r="G18" t="str">
        <f>B18/F18</f>
      </c>
      <c r="H18" t="str">
        <f>C18/F18</f>
      </c>
      <c r="I18" t="str">
        <f>D18/F18</f>
      </c>
      <c r="J18" t="str">
        <f>MAX(0, 1-G18-H18-I18)</f>
      </c>
    </row>
    <row r="19">
      <c r="A19" t="s">
        <v>207</v>
      </c>
      <c r="B19" t="str">
        <f>IFERROR(INDEX('6_Calc_Gov_ISIC'!$C$85:$C$109, MATCH($A19, '6_Calc_Gov_ISIC'!$A$85:$A$109, 0)), 0)</f>
      </c>
      <c r="C19" t="str">
        <f>IFERROR(INDEX('7_Calc_HH_ISIC'!$C$85:$C$109, MATCH($A19, '7_Calc_HH_ISIC'!$A$85:$A$109, 0)), 0)</f>
      </c>
      <c r="D19" t="str">
        <f>IFERROR(INDEX('8_Calc_Intl_ISIC'!$C$85:$C$109, MATCH($A19, '8_Calc_Intl_ISIC'!$A$85:$A$109, 0)), 0)</f>
      </c>
      <c r="E19" t="str">
        <f>IFERROR(INDEX('9_Calc_Total_ISIC'!$C$85:$C$109, MATCH($A19, '9_Calc_Total_ISIC'!$A$85:$A$109, 0)), 0)</f>
      </c>
      <c r="F19" t="str">
        <f>MAX(E19, Keys!$C$5)</f>
      </c>
      <c r="G19" t="str">
        <f>B19/F19</f>
      </c>
      <c r="H19" t="str">
        <f>C19/F19</f>
      </c>
      <c r="I19" t="str">
        <f>D19/F19</f>
      </c>
      <c r="J19" t="str">
        <f>MAX(0, 1-G19-H19-I19)</f>
      </c>
    </row>
    <row r="20">
      <c r="A20" t="s">
        <v>208</v>
      </c>
      <c r="B20" t="str">
        <f>IFERROR(INDEX('6_Calc_Gov_ISIC'!$C$85:$C$109, MATCH($A20, '6_Calc_Gov_ISIC'!$A$85:$A$109, 0)), 0)</f>
      </c>
      <c r="C20" t="str">
        <f>IFERROR(INDEX('7_Calc_HH_ISIC'!$C$85:$C$109, MATCH($A20, '7_Calc_HH_ISIC'!$A$85:$A$109, 0)), 0)</f>
      </c>
      <c r="D20" t="str">
        <f>IFERROR(INDEX('8_Calc_Intl_ISIC'!$C$85:$C$109, MATCH($A20, '8_Calc_Intl_ISIC'!$A$85:$A$109, 0)), 0)</f>
      </c>
      <c r="E20" t="str">
        <f>IFERROR(INDEX('9_Calc_Total_ISIC'!$C$85:$C$109, MATCH($A20, '9_Calc_Total_ISIC'!$A$85:$A$109, 0)), 0)</f>
      </c>
      <c r="F20" t="str">
        <f>MAX(E20, Keys!$C$5)</f>
      </c>
      <c r="G20" t="str">
        <f>B20/F20</f>
      </c>
      <c r="H20" t="str">
        <f>C20/F20</f>
      </c>
      <c r="I20" t="str">
        <f>D20/F20</f>
      </c>
      <c r="J20" t="str">
        <f>MAX(0, 1-G20-H20-I20)</f>
      </c>
    </row>
    <row r="21">
      <c r="A21" t="s">
        <v>209</v>
      </c>
      <c r="B21" t="str">
        <f>IFERROR(INDEX('6_Calc_Gov_ISIC'!$C$85:$C$109, MATCH($A21, '6_Calc_Gov_ISIC'!$A$85:$A$109, 0)), 0)</f>
      </c>
      <c r="C21" t="str">
        <f>IFERROR(INDEX('7_Calc_HH_ISIC'!$C$85:$C$109, MATCH($A21, '7_Calc_HH_ISIC'!$A$85:$A$109, 0)), 0)</f>
      </c>
      <c r="D21" t="str">
        <f>IFERROR(INDEX('8_Calc_Intl_ISIC'!$C$85:$C$109, MATCH($A21, '8_Calc_Intl_ISIC'!$A$85:$A$109, 0)), 0)</f>
      </c>
      <c r="E21" t="str">
        <f>IFERROR(INDEX('9_Calc_Total_ISIC'!$C$85:$C$109, MATCH($A21, '9_Calc_Total_ISIC'!$A$85:$A$109, 0)), 0)</f>
      </c>
      <c r="F21" t="str">
        <f>MAX(E21, Keys!$C$5)</f>
      </c>
      <c r="G21" t="str">
        <f>B21/F21</f>
      </c>
      <c r="H21" t="str">
        <f>C21/F21</f>
      </c>
      <c r="I21" t="str">
        <f>D21/F21</f>
      </c>
      <c r="J21" t="str">
        <f>MAX(0, 1-G21-H21-I21)</f>
      </c>
    </row>
    <row r="22">
      <c r="A22" t="s">
        <v>210</v>
      </c>
      <c r="B22" t="str">
        <f>IFERROR(INDEX('6_Calc_Gov_ISIC'!$C$85:$C$109, MATCH($A22, '6_Calc_Gov_ISIC'!$A$85:$A$109, 0)), 0)</f>
      </c>
      <c r="C22" t="str">
        <f>IFERROR(INDEX('7_Calc_HH_ISIC'!$C$85:$C$109, MATCH($A22, '7_Calc_HH_ISIC'!$A$85:$A$109, 0)), 0)</f>
      </c>
      <c r="D22" t="str">
        <f>IFERROR(INDEX('8_Calc_Intl_ISIC'!$C$85:$C$109, MATCH($A22, '8_Calc_Intl_ISIC'!$A$85:$A$109, 0)), 0)</f>
      </c>
      <c r="E22" t="str">
        <f>IFERROR(INDEX('9_Calc_Total_ISIC'!$C$85:$C$109, MATCH($A22, '9_Calc_Total_ISIC'!$A$85:$A$109, 0)), 0)</f>
      </c>
      <c r="F22" t="str">
        <f>MAX(E22, Keys!$C$5)</f>
      </c>
      <c r="G22" t="str">
        <f>B22/F22</f>
      </c>
      <c r="H22" t="str">
        <f>C22/F22</f>
      </c>
      <c r="I22" t="str">
        <f>D22/F22</f>
      </c>
      <c r="J22" t="str">
        <f>MAX(0, 1-G22-H22-I22)</f>
      </c>
    </row>
    <row r="23">
      <c r="A23" t="s">
        <v>211</v>
      </c>
      <c r="B23" t="str">
        <f>IFERROR(INDEX('6_Calc_Gov_ISIC'!$C$85:$C$109, MATCH($A23, '6_Calc_Gov_ISIC'!$A$85:$A$109, 0)), 0)</f>
      </c>
      <c r="C23" t="str">
        <f>IFERROR(INDEX('7_Calc_HH_ISIC'!$C$85:$C$109, MATCH($A23, '7_Calc_HH_ISIC'!$A$85:$A$109, 0)), 0)</f>
      </c>
      <c r="D23" t="str">
        <f>IFERROR(INDEX('8_Calc_Intl_ISIC'!$C$85:$C$109, MATCH($A23, '8_Calc_Intl_ISIC'!$A$85:$A$109, 0)), 0)</f>
      </c>
      <c r="E23" t="str">
        <f>IFERROR(INDEX('9_Calc_Total_ISIC'!$C$85:$C$109, MATCH($A23, '9_Calc_Total_ISIC'!$A$85:$A$109, 0)), 0)</f>
      </c>
      <c r="F23" t="str">
        <f>MAX(E23, Keys!$C$5)</f>
      </c>
      <c r="G23" t="str">
        <f>B23/F23</f>
      </c>
      <c r="H23" t="str">
        <f>C23/F23</f>
      </c>
      <c r="I23" t="str">
        <f>D23/F23</f>
      </c>
      <c r="J23" t="str">
        <f>MAX(0, 1-G23-H23-I23)</f>
      </c>
    </row>
    <row r="24">
      <c r="A24" t="s">
        <v>212</v>
      </c>
      <c r="B24" t="str">
        <f>IFERROR(INDEX('6_Calc_Gov_ISIC'!$C$85:$C$109, MATCH($A24, '6_Calc_Gov_ISIC'!$A$85:$A$109, 0)), 0)</f>
      </c>
      <c r="C24" t="str">
        <f>IFERROR(INDEX('7_Calc_HH_ISIC'!$C$85:$C$109, MATCH($A24, '7_Calc_HH_ISIC'!$A$85:$A$109, 0)), 0)</f>
      </c>
      <c r="D24" t="str">
        <f>IFERROR(INDEX('8_Calc_Intl_ISIC'!$C$85:$C$109, MATCH($A24, '8_Calc_Intl_ISIC'!$A$85:$A$109, 0)), 0)</f>
      </c>
      <c r="E24" t="str">
        <f>IFERROR(INDEX('9_Calc_Total_ISIC'!$C$85:$C$109, MATCH($A24, '9_Calc_Total_ISIC'!$A$85:$A$109, 0)), 0)</f>
      </c>
      <c r="F24" t="str">
        <f>MAX(E24, Keys!$C$5)</f>
      </c>
      <c r="G24" t="str">
        <f>B24/F24</f>
      </c>
      <c r="H24" t="str">
        <f>C24/F24</f>
      </c>
      <c r="I24" t="str">
        <f>D24/F24</f>
      </c>
      <c r="J24" t="str">
        <f>MAX(0, 1-G24-H24-I24)</f>
      </c>
    </row>
    <row r="25">
      <c r="A25" t="s">
        <v>214</v>
      </c>
      <c r="B25" t="str">
        <f>IFERROR(INDEX('6_Calc_Gov_ISIC'!$C$85:$C$109, MATCH($A25, '6_Calc_Gov_ISIC'!$A$85:$A$109, 0)), 0)</f>
      </c>
      <c r="C25" t="str">
        <f>IFERROR(INDEX('7_Calc_HH_ISIC'!$C$85:$C$109, MATCH($A25, '7_Calc_HH_ISIC'!$A$85:$A$109, 0)), 0)</f>
      </c>
      <c r="D25" t="str">
        <f>IFERROR(INDEX('8_Calc_Intl_ISIC'!$C$85:$C$109, MATCH($A25, '8_Calc_Intl_ISIC'!$A$85:$A$109, 0)), 0)</f>
      </c>
      <c r="E25" t="str">
        <f>IFERROR(INDEX('9_Calc_Total_ISIC'!$C$85:$C$109, MATCH($A25, '9_Calc_Total_ISIC'!$A$85:$A$109, 0)), 0)</f>
      </c>
      <c r="F25" t="str">
        <f>MAX(E25, Keys!$C$5)</f>
      </c>
      <c r="G25" t="str">
        <f>B25/F25</f>
      </c>
      <c r="H25" t="str">
        <f>C25/F25</f>
      </c>
      <c r="I25" t="str">
        <f>D25/F25</f>
      </c>
      <c r="J25" t="str">
        <f>MAX(0, 1-G25-H25-I25)</f>
      </c>
    </row>
    <row r="26">
      <c r="A26" t="s">
        <v>215</v>
      </c>
      <c r="B26" t="str">
        <f>IFERROR(INDEX('6_Calc_Gov_ISIC'!$C$85:$C$109, MATCH($A26, '6_Calc_Gov_ISIC'!$A$85:$A$109, 0)), 0)</f>
      </c>
      <c r="C26" t="str">
        <f>IFERROR(INDEX('7_Calc_HH_ISIC'!$C$85:$C$109, MATCH($A26, '7_Calc_HH_ISIC'!$A$85:$A$109, 0)), 0)</f>
      </c>
      <c r="D26" t="str">
        <f>IFERROR(INDEX('8_Calc_Intl_ISIC'!$C$85:$C$109, MATCH($A26, '8_Calc_Intl_ISIC'!$A$85:$A$109, 0)), 0)</f>
      </c>
      <c r="E26" t="str">
        <f>IFERROR(INDEX('9_Calc_Total_ISIC'!$C$85:$C$109, MATCH($A26, '9_Calc_Total_ISIC'!$A$85:$A$109, 0)), 0)</f>
      </c>
      <c r="F26" t="str">
        <f>MAX(E26, Keys!$C$5)</f>
      </c>
      <c r="G26" t="str">
        <f>B26/F26</f>
      </c>
      <c r="H26" t="str">
        <f>C26/F26</f>
      </c>
      <c r="I26" t="str">
        <f>D26/F26</f>
      </c>
      <c r="J26" t="str">
        <f>MAX(0, 1-G26-H26-I26)</f>
      </c>
    </row>
    <row r="27">
      <c r="A27" t="s">
        <v>216</v>
      </c>
      <c r="B27" t="str">
        <f>IFERROR(INDEX('6_Calc_Gov_ISIC'!$C$85:$C$109, MATCH($A27, '6_Calc_Gov_ISIC'!$A$85:$A$109, 0)), 0)</f>
      </c>
      <c r="C27" t="str">
        <f>IFERROR(INDEX('7_Calc_HH_ISIC'!$C$85:$C$109, MATCH($A27, '7_Calc_HH_ISIC'!$A$85:$A$109, 0)), 0)</f>
      </c>
      <c r="D27" t="str">
        <f>IFERROR(INDEX('8_Calc_Intl_ISIC'!$C$85:$C$109, MATCH($A27, '8_Calc_Intl_ISIC'!$A$85:$A$109, 0)), 0)</f>
      </c>
      <c r="E27" t="str">
        <f>IFERROR(INDEX('9_Calc_Total_ISIC'!$C$85:$C$109, MATCH($A27, '9_Calc_Total_ISIC'!$A$85:$A$109, 0)), 0)</f>
      </c>
      <c r="F27" t="str">
        <f>MAX(E27, Keys!$C$5)</f>
      </c>
      <c r="G27" t="str">
        <f>B27/F27</f>
      </c>
      <c r="H27" t="str">
        <f>C27/F27</f>
      </c>
      <c r="I27" t="str">
        <f>D27/F27</f>
      </c>
      <c r="J27" t="str">
        <f>MAX(0, 1-G27-H27-I27)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38.71" hidden="0" customWidth="1"/>
    <col min="2" max="2" width="18.71" hidden="0" customWidth="1"/>
    <col min="3" max="3" width="18.71" hidden="0" customWidth="1"/>
    <col min="4" max="4" width="18.71" hidden="0" customWidth="1"/>
    <col min="5" max="5" width="18.71" hidden="0" customWidth="1"/>
  </cols>
  <sheetData>
    <row r="1">
      <c r="A1" t="s">
        <v>592</v>
      </c>
      <c r="B1" t="s">
        <v>593</v>
      </c>
      <c r="C1" t="s">
        <v>594</v>
      </c>
      <c r="D1" t="s">
        <v>595</v>
      </c>
      <c r="E1" t="s">
        <v>596</v>
      </c>
    </row>
    <row r="2">
      <c r="A2" t="s">
        <v>597</v>
      </c>
      <c r="B2" t="str">
        <f>'10_Calc_Entity_fractions'!G3</f>
      </c>
      <c r="C2" t="str">
        <f>'10_Calc_Entity_fractions'!J3</f>
      </c>
      <c r="D2" t="str">
        <f>'10_Calc_Entity_fractions'!H3</f>
      </c>
      <c r="E2" t="str">
        <f>'10_Calc_Entity_fractions'!I3</f>
      </c>
    </row>
    <row r="3">
      <c r="A3" t="s">
        <v>598</v>
      </c>
      <c r="B3" t="str">
        <f>'10_Calc_Entity_fractions'!G4</f>
      </c>
      <c r="C3" t="str">
        <f>'10_Calc_Entity_fractions'!J4</f>
      </c>
      <c r="D3" t="str">
        <f>'10_Calc_Entity_fractions'!H4</f>
      </c>
      <c r="E3" t="str">
        <f>'10_Calc_Entity_fractions'!I4</f>
      </c>
    </row>
    <row r="4">
      <c r="A4" t="s">
        <v>599</v>
      </c>
      <c r="B4" t="str">
        <f>'10_Calc_Entity_fractions'!G5</f>
      </c>
      <c r="C4" t="str">
        <f>'10_Calc_Entity_fractions'!J5</f>
      </c>
      <c r="D4" t="str">
        <f>'10_Calc_Entity_fractions'!H5</f>
      </c>
      <c r="E4" t="str">
        <f>'10_Calc_Entity_fractions'!I5</f>
      </c>
    </row>
    <row r="5">
      <c r="A5" t="s">
        <v>600</v>
      </c>
      <c r="B5" t="str">
        <f>'10_Calc_Entity_fractions'!G6</f>
      </c>
      <c r="C5" t="str">
        <f>'10_Calc_Entity_fractions'!J6</f>
      </c>
      <c r="D5" t="str">
        <f>'10_Calc_Entity_fractions'!H6</f>
      </c>
      <c r="E5" t="str">
        <f>'10_Calc_Entity_fractions'!I6</f>
      </c>
    </row>
    <row r="6">
      <c r="A6" t="s">
        <v>601</v>
      </c>
      <c r="B6" t="str">
        <f>'10_Calc_Entity_fractions'!G7</f>
      </c>
      <c r="C6" t="str">
        <f>'10_Calc_Entity_fractions'!J7</f>
      </c>
      <c r="D6" t="str">
        <f>'10_Calc_Entity_fractions'!H7</f>
      </c>
      <c r="E6" t="str">
        <f>'10_Calc_Entity_fractions'!I7</f>
      </c>
    </row>
    <row r="7">
      <c r="A7" t="s">
        <v>602</v>
      </c>
      <c r="B7" t="str">
        <f>'10_Calc_Entity_fractions'!G8</f>
      </c>
      <c r="C7" t="str">
        <f>'10_Calc_Entity_fractions'!J8</f>
      </c>
      <c r="D7" t="str">
        <f>'10_Calc_Entity_fractions'!H8</f>
      </c>
      <c r="E7" t="str">
        <f>'10_Calc_Entity_fractions'!I8</f>
      </c>
    </row>
    <row r="8">
      <c r="A8" t="s">
        <v>603</v>
      </c>
      <c r="B8" t="str">
        <f>'10_Calc_Entity_fractions'!G9</f>
      </c>
      <c r="C8" t="str">
        <f>'10_Calc_Entity_fractions'!J9</f>
      </c>
      <c r="D8" t="str">
        <f>'10_Calc_Entity_fractions'!H9</f>
      </c>
      <c r="E8" t="str">
        <f>'10_Calc_Entity_fractions'!I9</f>
      </c>
    </row>
    <row r="9">
      <c r="A9" t="s">
        <v>604</v>
      </c>
      <c r="B9" t="str">
        <f>'10_Calc_Entity_fractions'!G10</f>
      </c>
      <c r="C9" t="str">
        <f>'10_Calc_Entity_fractions'!J10</f>
      </c>
      <c r="D9" t="str">
        <f>'10_Calc_Entity_fractions'!H10</f>
      </c>
      <c r="E9" t="str">
        <f>'10_Calc_Entity_fractions'!I10</f>
      </c>
    </row>
    <row r="10">
      <c r="A10" t="s">
        <v>605</v>
      </c>
      <c r="B10" t="str">
        <f>'10_Calc_Entity_fractions'!G11</f>
      </c>
      <c r="C10" t="str">
        <f>'10_Calc_Entity_fractions'!J11</f>
      </c>
      <c r="D10" t="str">
        <f>'10_Calc_Entity_fractions'!H11</f>
      </c>
      <c r="E10" t="str">
        <f>'10_Calc_Entity_fractions'!I11</f>
      </c>
    </row>
    <row r="11">
      <c r="A11" t="s">
        <v>606</v>
      </c>
      <c r="B11" t="str">
        <f>'10_Calc_Entity_fractions'!G12</f>
      </c>
      <c r="C11" t="str">
        <f>'10_Calc_Entity_fractions'!J12</f>
      </c>
      <c r="D11" t="str">
        <f>'10_Calc_Entity_fractions'!H12</f>
      </c>
      <c r="E11" t="str">
        <f>'10_Calc_Entity_fractions'!I12</f>
      </c>
    </row>
    <row r="12">
      <c r="A12" t="s">
        <v>607</v>
      </c>
      <c r="B12" t="str">
        <f>'10_Calc_Entity_fractions'!G13</f>
      </c>
      <c r="C12" t="str">
        <f>'10_Calc_Entity_fractions'!J13</f>
      </c>
      <c r="D12" t="str">
        <f>'10_Calc_Entity_fractions'!H13</f>
      </c>
      <c r="E12" t="str">
        <f>'10_Calc_Entity_fractions'!I13</f>
      </c>
    </row>
    <row r="13">
      <c r="A13" t="s">
        <v>608</v>
      </c>
      <c r="B13" t="str">
        <f>'10_Calc_Entity_fractions'!G14</f>
      </c>
      <c r="C13" t="str">
        <f>'10_Calc_Entity_fractions'!J14</f>
      </c>
      <c r="D13" t="str">
        <f>'10_Calc_Entity_fractions'!H14</f>
      </c>
      <c r="E13" t="str">
        <f>'10_Calc_Entity_fractions'!I14</f>
      </c>
    </row>
    <row r="14">
      <c r="A14" t="s">
        <v>609</v>
      </c>
      <c r="B14" t="str">
        <f>'10_Calc_Entity_fractions'!G15</f>
      </c>
      <c r="C14" t="str">
        <f>'10_Calc_Entity_fractions'!J15</f>
      </c>
      <c r="D14" t="str">
        <f>'10_Calc_Entity_fractions'!H15</f>
      </c>
      <c r="E14" t="str">
        <f>'10_Calc_Entity_fractions'!I15</f>
      </c>
    </row>
    <row r="15">
      <c r="A15" t="s">
        <v>610</v>
      </c>
      <c r="B15" t="str">
        <f>'10_Calc_Entity_fractions'!G16</f>
      </c>
      <c r="C15" t="str">
        <f>'10_Calc_Entity_fractions'!J16</f>
      </c>
      <c r="D15" t="str">
        <f>'10_Calc_Entity_fractions'!H16</f>
      </c>
      <c r="E15" t="str">
        <f>'10_Calc_Entity_fractions'!I16</f>
      </c>
    </row>
    <row r="16">
      <c r="A16" t="s">
        <v>611</v>
      </c>
      <c r="B16" t="str">
        <f>'10_Calc_Entity_fractions'!G17</f>
      </c>
      <c r="C16" t="str">
        <f>'10_Calc_Entity_fractions'!J17</f>
      </c>
      <c r="D16" t="str">
        <f>'10_Calc_Entity_fractions'!H17</f>
      </c>
      <c r="E16" t="str">
        <f>'10_Calc_Entity_fractions'!I17</f>
      </c>
    </row>
    <row r="17">
      <c r="A17" t="s">
        <v>612</v>
      </c>
      <c r="B17" t="str">
        <f>'10_Calc_Entity_fractions'!G18</f>
      </c>
      <c r="C17" t="str">
        <f>'10_Calc_Entity_fractions'!J18</f>
      </c>
      <c r="D17" t="str">
        <f>'10_Calc_Entity_fractions'!H18</f>
      </c>
      <c r="E17" t="str">
        <f>'10_Calc_Entity_fractions'!I18</f>
      </c>
    </row>
    <row r="18">
      <c r="A18" t="s">
        <v>613</v>
      </c>
      <c r="B18" t="str">
        <f>'10_Calc_Entity_fractions'!G19</f>
      </c>
      <c r="C18" t="str">
        <f>'10_Calc_Entity_fractions'!J19</f>
      </c>
      <c r="D18" t="str">
        <f>'10_Calc_Entity_fractions'!H19</f>
      </c>
      <c r="E18" t="str">
        <f>'10_Calc_Entity_fractions'!I19</f>
      </c>
    </row>
    <row r="19">
      <c r="A19" t="s">
        <v>614</v>
      </c>
      <c r="B19" t="str">
        <f>'10_Calc_Entity_fractions'!G20</f>
      </c>
      <c r="C19" t="str">
        <f>'10_Calc_Entity_fractions'!J20</f>
      </c>
      <c r="D19" t="str">
        <f>'10_Calc_Entity_fractions'!H20</f>
      </c>
      <c r="E19" t="str">
        <f>'10_Calc_Entity_fractions'!I20</f>
      </c>
    </row>
    <row r="20">
      <c r="A20" t="s">
        <v>615</v>
      </c>
      <c r="B20" t="str">
        <f>'10_Calc_Entity_fractions'!G21</f>
      </c>
      <c r="C20" t="str">
        <f>'10_Calc_Entity_fractions'!J21</f>
      </c>
      <c r="D20" t="str">
        <f>'10_Calc_Entity_fractions'!H21</f>
      </c>
      <c r="E20" t="str">
        <f>'10_Calc_Entity_fractions'!I21</f>
      </c>
    </row>
    <row r="21">
      <c r="A21" t="s">
        <v>616</v>
      </c>
      <c r="B21" t="str">
        <f>'10_Calc_Entity_fractions'!G22</f>
      </c>
      <c r="C21" t="str">
        <f>'10_Calc_Entity_fractions'!J22</f>
      </c>
      <c r="D21" t="str">
        <f>'10_Calc_Entity_fractions'!H22</f>
      </c>
      <c r="E21" t="str">
        <f>'10_Calc_Entity_fractions'!I22</f>
      </c>
    </row>
    <row r="22">
      <c r="A22" t="s">
        <v>617</v>
      </c>
      <c r="B22" t="str">
        <f>'10_Calc_Entity_fractions'!G23</f>
      </c>
      <c r="C22" t="str">
        <f>'10_Calc_Entity_fractions'!J23</f>
      </c>
      <c r="D22" t="str">
        <f>'10_Calc_Entity_fractions'!H23</f>
      </c>
      <c r="E22" t="str">
        <f>'10_Calc_Entity_fractions'!I23</f>
      </c>
    </row>
    <row r="23">
      <c r="A23" t="s">
        <v>618</v>
      </c>
      <c r="B23" t="str">
        <f>'10_Calc_Entity_fractions'!G24</f>
      </c>
      <c r="C23" t="str">
        <f>'10_Calc_Entity_fractions'!J24</f>
      </c>
      <c r="D23" t="str">
        <f>'10_Calc_Entity_fractions'!H24</f>
      </c>
      <c r="E23" t="str">
        <f>'10_Calc_Entity_fractions'!I24</f>
      </c>
    </row>
    <row r="24">
      <c r="A24" t="s">
        <v>619</v>
      </c>
      <c r="B24" t="str">
        <f>'10_Calc_Entity_fractions'!G25</f>
      </c>
      <c r="C24" t="str">
        <f>'10_Calc_Entity_fractions'!J25</f>
      </c>
      <c r="D24" t="str">
        <f>'10_Calc_Entity_fractions'!H25</f>
      </c>
      <c r="E24" t="str">
        <f>'10_Calc_Entity_fractions'!I25</f>
      </c>
    </row>
    <row r="25">
      <c r="A25" t="s">
        <v>620</v>
      </c>
      <c r="B25" t="str">
        <f>'10_Calc_Entity_fractions'!G26</f>
      </c>
      <c r="C25" t="str">
        <f>'10_Calc_Entity_fractions'!J26</f>
      </c>
      <c r="D25" t="str">
        <f>'10_Calc_Entity_fractions'!H26</f>
      </c>
      <c r="E25" t="str">
        <f>'10_Calc_Entity_fractions'!I26</f>
      </c>
    </row>
    <row r="26">
      <c r="A26" t="s">
        <v>621</v>
      </c>
      <c r="B26" t="str">
        <f>'10_Calc_Entity_fractions'!G27</f>
      </c>
      <c r="C26" t="str">
        <f>'10_Calc_Entity_fractions'!J27</f>
      </c>
      <c r="D26" t="str">
        <f>'10_Calc_Entity_fractions'!H27</f>
      </c>
      <c r="E26" t="str">
        <f>'10_Calc_Entity_fractions'!I27</f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sheetData>
    <row r="1">
      <c r="A1" t="s">
        <v>592</v>
      </c>
      <c r="B1" t="s">
        <v>622</v>
      </c>
      <c r="C1" t="s">
        <v>623</v>
      </c>
      <c r="D1" t="s">
        <v>624</v>
      </c>
      <c r="E1" t="s">
        <v>625</v>
      </c>
      <c r="F1" t="s">
        <v>626</v>
      </c>
      <c r="G1" t="s">
        <v>627</v>
      </c>
      <c r="H1" t="s">
        <v>628</v>
      </c>
      <c r="I1" t="s">
        <v>629</v>
      </c>
      <c r="J1" t="s">
        <v>630</v>
      </c>
      <c r="K1" t="s">
        <v>631</v>
      </c>
      <c r="L1" t="s">
        <v>632</v>
      </c>
      <c r="M1" t="s">
        <v>633</v>
      </c>
      <c r="N1" t="s">
        <v>634</v>
      </c>
      <c r="O1" t="s">
        <v>635</v>
      </c>
      <c r="P1" t="s">
        <v>636</v>
      </c>
      <c r="Q1" t="s">
        <v>637</v>
      </c>
      <c r="R1" t="s">
        <v>638</v>
      </c>
      <c r="S1" t="s">
        <v>639</v>
      </c>
      <c r="T1" t="s">
        <v>640</v>
      </c>
      <c r="U1" t="s">
        <v>641</v>
      </c>
      <c r="V1" t="s">
        <v>642</v>
      </c>
      <c r="W1" t="s">
        <v>643</v>
      </c>
      <c r="X1" t="s">
        <v>644</v>
      </c>
      <c r="Y1" t="s">
        <v>645</v>
      </c>
      <c r="Z1" t="s">
        <v>646</v>
      </c>
      <c r="AA1" t="s">
        <v>647</v>
      </c>
      <c r="AB1" t="s">
        <v>648</v>
      </c>
      <c r="AC1" t="s">
        <v>649</v>
      </c>
      <c r="AD1" t="s">
        <v>650</v>
      </c>
      <c r="AE1" t="s">
        <v>651</v>
      </c>
      <c r="AF1" t="s">
        <v>652</v>
      </c>
      <c r="AG1" t="s">
        <v>653</v>
      </c>
      <c r="AH1" t="s">
        <v>654</v>
      </c>
      <c r="AI1" t="s">
        <v>655</v>
      </c>
      <c r="AJ1" t="s">
        <v>656</v>
      </c>
      <c r="AK1" t="s">
        <v>657</v>
      </c>
      <c r="AL1" t="s">
        <v>658</v>
      </c>
      <c r="AM1" t="s">
        <v>659</v>
      </c>
      <c r="AN1" t="s">
        <v>660</v>
      </c>
      <c r="AO1" t="s">
        <v>661</v>
      </c>
      <c r="AP1" t="s">
        <v>662</v>
      </c>
      <c r="AQ1" t="s">
        <v>663</v>
      </c>
    </row>
    <row r="2">
      <c r="A2" t="s">
        <v>597</v>
      </c>
      <c r="B2" t="n">
        <v>0.216622344918236</v>
      </c>
      <c r="C2" t="n">
        <v>0.000102849753473699</v>
      </c>
      <c r="D2" t="n">
        <v>0</v>
      </c>
      <c r="E2" t="n">
        <v>0.0000614812860940298</v>
      </c>
      <c r="F2" t="n">
        <v>0.00000252720093354906</v>
      </c>
      <c r="G2" t="n">
        <v>0.619276241092465</v>
      </c>
      <c r="H2" t="n">
        <v>0.00149840001542591</v>
      </c>
      <c r="I2" t="n">
        <v>0.0106012291090049</v>
      </c>
      <c r="J2" t="n">
        <v>0.00527799629215953</v>
      </c>
      <c r="K2" t="n">
        <v>0</v>
      </c>
      <c r="L2" t="n">
        <v>0.02635852739364</v>
      </c>
      <c r="M2" t="n">
        <v>0.0215660678675237</v>
      </c>
      <c r="N2" t="n">
        <v>0.0114020366286523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0.00248078257403426</v>
      </c>
      <c r="Z2" t="n">
        <v>0</v>
      </c>
      <c r="AA2" t="n">
        <v>0</v>
      </c>
      <c r="AB2" t="n">
        <v>0</v>
      </c>
      <c r="AC2" t="n">
        <v>0.00277373945432307</v>
      </c>
      <c r="AD2" t="n">
        <v>0.00981421908265885</v>
      </c>
      <c r="AE2" t="n">
        <v>0.000115943084469162</v>
      </c>
      <c r="AF2" t="n">
        <v>0.0388444685244985</v>
      </c>
      <c r="AG2" t="n">
        <v>0</v>
      </c>
      <c r="AH2" t="n">
        <v>0</v>
      </c>
      <c r="AI2" t="n">
        <v>0</v>
      </c>
      <c r="AJ2" t="n">
        <v>0.00000215461220429075</v>
      </c>
      <c r="AK2" t="n">
        <v>0.00000671977847062708</v>
      </c>
      <c r="AL2" t="n">
        <v>0.00871191397573236</v>
      </c>
      <c r="AM2" t="n">
        <v>0.0201800834594051</v>
      </c>
      <c r="AN2" t="n">
        <v>0.000824854356161555</v>
      </c>
      <c r="AO2" t="n">
        <v>0</v>
      </c>
      <c r="AP2" t="n">
        <v>0.00347541954043324</v>
      </c>
      <c r="AQ2" t="n">
        <v>0</v>
      </c>
    </row>
    <row r="3">
      <c r="A3" t="s">
        <v>598</v>
      </c>
      <c r="B3" t="n">
        <v>0.0150643217436494</v>
      </c>
      <c r="C3" t="n">
        <v>0.0373836231412716</v>
      </c>
      <c r="D3" t="n">
        <v>0.0000254035007055321</v>
      </c>
      <c r="E3" t="n">
        <v>0.0223470951747848</v>
      </c>
      <c r="F3" t="n">
        <v>0.000120648598710116</v>
      </c>
      <c r="G3" t="n">
        <v>0.0217008341783022</v>
      </c>
      <c r="H3" t="n">
        <v>0.000190399058182968</v>
      </c>
      <c r="I3" t="n">
        <v>0.0000462370111686295</v>
      </c>
      <c r="J3" t="n">
        <v>0.0155653310194799</v>
      </c>
      <c r="K3" t="n">
        <v>0.0552535243768056</v>
      </c>
      <c r="L3" t="n">
        <v>0.0687958384296831</v>
      </c>
      <c r="M3" t="n">
        <v>0.0562875041697407</v>
      </c>
      <c r="N3" t="n">
        <v>0.00306507723894924</v>
      </c>
      <c r="O3" t="n">
        <v>0.0119255466651615</v>
      </c>
      <c r="P3" t="n">
        <v>0.107329919986454</v>
      </c>
      <c r="Q3" t="n">
        <v>0.060173133697846</v>
      </c>
      <c r="R3" t="n">
        <v>0.0473979232141152</v>
      </c>
      <c r="S3" t="n">
        <v>0.0110391197708398</v>
      </c>
      <c r="T3" t="n">
        <v>0.0000717322142433719</v>
      </c>
      <c r="U3" t="n">
        <v>0.00224507904555171</v>
      </c>
      <c r="V3" t="n">
        <v>0.0033621865356183</v>
      </c>
      <c r="W3" t="n">
        <v>0.00100789246114278</v>
      </c>
      <c r="X3" t="n">
        <v>0.000144491895325695</v>
      </c>
      <c r="Y3" t="n">
        <v>0.00258802279755274</v>
      </c>
      <c r="Z3" t="n">
        <v>0.0579354665655105</v>
      </c>
      <c r="AA3" t="n">
        <v>0.0160931851570862</v>
      </c>
      <c r="AB3" t="n">
        <v>0.00704959984412365</v>
      </c>
      <c r="AC3" t="n">
        <v>0.177514425145</v>
      </c>
      <c r="AD3" t="n">
        <v>0.00045588540770851</v>
      </c>
      <c r="AE3" t="n">
        <v>0.00280850892114118</v>
      </c>
      <c r="AF3" t="n">
        <v>0.0110343863008825</v>
      </c>
      <c r="AG3" t="n">
        <v>0.000921922247078825</v>
      </c>
      <c r="AH3" t="n">
        <v>0.00206909978657721</v>
      </c>
      <c r="AI3" t="n">
        <v>0.00731178117316445</v>
      </c>
      <c r="AJ3" t="n">
        <v>0</v>
      </c>
      <c r="AK3" t="n">
        <v>0.0000712607082964198</v>
      </c>
      <c r="AL3" t="n">
        <v>0.0350304253545124</v>
      </c>
      <c r="AM3" t="n">
        <v>0.0971587199633451</v>
      </c>
      <c r="AN3" t="n">
        <v>0.00666981823265924</v>
      </c>
      <c r="AO3" t="n">
        <v>0.00243611551256955</v>
      </c>
      <c r="AP3" t="n">
        <v>0.0323085137550597</v>
      </c>
      <c r="AQ3" t="n">
        <v>0</v>
      </c>
    </row>
    <row r="4">
      <c r="A4" t="s">
        <v>599</v>
      </c>
      <c r="B4" t="n">
        <v>0</v>
      </c>
      <c r="C4" t="n">
        <v>0</v>
      </c>
      <c r="D4" t="n">
        <v>0.000303443752142657</v>
      </c>
      <c r="E4" t="n">
        <v>0</v>
      </c>
      <c r="F4" t="n">
        <v>0.000000956954676373588</v>
      </c>
      <c r="G4" t="n">
        <v>0.0000000112041644984662</v>
      </c>
      <c r="H4" t="n">
        <v>0</v>
      </c>
      <c r="I4" t="n">
        <v>0.00000237452381289251</v>
      </c>
      <c r="J4" t="n">
        <v>0.0000047894246554719</v>
      </c>
      <c r="K4" t="n">
        <v>0.945349506851764</v>
      </c>
      <c r="L4" t="n">
        <v>0.00100744171674476</v>
      </c>
      <c r="M4" t="n">
        <v>0.000824270495518441</v>
      </c>
      <c r="N4" t="n">
        <v>0</v>
      </c>
      <c r="O4" t="n">
        <v>0.000000000861136203933099</v>
      </c>
      <c r="P4" t="n">
        <v>0.00000000775022583539789</v>
      </c>
      <c r="Q4" t="n">
        <v>0.0383648748012529</v>
      </c>
      <c r="R4" t="n">
        <v>0.0000000118485542801556</v>
      </c>
      <c r="S4" t="n">
        <v>0</v>
      </c>
      <c r="T4" t="n">
        <v>0</v>
      </c>
      <c r="U4" t="n">
        <v>0</v>
      </c>
      <c r="V4" t="n">
        <v>0</v>
      </c>
      <c r="W4" t="n">
        <v>0.00000000787103608400407</v>
      </c>
      <c r="X4" t="n">
        <v>0</v>
      </c>
      <c r="Y4" t="n">
        <v>0</v>
      </c>
      <c r="Z4" t="n">
        <v>0.00630496206064048</v>
      </c>
      <c r="AA4" t="n">
        <v>0.00175784886999577</v>
      </c>
      <c r="AB4" t="n">
        <v>0.000705790360460336</v>
      </c>
      <c r="AC4" t="n">
        <v>0</v>
      </c>
      <c r="AD4" t="n">
        <v>0.0000219781484342216</v>
      </c>
      <c r="AE4" t="n">
        <v>0.000161138802476854</v>
      </c>
      <c r="AF4" t="n">
        <v>0.0000000177355866038664</v>
      </c>
      <c r="AG4" t="n">
        <v>0.0000694548632158994</v>
      </c>
      <c r="AH4" t="n">
        <v>0.00000313451111827641</v>
      </c>
      <c r="AI4" t="n">
        <v>0.0000167203476259838</v>
      </c>
      <c r="AJ4" t="n">
        <v>0</v>
      </c>
      <c r="AK4" t="n">
        <v>0.0000339211776636162</v>
      </c>
      <c r="AL4" t="n">
        <v>0.0000117202121598878</v>
      </c>
      <c r="AM4" t="n">
        <v>0.00450826506203783</v>
      </c>
      <c r="AN4" t="n">
        <v>0.000473257785839907</v>
      </c>
      <c r="AO4" t="n">
        <v>0.0000000187961736424205</v>
      </c>
      <c r="AP4" t="n">
        <v>0.0000740732108862167</v>
      </c>
      <c r="AQ4" t="n">
        <v>0</v>
      </c>
    </row>
    <row r="5">
      <c r="A5" t="s">
        <v>600</v>
      </c>
      <c r="B5" t="n">
        <v>0.0150643217436494</v>
      </c>
      <c r="C5" t="n">
        <v>0.0373836231412716</v>
      </c>
      <c r="D5" t="n">
        <v>0.0000254035007055321</v>
      </c>
      <c r="E5" t="n">
        <v>0.0223470951747848</v>
      </c>
      <c r="F5" t="n">
        <v>0.000120648598710116</v>
      </c>
      <c r="G5" t="n">
        <v>0.0217008341783022</v>
      </c>
      <c r="H5" t="n">
        <v>0.000190399058182968</v>
      </c>
      <c r="I5" t="n">
        <v>0.0000462370111686295</v>
      </c>
      <c r="J5" t="n">
        <v>0.0155653310194799</v>
      </c>
      <c r="K5" t="n">
        <v>0.0552535243768056</v>
      </c>
      <c r="L5" t="n">
        <v>0.0687958384296831</v>
      </c>
      <c r="M5" t="n">
        <v>0.0562875041697407</v>
      </c>
      <c r="N5" t="n">
        <v>0.00306507723894924</v>
      </c>
      <c r="O5" t="n">
        <v>0.0119255466651615</v>
      </c>
      <c r="P5" t="n">
        <v>0.107329919986454</v>
      </c>
      <c r="Q5" t="n">
        <v>0.060173133697846</v>
      </c>
      <c r="R5" t="n">
        <v>0.0473979232141152</v>
      </c>
      <c r="S5" t="n">
        <v>0.0110391197708398</v>
      </c>
      <c r="T5" t="n">
        <v>0.0000717322142433719</v>
      </c>
      <c r="U5" t="n">
        <v>0.00224507904555171</v>
      </c>
      <c r="V5" t="n">
        <v>0.0033621865356183</v>
      </c>
      <c r="W5" t="n">
        <v>0.00100789246114278</v>
      </c>
      <c r="X5" t="n">
        <v>0.000144491895325695</v>
      </c>
      <c r="Y5" t="n">
        <v>0.00258802279755274</v>
      </c>
      <c r="Z5" t="n">
        <v>0.0579354665655105</v>
      </c>
      <c r="AA5" t="n">
        <v>0.0160931851570862</v>
      </c>
      <c r="AB5" t="n">
        <v>0.00704959984412365</v>
      </c>
      <c r="AC5" t="n">
        <v>0.177514425145</v>
      </c>
      <c r="AD5" t="n">
        <v>0.00045588540770851</v>
      </c>
      <c r="AE5" t="n">
        <v>0.00280850892114118</v>
      </c>
      <c r="AF5" t="n">
        <v>0.0110343863008825</v>
      </c>
      <c r="AG5" t="n">
        <v>0.000921922247078825</v>
      </c>
      <c r="AH5" t="n">
        <v>0.00206909978657721</v>
      </c>
      <c r="AI5" t="n">
        <v>0.00731178117316445</v>
      </c>
      <c r="AJ5" t="n">
        <v>0</v>
      </c>
      <c r="AK5" t="n">
        <v>0.0000712607082964198</v>
      </c>
      <c r="AL5" t="n">
        <v>0.0350304253545124</v>
      </c>
      <c r="AM5" t="n">
        <v>0.0971587199633451</v>
      </c>
      <c r="AN5" t="n">
        <v>0.00666981823265923</v>
      </c>
      <c r="AO5" t="n">
        <v>0.00243611551256955</v>
      </c>
      <c r="AP5" t="n">
        <v>0.0323085137550597</v>
      </c>
      <c r="AQ5" t="n">
        <v>0</v>
      </c>
    </row>
    <row r="6">
      <c r="A6" t="s">
        <v>601</v>
      </c>
      <c r="B6" t="n">
        <v>0.0525615784446998</v>
      </c>
      <c r="C6" t="n">
        <v>0</v>
      </c>
      <c r="D6" t="n">
        <v>0</v>
      </c>
      <c r="E6" t="n">
        <v>0</v>
      </c>
      <c r="F6" t="n">
        <v>0</v>
      </c>
      <c r="G6" t="n">
        <v>0.465381638848724</v>
      </c>
      <c r="H6" t="n">
        <v>0.000409717653389793</v>
      </c>
      <c r="I6" t="n">
        <v>0.0000193517855087896</v>
      </c>
      <c r="J6" t="n">
        <v>0.00165099556087628</v>
      </c>
      <c r="K6" t="n">
        <v>0.00166748589550649</v>
      </c>
      <c r="L6" t="n">
        <v>0.0105698833072099</v>
      </c>
      <c r="M6" t="n">
        <v>0.00864808634226264</v>
      </c>
      <c r="N6" t="n">
        <v>0.000981157395930161</v>
      </c>
      <c r="O6" t="n">
        <v>0.0000972776276048671</v>
      </c>
      <c r="P6" t="n">
        <v>0.000875498648443804</v>
      </c>
      <c r="Q6" t="n">
        <v>0.000072830300473214</v>
      </c>
      <c r="R6" t="n">
        <v>0.00000422114459086662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0.0000220502419114825</v>
      </c>
      <c r="Z6" t="n">
        <v>0</v>
      </c>
      <c r="AA6" t="n">
        <v>0</v>
      </c>
      <c r="AB6" t="n">
        <v>0</v>
      </c>
      <c r="AC6" t="n">
        <v>0</v>
      </c>
      <c r="AD6" t="n">
        <v>0.0184158063178811</v>
      </c>
      <c r="AE6" t="n">
        <v>0.00324360729736234</v>
      </c>
      <c r="AF6" t="n">
        <v>0.188668788527023</v>
      </c>
      <c r="AG6" t="n">
        <v>0.0000610570817474017</v>
      </c>
      <c r="AH6" t="n">
        <v>0</v>
      </c>
      <c r="AI6" t="n">
        <v>0.000329885115329649</v>
      </c>
      <c r="AJ6" t="n">
        <v>0</v>
      </c>
      <c r="AK6" t="n">
        <v>0</v>
      </c>
      <c r="AL6" t="n">
        <v>0.012347094520832</v>
      </c>
      <c r="AM6" t="n">
        <v>0.130695974255944</v>
      </c>
      <c r="AN6" t="n">
        <v>0.0155733541377667</v>
      </c>
      <c r="AO6" t="n">
        <v>0.0640012583147577</v>
      </c>
      <c r="AP6" t="n">
        <v>0.0237014012342235</v>
      </c>
      <c r="AQ6" t="n">
        <v>0</v>
      </c>
    </row>
    <row r="7">
      <c r="A7" t="s">
        <v>602</v>
      </c>
      <c r="B7" t="n">
        <v>0.00207628444666092</v>
      </c>
      <c r="C7" t="n">
        <v>0.0000103619823829508</v>
      </c>
      <c r="D7" t="n">
        <v>0</v>
      </c>
      <c r="E7" t="n">
        <v>0.00000619416169578279</v>
      </c>
      <c r="F7" t="n">
        <v>0</v>
      </c>
      <c r="G7" t="n">
        <v>0.00397174605510086</v>
      </c>
      <c r="H7" t="n">
        <v>0.0849596072109942</v>
      </c>
      <c r="I7" t="n">
        <v>0.00249444583762694</v>
      </c>
      <c r="J7" t="n">
        <v>0.11868147638876</v>
      </c>
      <c r="K7" t="n">
        <v>0.000626191175894627</v>
      </c>
      <c r="L7" t="n">
        <v>0.0000408016786810113</v>
      </c>
      <c r="M7" t="n">
        <v>0.0000333831916481001</v>
      </c>
      <c r="N7" t="n">
        <v>0.0793326330653286</v>
      </c>
      <c r="O7" t="n">
        <v>0.000313919331368954</v>
      </c>
      <c r="P7" t="n">
        <v>0.00282527398232059</v>
      </c>
      <c r="Q7" t="n">
        <v>0.000025412545119553</v>
      </c>
      <c r="R7" t="n">
        <v>0</v>
      </c>
      <c r="S7" t="n">
        <v>0.0000116536425828969</v>
      </c>
      <c r="T7" t="n">
        <v>0.00000862691217684982</v>
      </c>
      <c r="U7" t="n">
        <v>0</v>
      </c>
      <c r="V7" t="n">
        <v>0.0125148934532494</v>
      </c>
      <c r="W7" t="n">
        <v>0.0448332849313623</v>
      </c>
      <c r="X7" t="n">
        <v>0.00169761545882574</v>
      </c>
      <c r="Y7" t="n">
        <v>0.069310285433395</v>
      </c>
      <c r="Z7" t="n">
        <v>0</v>
      </c>
      <c r="AA7" t="n">
        <v>0.0000177941997194752</v>
      </c>
      <c r="AB7" t="n">
        <v>0.00401698035275146</v>
      </c>
      <c r="AC7" t="n">
        <v>0.0162648448566721</v>
      </c>
      <c r="AD7" t="n">
        <v>0.172019147307313</v>
      </c>
      <c r="AE7" t="n">
        <v>0.001316607552809</v>
      </c>
      <c r="AF7" t="n">
        <v>0.052070012511118</v>
      </c>
      <c r="AG7" t="n">
        <v>0.00769958739943194</v>
      </c>
      <c r="AH7" t="n">
        <v>0.0140878788500915</v>
      </c>
      <c r="AI7" t="n">
        <v>0.0000262152060554514</v>
      </c>
      <c r="AJ7" t="n">
        <v>0</v>
      </c>
      <c r="AK7" t="n">
        <v>0.000844835799829365</v>
      </c>
      <c r="AL7" t="n">
        <v>0.0196477476500269</v>
      </c>
      <c r="AM7" t="n">
        <v>0.112981299563858</v>
      </c>
      <c r="AN7" t="n">
        <v>0.00234498038000306</v>
      </c>
      <c r="AO7" t="n">
        <v>0.11018796166517</v>
      </c>
      <c r="AP7" t="n">
        <v>0.0627000158199756</v>
      </c>
      <c r="AQ7" t="n">
        <v>0</v>
      </c>
    </row>
    <row r="8">
      <c r="A8" t="s">
        <v>603</v>
      </c>
      <c r="B8" t="n">
        <v>0.00493729002176055</v>
      </c>
      <c r="C8" t="n">
        <v>0.000646849142438035</v>
      </c>
      <c r="D8" t="n">
        <v>0</v>
      </c>
      <c r="E8" t="n">
        <v>0.000386671973852424</v>
      </c>
      <c r="F8" t="n">
        <v>0.000171554252721851</v>
      </c>
      <c r="G8" t="n">
        <v>0.00436154701693825</v>
      </c>
      <c r="H8" t="n">
        <v>0.000258244537084606</v>
      </c>
      <c r="I8" t="n">
        <v>0.10739701673048</v>
      </c>
      <c r="J8" t="n">
        <v>0.0355816775525385</v>
      </c>
      <c r="K8" t="n">
        <v>0</v>
      </c>
      <c r="L8" t="n">
        <v>0.00217093209043064</v>
      </c>
      <c r="M8" t="n">
        <v>0.00177621716489779</v>
      </c>
      <c r="N8" t="n">
        <v>0.0371352677844414</v>
      </c>
      <c r="O8" t="n">
        <v>0.000157364020236826</v>
      </c>
      <c r="P8" t="n">
        <v>0.00141627618213143</v>
      </c>
      <c r="Q8" t="n">
        <v>0.00206171234217834</v>
      </c>
      <c r="R8" t="n">
        <v>0.00168685555269137</v>
      </c>
      <c r="S8" t="n">
        <v>0.00328522065480155</v>
      </c>
      <c r="T8" t="n">
        <v>0.00165374446882704</v>
      </c>
      <c r="U8" t="n">
        <v>0.00939135479586594</v>
      </c>
      <c r="V8" t="n">
        <v>0.0182436447643194</v>
      </c>
      <c r="W8" t="n">
        <v>0.0249828018446708</v>
      </c>
      <c r="X8" t="n">
        <v>0.000251826013974376</v>
      </c>
      <c r="Y8" t="n">
        <v>0.0800557008104506</v>
      </c>
      <c r="Z8" t="n">
        <v>0.0000372427960799562</v>
      </c>
      <c r="AA8" t="n">
        <v>0.0000823841442463225</v>
      </c>
      <c r="AB8" t="n">
        <v>0.00031656614903766</v>
      </c>
      <c r="AC8" t="n">
        <v>0.363678388478475</v>
      </c>
      <c r="AD8" t="n">
        <v>0.0980059449707703</v>
      </c>
      <c r="AE8" t="n">
        <v>0.0417588426040352</v>
      </c>
      <c r="AF8" t="n">
        <v>0.0176153307497967</v>
      </c>
      <c r="AG8" t="n">
        <v>0.00199740024843511</v>
      </c>
      <c r="AH8" t="n">
        <v>0.00423591403297104</v>
      </c>
      <c r="AI8" t="n">
        <v>0.00906291815648587</v>
      </c>
      <c r="AJ8" t="n">
        <v>0.00283445052001907</v>
      </c>
      <c r="AK8" t="n">
        <v>0.0447606702565855</v>
      </c>
      <c r="AL8" t="n">
        <v>0.0262140501082281</v>
      </c>
      <c r="AM8" t="n">
        <v>0.0285169798271621</v>
      </c>
      <c r="AN8" t="n">
        <v>0.000481586164519496</v>
      </c>
      <c r="AO8" t="n">
        <v>0.015658620521446</v>
      </c>
      <c r="AP8" t="n">
        <v>0.00673294055397453</v>
      </c>
      <c r="AQ8" t="n">
        <v>0</v>
      </c>
    </row>
    <row r="9">
      <c r="A9" t="s">
        <v>604</v>
      </c>
      <c r="B9" t="n">
        <v>0.00171039704107011</v>
      </c>
      <c r="C9" t="n">
        <v>0.000223464219080072</v>
      </c>
      <c r="D9" t="n">
        <v>0.00000722847630054637</v>
      </c>
      <c r="E9" t="n">
        <v>0.000133581920432645</v>
      </c>
      <c r="F9" t="n">
        <v>0.0000152741026547275</v>
      </c>
      <c r="G9" t="n">
        <v>0.0949059252805702</v>
      </c>
      <c r="H9" t="n">
        <v>0.000475097899779048</v>
      </c>
      <c r="I9" t="n">
        <v>0.0012748528562473</v>
      </c>
      <c r="J9" t="n">
        <v>0.193088836754066</v>
      </c>
      <c r="K9" t="n">
        <v>0.00163242117620142</v>
      </c>
      <c r="L9" t="n">
        <v>0.016371051730667</v>
      </c>
      <c r="M9" t="n">
        <v>0.0133944968705457</v>
      </c>
      <c r="N9" t="n">
        <v>0.0259500439351935</v>
      </c>
      <c r="O9" t="n">
        <v>0.000406631826214257</v>
      </c>
      <c r="P9" t="n">
        <v>0.00365968643592831</v>
      </c>
      <c r="Q9" t="n">
        <v>0.00198541267455809</v>
      </c>
      <c r="R9" t="n">
        <v>0.00157022555949354</v>
      </c>
      <c r="S9" t="n">
        <v>0.00971765245002736</v>
      </c>
      <c r="T9" t="n">
        <v>0.00113039082544768</v>
      </c>
      <c r="U9" t="n">
        <v>0.00551135803105822</v>
      </c>
      <c r="V9" t="n">
        <v>0.012268672530136</v>
      </c>
      <c r="W9" t="n">
        <v>0.0114630162911348</v>
      </c>
      <c r="X9" t="n">
        <v>0.000170910415503859</v>
      </c>
      <c r="Y9" t="n">
        <v>0.0124783451472733</v>
      </c>
      <c r="Z9" t="n">
        <v>0.0000915801592858775</v>
      </c>
      <c r="AA9" t="n">
        <v>0.000199246237134331</v>
      </c>
      <c r="AB9" t="n">
        <v>0.00114668695469424</v>
      </c>
      <c r="AC9" t="n">
        <v>0.00782913824413086</v>
      </c>
      <c r="AD9" t="n">
        <v>0.142637403756748</v>
      </c>
      <c r="AE9" t="n">
        <v>0.0200045487749643</v>
      </c>
      <c r="AF9" t="n">
        <v>0.0337752360398892</v>
      </c>
      <c r="AG9" t="n">
        <v>0.017387338721814</v>
      </c>
      <c r="AH9" t="n">
        <v>0.00208342546124902</v>
      </c>
      <c r="AI9" t="n">
        <v>0.020779405578555</v>
      </c>
      <c r="AJ9" t="n">
        <v>0.0658356690880969</v>
      </c>
      <c r="AK9" t="n">
        <v>0.0022259462919113</v>
      </c>
      <c r="AL9" t="n">
        <v>0.103391602882613</v>
      </c>
      <c r="AM9" t="n">
        <v>0.0918553660100718</v>
      </c>
      <c r="AN9" t="n">
        <v>0.00576231334157354</v>
      </c>
      <c r="AO9" t="n">
        <v>0.0583922627773757</v>
      </c>
      <c r="AP9" t="n">
        <v>0.0170578552303098</v>
      </c>
      <c r="AQ9" t="n">
        <v>0</v>
      </c>
    </row>
    <row r="10">
      <c r="A10" t="s">
        <v>605</v>
      </c>
      <c r="B10" t="n">
        <v>0.0213783815718729</v>
      </c>
      <c r="C10" t="n">
        <v>0.00389903809321292</v>
      </c>
      <c r="D10" t="n">
        <v>0.000331616112344686</v>
      </c>
      <c r="E10" t="n">
        <v>0.00233075791048584</v>
      </c>
      <c r="F10" t="n">
        <v>0.000443469361587373</v>
      </c>
      <c r="G10" t="n">
        <v>0.00896419294615909</v>
      </c>
      <c r="H10" t="n">
        <v>0.000079917793160375</v>
      </c>
      <c r="I10" t="n">
        <v>0.000922938974544953</v>
      </c>
      <c r="J10" t="n">
        <v>0.00556775305079457</v>
      </c>
      <c r="K10" t="n">
        <v>0.0741910189551162</v>
      </c>
      <c r="L10" t="n">
        <v>0.0216697149248355</v>
      </c>
      <c r="M10" t="n">
        <v>0.0177297667566836</v>
      </c>
      <c r="N10" t="n">
        <v>0.003706888987081</v>
      </c>
      <c r="O10" t="n">
        <v>0.000135728943028249</v>
      </c>
      <c r="P10" t="n">
        <v>0.00122156048725424</v>
      </c>
      <c r="Q10" t="n">
        <v>0.00492425090210444</v>
      </c>
      <c r="R10" t="n">
        <v>0.00156549034141098</v>
      </c>
      <c r="S10" t="n">
        <v>0.00524944392062773</v>
      </c>
      <c r="T10" t="n">
        <v>0.00026416814213078</v>
      </c>
      <c r="U10" t="n">
        <v>0.00243370159860454</v>
      </c>
      <c r="V10" t="n">
        <v>0.00492814403281717</v>
      </c>
      <c r="W10" t="n">
        <v>0.000949997875758848</v>
      </c>
      <c r="X10" t="n">
        <v>0.000054933220312511</v>
      </c>
      <c r="Y10" t="n">
        <v>0.00420668110888545</v>
      </c>
      <c r="Z10" t="n">
        <v>0.0347324521074568</v>
      </c>
      <c r="AA10" t="n">
        <v>0.00999762610154372</v>
      </c>
      <c r="AB10" t="n">
        <v>0.0077274788857466</v>
      </c>
      <c r="AC10" t="n">
        <v>0.0879729563795025</v>
      </c>
      <c r="AD10" t="n">
        <v>0.0233892818631707</v>
      </c>
      <c r="AE10" t="n">
        <v>0.28139021049834</v>
      </c>
      <c r="AF10" t="n">
        <v>0.0123446552304703</v>
      </c>
      <c r="AG10" t="n">
        <v>0.00104659056689785</v>
      </c>
      <c r="AH10" t="n">
        <v>0.000893219182116511</v>
      </c>
      <c r="AI10" t="n">
        <v>0.00436125869372474</v>
      </c>
      <c r="AJ10" t="n">
        <v>0.028134996570355</v>
      </c>
      <c r="AK10" t="n">
        <v>0.00930997328444415</v>
      </c>
      <c r="AL10" t="n">
        <v>0.0300236211556796</v>
      </c>
      <c r="AM10" t="n">
        <v>0.255438810624264</v>
      </c>
      <c r="AN10" t="n">
        <v>0.00415100965546845</v>
      </c>
      <c r="AO10" t="n">
        <v>0.0111192578272587</v>
      </c>
      <c r="AP10" t="n">
        <v>0.0108170453627461</v>
      </c>
      <c r="AQ10" t="n">
        <v>0</v>
      </c>
    </row>
    <row r="11">
      <c r="A11" t="s">
        <v>606</v>
      </c>
      <c r="B11" t="n">
        <v>0.0262272908633798</v>
      </c>
      <c r="C11" t="n">
        <v>0.000992836062961133</v>
      </c>
      <c r="D11" t="n">
        <v>0.000194152912161027</v>
      </c>
      <c r="E11" t="n">
        <v>0.00059349522939783</v>
      </c>
      <c r="F11" t="n">
        <v>0.000152140907744215</v>
      </c>
      <c r="G11" t="n">
        <v>0.0126565707406784</v>
      </c>
      <c r="H11" t="n">
        <v>0.00538176500074202</v>
      </c>
      <c r="I11" t="n">
        <v>0.00167857292987629</v>
      </c>
      <c r="J11" t="n">
        <v>0.0154502163104634</v>
      </c>
      <c r="K11" t="n">
        <v>0.0612037724407863</v>
      </c>
      <c r="L11" t="n">
        <v>0.239578384412427</v>
      </c>
      <c r="M11" t="n">
        <v>0.196018678155622</v>
      </c>
      <c r="N11" t="n">
        <v>0.153890741290239</v>
      </c>
      <c r="O11" t="n">
        <v>0.0004186864892126</v>
      </c>
      <c r="P11" t="n">
        <v>0.0037681784029134</v>
      </c>
      <c r="Q11" t="n">
        <v>0.00327944000413721</v>
      </c>
      <c r="R11" t="n">
        <v>0.000650965137552428</v>
      </c>
      <c r="S11" t="n">
        <v>0.0126146869952624</v>
      </c>
      <c r="T11" t="n">
        <v>0.00179966097595932</v>
      </c>
      <c r="U11" t="n">
        <v>0.00425704819106667</v>
      </c>
      <c r="V11" t="n">
        <v>0.00663293327063828</v>
      </c>
      <c r="W11" t="n">
        <v>0.0112613587901136</v>
      </c>
      <c r="X11" t="n">
        <v>0.000178128688315127</v>
      </c>
      <c r="Y11" t="n">
        <v>0.0144438466997731</v>
      </c>
      <c r="Z11" t="n">
        <v>0.00105092817161865</v>
      </c>
      <c r="AA11" t="n">
        <v>0.00029504701798283</v>
      </c>
      <c r="AB11" t="n">
        <v>0.00238247735893393</v>
      </c>
      <c r="AC11" t="n">
        <v>0.0137943825120246</v>
      </c>
      <c r="AD11" t="n">
        <v>0.00443985916225613</v>
      </c>
      <c r="AE11" t="n">
        <v>0.00161635670155894</v>
      </c>
      <c r="AF11" t="n">
        <v>0.00182144668046194</v>
      </c>
      <c r="AG11" t="n">
        <v>0.000683946145838938</v>
      </c>
      <c r="AH11" t="n">
        <v>0.00064869312873214</v>
      </c>
      <c r="AI11" t="n">
        <v>0.00118721857393016</v>
      </c>
      <c r="AJ11" t="n">
        <v>0.000370716132246263</v>
      </c>
      <c r="AK11" t="n">
        <v>0.01003374624111</v>
      </c>
      <c r="AL11" t="n">
        <v>0.0621852227472696</v>
      </c>
      <c r="AM11" t="n">
        <v>0.0458149977806325</v>
      </c>
      <c r="AN11" t="n">
        <v>0.00121771054617652</v>
      </c>
      <c r="AO11" t="n">
        <v>0.069148718549657</v>
      </c>
      <c r="AP11" t="n">
        <v>0.00998498164814605</v>
      </c>
      <c r="AQ11" t="n">
        <v>0</v>
      </c>
    </row>
    <row r="12">
      <c r="A12" t="s">
        <v>607</v>
      </c>
      <c r="B12" t="n">
        <v>0.00615699334022348</v>
      </c>
      <c r="C12" t="n">
        <v>0.00234968542767283</v>
      </c>
      <c r="D12" t="n">
        <v>0.00000843065378052916</v>
      </c>
      <c r="E12" t="n">
        <v>0.00140458948252771</v>
      </c>
      <c r="F12" t="n">
        <v>0.000265876432887722</v>
      </c>
      <c r="G12" t="n">
        <v>0.0818582486744082</v>
      </c>
      <c r="H12" t="n">
        <v>0.000762529180448553</v>
      </c>
      <c r="I12" t="n">
        <v>0.00177083337489092</v>
      </c>
      <c r="J12" t="n">
        <v>0.0233488920342874</v>
      </c>
      <c r="K12" t="n">
        <v>0.00314376976188301</v>
      </c>
      <c r="L12" t="n">
        <v>0.0305169651206822</v>
      </c>
      <c r="M12" t="n">
        <v>0.0249684260078309</v>
      </c>
      <c r="N12" t="n">
        <v>0.132308903432611</v>
      </c>
      <c r="O12" t="n">
        <v>0.000337396427502303</v>
      </c>
      <c r="P12" t="n">
        <v>0.00303656784752073</v>
      </c>
      <c r="Q12" t="n">
        <v>0.00111229920341541</v>
      </c>
      <c r="R12" t="n">
        <v>0.000805677099982876</v>
      </c>
      <c r="S12" t="n">
        <v>0.0144865003725914</v>
      </c>
      <c r="T12" t="n">
        <v>0.00624951787468517</v>
      </c>
      <c r="U12" t="n">
        <v>0.0116649487177773</v>
      </c>
      <c r="V12" t="n">
        <v>0.0804184362831846</v>
      </c>
      <c r="W12" t="n">
        <v>0.0677642203884707</v>
      </c>
      <c r="X12" t="n">
        <v>0.00128697595809489</v>
      </c>
      <c r="Y12" t="n">
        <v>0.0345300077862175</v>
      </c>
      <c r="Z12" t="n">
        <v>0.0000689218208998521</v>
      </c>
      <c r="AA12" t="n">
        <v>0.00040823348613779</v>
      </c>
      <c r="AB12" t="n">
        <v>0.0015247508280906</v>
      </c>
      <c r="AC12" t="n">
        <v>0.0916638571128465</v>
      </c>
      <c r="AD12" t="n">
        <v>0.115053773888683</v>
      </c>
      <c r="AE12" t="n">
        <v>0.0206009217439337</v>
      </c>
      <c r="AF12" t="n">
        <v>0.026007918131961</v>
      </c>
      <c r="AG12" t="n">
        <v>0.00409916547273308</v>
      </c>
      <c r="AH12" t="n">
        <v>0.0101175267782695</v>
      </c>
      <c r="AI12" t="n">
        <v>0.00831019800019521</v>
      </c>
      <c r="AJ12" t="n">
        <v>0.00824833409539991</v>
      </c>
      <c r="AK12" t="n">
        <v>0.00130957472142102</v>
      </c>
      <c r="AL12" t="n">
        <v>0.0475528708585178</v>
      </c>
      <c r="AM12" t="n">
        <v>0.057790527706295</v>
      </c>
      <c r="AN12" t="n">
        <v>0.0030632417187323</v>
      </c>
      <c r="AO12" t="n">
        <v>0.0587259241237672</v>
      </c>
      <c r="AP12" t="n">
        <v>0.0148975686285388</v>
      </c>
      <c r="AQ12" t="n">
        <v>0</v>
      </c>
    </row>
    <row r="13">
      <c r="A13" t="s">
        <v>608</v>
      </c>
      <c r="B13" t="n">
        <v>0.000224117606476949</v>
      </c>
      <c r="C13" t="n">
        <v>0.00147003206963334</v>
      </c>
      <c r="D13" t="n">
        <v>0.000212474214568492</v>
      </c>
      <c r="E13" t="n">
        <v>0.000878752346874974</v>
      </c>
      <c r="F13" t="n">
        <v>0.000470939964719412</v>
      </c>
      <c r="G13" t="n">
        <v>0.0353783193937693</v>
      </c>
      <c r="H13" t="n">
        <v>0.000085959028225866</v>
      </c>
      <c r="I13" t="n">
        <v>0.00306869190179207</v>
      </c>
      <c r="J13" t="n">
        <v>0.00294308464447722</v>
      </c>
      <c r="K13" t="n">
        <v>0.0167855203703121</v>
      </c>
      <c r="L13" t="n">
        <v>0.00959099415521014</v>
      </c>
      <c r="M13" t="n">
        <v>0.00784717703608102</v>
      </c>
      <c r="N13" t="n">
        <v>0.0276451333377955</v>
      </c>
      <c r="O13" t="n">
        <v>0.00997184931360778</v>
      </c>
      <c r="P13" t="n">
        <v>0.08974664382247</v>
      </c>
      <c r="Q13" t="n">
        <v>0.00861507622504355</v>
      </c>
      <c r="R13" t="n">
        <v>0.00649135149185717</v>
      </c>
      <c r="S13" t="n">
        <v>0.0203693064192516</v>
      </c>
      <c r="T13" t="n">
        <v>0.00150891685634635</v>
      </c>
      <c r="U13" t="n">
        <v>0.0214913983962765</v>
      </c>
      <c r="V13" t="n">
        <v>0.0291982979723579</v>
      </c>
      <c r="W13" t="n">
        <v>0.0439402165092461</v>
      </c>
      <c r="X13" t="n">
        <v>0.000285231071981471</v>
      </c>
      <c r="Y13" t="n">
        <v>0.0117703596228892</v>
      </c>
      <c r="Z13" t="n">
        <v>0.000342795850346525</v>
      </c>
      <c r="AA13" t="n">
        <v>0.0000952210695407013</v>
      </c>
      <c r="AB13" t="n">
        <v>0.00227767399243092</v>
      </c>
      <c r="AC13" t="n">
        <v>0.444791660951232</v>
      </c>
      <c r="AD13" t="n">
        <v>0.00922221487000265</v>
      </c>
      <c r="AE13" t="n">
        <v>0.0024085658199344</v>
      </c>
      <c r="AF13" t="n">
        <v>0.0194896515781466</v>
      </c>
      <c r="AG13" t="n">
        <v>0.00385833573982772</v>
      </c>
      <c r="AH13" t="n">
        <v>0.0115397081184653</v>
      </c>
      <c r="AI13" t="n">
        <v>0.00570360116155355</v>
      </c>
      <c r="AJ13" t="n">
        <v>0.00115910033386286</v>
      </c>
      <c r="AK13" t="n">
        <v>0.00119131907404874</v>
      </c>
      <c r="AL13" t="n">
        <v>0.0548341042695718</v>
      </c>
      <c r="AM13" t="n">
        <v>0.0314195938974468</v>
      </c>
      <c r="AN13" t="n">
        <v>0.000757967664123585</v>
      </c>
      <c r="AO13" t="n">
        <v>0.0461641347193576</v>
      </c>
      <c r="AP13" t="n">
        <v>0.0147545071188447</v>
      </c>
      <c r="AQ13" t="n">
        <v>0</v>
      </c>
    </row>
    <row r="14">
      <c r="A14" t="s">
        <v>609</v>
      </c>
      <c r="B14" t="n">
        <v>0.000224117606476949</v>
      </c>
      <c r="C14" t="n">
        <v>0.00147003206963334</v>
      </c>
      <c r="D14" t="n">
        <v>0.000212474214568492</v>
      </c>
      <c r="E14" t="n">
        <v>0.000878752346874974</v>
      </c>
      <c r="F14" t="n">
        <v>0.000470939964719412</v>
      </c>
      <c r="G14" t="n">
        <v>0.0353783193937693</v>
      </c>
      <c r="H14" t="n">
        <v>0.000085959028225866</v>
      </c>
      <c r="I14" t="n">
        <v>0.00306869190179207</v>
      </c>
      <c r="J14" t="n">
        <v>0.00294308464447722</v>
      </c>
      <c r="K14" t="n">
        <v>0.0167855203703121</v>
      </c>
      <c r="L14" t="n">
        <v>0.00959099415521013</v>
      </c>
      <c r="M14" t="n">
        <v>0.00784717703608102</v>
      </c>
      <c r="N14" t="n">
        <v>0.0276451333377955</v>
      </c>
      <c r="O14" t="n">
        <v>0.00997184931360778</v>
      </c>
      <c r="P14" t="n">
        <v>0.08974664382247</v>
      </c>
      <c r="Q14" t="n">
        <v>0.00861507622504355</v>
      </c>
      <c r="R14" t="n">
        <v>0.00649135149185717</v>
      </c>
      <c r="S14" t="n">
        <v>0.0203693064192516</v>
      </c>
      <c r="T14" t="n">
        <v>0.00150891685634635</v>
      </c>
      <c r="U14" t="n">
        <v>0.0214913983962765</v>
      </c>
      <c r="V14" t="n">
        <v>0.0291982979723579</v>
      </c>
      <c r="W14" t="n">
        <v>0.0439402165092461</v>
      </c>
      <c r="X14" t="n">
        <v>0.000285231071981471</v>
      </c>
      <c r="Y14" t="n">
        <v>0.0117703596228892</v>
      </c>
      <c r="Z14" t="n">
        <v>0.000342795850346525</v>
      </c>
      <c r="AA14" t="n">
        <v>0.0000952210695407013</v>
      </c>
      <c r="AB14" t="n">
        <v>0.00227767399243092</v>
      </c>
      <c r="AC14" t="n">
        <v>0.444791660951232</v>
      </c>
      <c r="AD14" t="n">
        <v>0.00922221487000265</v>
      </c>
      <c r="AE14" t="n">
        <v>0.0024085658199344</v>
      </c>
      <c r="AF14" t="n">
        <v>0.0194896515781466</v>
      </c>
      <c r="AG14" t="n">
        <v>0.00385833573982772</v>
      </c>
      <c r="AH14" t="n">
        <v>0.0115397081184653</v>
      </c>
      <c r="AI14" t="n">
        <v>0.00570360116155354</v>
      </c>
      <c r="AJ14" t="n">
        <v>0.00115910033386286</v>
      </c>
      <c r="AK14" t="n">
        <v>0.00119131907404874</v>
      </c>
      <c r="AL14" t="n">
        <v>0.0548341042695718</v>
      </c>
      <c r="AM14" t="n">
        <v>0.0314195938974468</v>
      </c>
      <c r="AN14" t="n">
        <v>0.000757967664123585</v>
      </c>
      <c r="AO14" t="n">
        <v>0.0461641347193576</v>
      </c>
      <c r="AP14" t="n">
        <v>0.0147545071188447</v>
      </c>
      <c r="AQ14" t="n">
        <v>0</v>
      </c>
    </row>
    <row r="15">
      <c r="A15" t="s">
        <v>610</v>
      </c>
      <c r="B15" t="n">
        <v>0.00267650546580911</v>
      </c>
      <c r="C15" t="n">
        <v>0.000932971114992913</v>
      </c>
      <c r="D15" t="n">
        <v>0.000303582542105294</v>
      </c>
      <c r="E15" t="n">
        <v>0.000557709300227086</v>
      </c>
      <c r="F15" t="n">
        <v>0.00014389471565204</v>
      </c>
      <c r="G15" t="n">
        <v>0.00750774027599744</v>
      </c>
      <c r="H15" t="n">
        <v>0.0000700188240678794</v>
      </c>
      <c r="I15" t="n">
        <v>0.000402317916113103</v>
      </c>
      <c r="J15" t="n">
        <v>0.00282343297339649</v>
      </c>
      <c r="K15" t="n">
        <v>0.00835919633757177</v>
      </c>
      <c r="L15" t="n">
        <v>0.00256307457706225</v>
      </c>
      <c r="M15" t="n">
        <v>0.00209706101759638</v>
      </c>
      <c r="N15" t="n">
        <v>0.00775405506865439</v>
      </c>
      <c r="O15" t="n">
        <v>0.000338704795032197</v>
      </c>
      <c r="P15" t="n">
        <v>0.00304834315528977</v>
      </c>
      <c r="Q15" t="n">
        <v>0.0990213946723894</v>
      </c>
      <c r="R15" t="n">
        <v>0.0807399455687266</v>
      </c>
      <c r="S15" t="n">
        <v>0.28247450655813</v>
      </c>
      <c r="T15" t="n">
        <v>0.00869013169385686</v>
      </c>
      <c r="U15" t="n">
        <v>0.0566471609911295</v>
      </c>
      <c r="V15" t="n">
        <v>0.187236877694586</v>
      </c>
      <c r="W15" t="n">
        <v>0.0825279418125648</v>
      </c>
      <c r="X15" t="n">
        <v>0.00217277490868215</v>
      </c>
      <c r="Y15" t="n">
        <v>0.0300041157239664</v>
      </c>
      <c r="Z15" t="n">
        <v>0.00389267112129917</v>
      </c>
      <c r="AA15" t="n">
        <v>0.00112043726753824</v>
      </c>
      <c r="AB15" t="n">
        <v>0.00161439284271227</v>
      </c>
      <c r="AC15" t="n">
        <v>0.0208355364393047</v>
      </c>
      <c r="AD15" t="n">
        <v>0.005920545357529</v>
      </c>
      <c r="AE15" t="n">
        <v>0.0341577592333275</v>
      </c>
      <c r="AF15" t="n">
        <v>0.00174676429846051</v>
      </c>
      <c r="AG15" t="n">
        <v>0.000336274623022083</v>
      </c>
      <c r="AH15" t="n">
        <v>0.000662550152115373</v>
      </c>
      <c r="AI15" t="n">
        <v>0.00181508880384868</v>
      </c>
      <c r="AJ15" t="n">
        <v>0.00314876945841827</v>
      </c>
      <c r="AK15" t="n">
        <v>0.00506881611935873</v>
      </c>
      <c r="AL15" t="n">
        <v>0.0107484555922502</v>
      </c>
      <c r="AM15" t="n">
        <v>0.0312544990559145</v>
      </c>
      <c r="AN15" t="n">
        <v>0.00107533249597522</v>
      </c>
      <c r="AO15" t="n">
        <v>0.00248022542228033</v>
      </c>
      <c r="AP15" t="n">
        <v>0.0050284240130448</v>
      </c>
      <c r="AQ15" t="n">
        <v>0</v>
      </c>
    </row>
    <row r="16">
      <c r="A16" t="s">
        <v>611</v>
      </c>
      <c r="B16" t="n">
        <v>0.000319691208335104</v>
      </c>
      <c r="C16" t="n">
        <v>0.000559186746876755</v>
      </c>
      <c r="D16" t="n">
        <v>0.000300049745841786</v>
      </c>
      <c r="E16" t="n">
        <v>0.000334269351199865</v>
      </c>
      <c r="F16" t="n">
        <v>0.000106142257411276</v>
      </c>
      <c r="G16" t="n">
        <v>0.00732419781218761</v>
      </c>
      <c r="H16" t="n">
        <v>0.0000687713539552994</v>
      </c>
      <c r="I16" t="n">
        <v>0.000336709143693979</v>
      </c>
      <c r="J16" t="n">
        <v>0.00247759319514093</v>
      </c>
      <c r="K16" t="n">
        <v>0.0000630565673899839</v>
      </c>
      <c r="L16" t="n">
        <v>0.000155251846942699</v>
      </c>
      <c r="M16" t="n">
        <v>0.000127024238407663</v>
      </c>
      <c r="N16" t="n">
        <v>0.00826407976720989</v>
      </c>
      <c r="O16" t="n">
        <v>0.000364283853476004</v>
      </c>
      <c r="P16" t="n">
        <v>0.00327855468128403</v>
      </c>
      <c r="Q16" t="n">
        <v>0.110879536003648</v>
      </c>
      <c r="R16" t="n">
        <v>0.0907175266332794</v>
      </c>
      <c r="S16" t="n">
        <v>0.317410465733977</v>
      </c>
      <c r="T16" t="n">
        <v>0.00975197334648258</v>
      </c>
      <c r="U16" t="n">
        <v>0.063479152247978</v>
      </c>
      <c r="V16" t="n">
        <v>0.210211461651795</v>
      </c>
      <c r="W16" t="n">
        <v>0.0928084110165791</v>
      </c>
      <c r="X16" t="n">
        <v>0.0024396657520347</v>
      </c>
      <c r="Y16" t="n">
        <v>0.0332551137180855</v>
      </c>
      <c r="Z16" t="n">
        <v>0.00000623560470490088</v>
      </c>
      <c r="AA16" t="n">
        <v>0.00000173211241802802</v>
      </c>
      <c r="AB16" t="n">
        <v>0.000844020487464061</v>
      </c>
      <c r="AC16" t="n">
        <v>0.0123748650271048</v>
      </c>
      <c r="AD16" t="n">
        <v>0.00371913160507643</v>
      </c>
      <c r="AE16" t="n">
        <v>0.00300147508584013</v>
      </c>
      <c r="AF16" t="n">
        <v>0.000411215912509192</v>
      </c>
      <c r="AG16" t="n">
        <v>0.000246760462285304</v>
      </c>
      <c r="AH16" t="n">
        <v>0.00063348119370814</v>
      </c>
      <c r="AI16" t="n">
        <v>0.00149421995281051</v>
      </c>
      <c r="AJ16" t="n">
        <v>0</v>
      </c>
      <c r="AK16" t="n">
        <v>0.00453434462472507</v>
      </c>
      <c r="AL16" t="n">
        <v>0.00831939527993565</v>
      </c>
      <c r="AM16" t="n">
        <v>0.00300274619380629</v>
      </c>
      <c r="AN16" t="n">
        <v>0.00068773503036424</v>
      </c>
      <c r="AO16" t="n">
        <v>0.0013915327891262</v>
      </c>
      <c r="AP16" t="n">
        <v>0.00429894076490849</v>
      </c>
      <c r="AQ16" t="n">
        <v>0</v>
      </c>
    </row>
    <row r="17">
      <c r="A17" t="s">
        <v>612</v>
      </c>
      <c r="B17" t="n">
        <v>0.00490692669846655</v>
      </c>
      <c r="C17" t="n">
        <v>0.00121102548328247</v>
      </c>
      <c r="D17" t="n">
        <v>0.000581961651961555</v>
      </c>
      <c r="E17" t="n">
        <v>0.000723923992913504</v>
      </c>
      <c r="F17" t="n">
        <v>0.000178565574989799</v>
      </c>
      <c r="G17" t="n">
        <v>0.0502578827539039</v>
      </c>
      <c r="H17" t="n">
        <v>0.000566620331503247</v>
      </c>
      <c r="I17" t="n">
        <v>0.0033858516663739</v>
      </c>
      <c r="J17" t="n">
        <v>0.0162175349186434</v>
      </c>
      <c r="K17" t="n">
        <v>0.00628294598799745</v>
      </c>
      <c r="L17" t="n">
        <v>0.0209470930094193</v>
      </c>
      <c r="M17" t="n">
        <v>0.0171385306440703</v>
      </c>
      <c r="N17" t="n">
        <v>0.037673059886078</v>
      </c>
      <c r="O17" t="n">
        <v>0.000432018671374506</v>
      </c>
      <c r="P17" t="n">
        <v>0.00388816804237056</v>
      </c>
      <c r="Q17" t="n">
        <v>0.00569039736161396</v>
      </c>
      <c r="R17" t="n">
        <v>0.00444716041422874</v>
      </c>
      <c r="S17" t="n">
        <v>0.166799186021247</v>
      </c>
      <c r="T17" t="n">
        <v>0.0114200813385299</v>
      </c>
      <c r="U17" t="n">
        <v>0.036327951687489</v>
      </c>
      <c r="V17" t="n">
        <v>0.143023374003307</v>
      </c>
      <c r="W17" t="n">
        <v>0.0555918927159883</v>
      </c>
      <c r="X17" t="n">
        <v>0.00383697270948881</v>
      </c>
      <c r="Y17" t="n">
        <v>0.0276822986684961</v>
      </c>
      <c r="Z17" t="n">
        <v>0.00189360917623449</v>
      </c>
      <c r="AA17" t="n">
        <v>0.00339162895569159</v>
      </c>
      <c r="AB17" t="n">
        <v>0.00906361420648349</v>
      </c>
      <c r="AC17" t="n">
        <v>0.192263452460505</v>
      </c>
      <c r="AD17" t="n">
        <v>0.0151264628071221</v>
      </c>
      <c r="AE17" t="n">
        <v>0.0174626524407714</v>
      </c>
      <c r="AF17" t="n">
        <v>0.0125390921903149</v>
      </c>
      <c r="AG17" t="n">
        <v>0.00676635024732287</v>
      </c>
      <c r="AH17" t="n">
        <v>0.0170469452254645</v>
      </c>
      <c r="AI17" t="n">
        <v>0.0103774365488042</v>
      </c>
      <c r="AJ17" t="n">
        <v>0.0021056217892664</v>
      </c>
      <c r="AK17" t="n">
        <v>0.00319335266991667</v>
      </c>
      <c r="AL17" t="n">
        <v>0.0316775832081675</v>
      </c>
      <c r="AM17" t="n">
        <v>0.0284792649849373</v>
      </c>
      <c r="AN17" t="n">
        <v>0.00151067495913601</v>
      </c>
      <c r="AO17" t="n">
        <v>0.0122908533044765</v>
      </c>
      <c r="AP17" t="n">
        <v>0.0155999805916477</v>
      </c>
      <c r="AQ17" t="n">
        <v>0</v>
      </c>
    </row>
    <row r="18">
      <c r="A18" t="s">
        <v>613</v>
      </c>
      <c r="B18" t="n">
        <v>0.0000640011971385044</v>
      </c>
      <c r="C18" t="n">
        <v>0.0000679188794883429</v>
      </c>
      <c r="D18" t="n">
        <v>0.00000815333013087824</v>
      </c>
      <c r="E18" t="n">
        <v>0.0000406003895972055</v>
      </c>
      <c r="F18" t="n">
        <v>0.0000560573933749237</v>
      </c>
      <c r="G18" t="n">
        <v>0.0140479523617405</v>
      </c>
      <c r="H18" t="n">
        <v>0.000405263790234003</v>
      </c>
      <c r="I18" t="n">
        <v>0.00157767911190388</v>
      </c>
      <c r="J18" t="n">
        <v>0.0043563541298759</v>
      </c>
      <c r="K18" t="n">
        <v>0.00232008775911704</v>
      </c>
      <c r="L18" t="n">
        <v>0.0140014629127382</v>
      </c>
      <c r="M18" t="n">
        <v>0.0114557423831495</v>
      </c>
      <c r="N18" t="n">
        <v>0.0124366210820576</v>
      </c>
      <c r="O18" t="n">
        <v>0.000155948315970146</v>
      </c>
      <c r="P18" t="n">
        <v>0.00140353484373131</v>
      </c>
      <c r="Q18" t="n">
        <v>0.00187586046669312</v>
      </c>
      <c r="R18" t="n">
        <v>0.0014577586200907</v>
      </c>
      <c r="S18" t="n">
        <v>0.0322470605516893</v>
      </c>
      <c r="T18" t="n">
        <v>0.0891235001210228</v>
      </c>
      <c r="U18" t="n">
        <v>0.0131176690765048</v>
      </c>
      <c r="V18" t="n">
        <v>0.0480282718732043</v>
      </c>
      <c r="W18" t="n">
        <v>0.0654467673708008</v>
      </c>
      <c r="X18" t="n">
        <v>0.00623708014995</v>
      </c>
      <c r="Y18" t="n">
        <v>0.0112762281578835</v>
      </c>
      <c r="Z18" t="n">
        <v>0.000256645381738365</v>
      </c>
      <c r="AA18" t="n">
        <v>0.000114426334206318</v>
      </c>
      <c r="AB18" t="n">
        <v>0.00442902100072557</v>
      </c>
      <c r="AC18" t="n">
        <v>0.0249540290897021</v>
      </c>
      <c r="AD18" t="n">
        <v>0.256064320522117</v>
      </c>
      <c r="AE18" t="n">
        <v>0.00348495326318798</v>
      </c>
      <c r="AF18" t="n">
        <v>0.00192752694764737</v>
      </c>
      <c r="AG18" t="n">
        <v>0.0234568461762316</v>
      </c>
      <c r="AH18" t="n">
        <v>0.0461944662506302</v>
      </c>
      <c r="AI18" t="n">
        <v>0.0532483412535843</v>
      </c>
      <c r="AJ18" t="n">
        <v>0.0244178431168359</v>
      </c>
      <c r="AK18" t="n">
        <v>0.00194785142724606</v>
      </c>
      <c r="AL18" t="n">
        <v>0.130431220392177</v>
      </c>
      <c r="AM18" t="n">
        <v>0.0395779182382362</v>
      </c>
      <c r="AN18" t="n">
        <v>0.00435169351924811</v>
      </c>
      <c r="AO18" t="n">
        <v>0.0339792456837772</v>
      </c>
      <c r="AP18" t="n">
        <v>0.019956077134622</v>
      </c>
      <c r="AQ18" t="n">
        <v>0</v>
      </c>
    </row>
    <row r="19">
      <c r="A19" t="s">
        <v>614</v>
      </c>
      <c r="B19" t="n">
        <v>0.0170430421707429</v>
      </c>
      <c r="C19" t="n">
        <v>0.000219064087000017</v>
      </c>
      <c r="D19" t="n">
        <v>0.000022654763439759</v>
      </c>
      <c r="E19" t="n">
        <v>0.000130951619725754</v>
      </c>
      <c r="F19" t="n">
        <v>0.000285812935343222</v>
      </c>
      <c r="G19" t="n">
        <v>0.0151136934639057</v>
      </c>
      <c r="H19" t="n">
        <v>0.000147004382340107</v>
      </c>
      <c r="I19" t="n">
        <v>0.00142644259108893</v>
      </c>
      <c r="J19" t="n">
        <v>0.00435469429942092</v>
      </c>
      <c r="K19" t="n">
        <v>0.00223150234014818</v>
      </c>
      <c r="L19" t="n">
        <v>0.00648333444733431</v>
      </c>
      <c r="M19" t="n">
        <v>0.0053045463660008</v>
      </c>
      <c r="N19" t="n">
        <v>0.0134237776438016</v>
      </c>
      <c r="O19" t="n">
        <v>0.0000675510421817213</v>
      </c>
      <c r="P19" t="n">
        <v>0.000607959379635492</v>
      </c>
      <c r="Q19" t="n">
        <v>0.0053644699698631</v>
      </c>
      <c r="R19" t="n">
        <v>0.00431501688089622</v>
      </c>
      <c r="S19" t="n">
        <v>0.0344260165078109</v>
      </c>
      <c r="T19" t="n">
        <v>0.0123533831929312</v>
      </c>
      <c r="U19" t="n">
        <v>0.111551536965972</v>
      </c>
      <c r="V19" t="n">
        <v>0.230199963705712</v>
      </c>
      <c r="W19" t="n">
        <v>0.0335691493463266</v>
      </c>
      <c r="X19" t="n">
        <v>0.00124070688157548</v>
      </c>
      <c r="Y19" t="n">
        <v>0.0101318826964096</v>
      </c>
      <c r="Z19" t="n">
        <v>0.000109294128989413</v>
      </c>
      <c r="AA19" t="n">
        <v>0.0000508010431744204</v>
      </c>
      <c r="AB19" t="n">
        <v>0.00895679793463997</v>
      </c>
      <c r="AC19" t="n">
        <v>0.215872327848894</v>
      </c>
      <c r="AD19" t="n">
        <v>0.0234342321590017</v>
      </c>
      <c r="AE19" t="n">
        <v>0.00534314867236047</v>
      </c>
      <c r="AF19" t="n">
        <v>0.00959292640373377</v>
      </c>
      <c r="AG19" t="n">
        <v>0.00551464596537366</v>
      </c>
      <c r="AH19" t="n">
        <v>0.0165016430336776</v>
      </c>
      <c r="AI19" t="n">
        <v>0.0225797777953649</v>
      </c>
      <c r="AJ19" t="n">
        <v>0.00266617338772313</v>
      </c>
      <c r="AK19" t="n">
        <v>0.00827733383629896</v>
      </c>
      <c r="AL19" t="n">
        <v>0.0672887490285306</v>
      </c>
      <c r="AM19" t="n">
        <v>0.0443421768759939</v>
      </c>
      <c r="AN19" t="n">
        <v>0.00378862888487986</v>
      </c>
      <c r="AO19" t="n">
        <v>0.0217333247896427</v>
      </c>
      <c r="AP19" t="n">
        <v>0.0339338605321149</v>
      </c>
      <c r="AQ19" t="n">
        <v>0</v>
      </c>
    </row>
    <row r="20">
      <c r="A20" t="s">
        <v>615</v>
      </c>
      <c r="B20" t="n">
        <v>0.0105141821813497</v>
      </c>
      <c r="C20" t="n">
        <v>0.00735553062587395</v>
      </c>
      <c r="D20" t="n">
        <v>0.000899017954861488</v>
      </c>
      <c r="E20" t="n">
        <v>0.00439697196647532</v>
      </c>
      <c r="F20" t="n">
        <v>0.0014879616637398</v>
      </c>
      <c r="G20" t="n">
        <v>0.0226293018992742</v>
      </c>
      <c r="H20" t="n">
        <v>0.0000485018536658214</v>
      </c>
      <c r="I20" t="n">
        <v>0.000833420156810959</v>
      </c>
      <c r="J20" t="n">
        <v>0.01512004475478</v>
      </c>
      <c r="K20" t="n">
        <v>0.00045149712548927</v>
      </c>
      <c r="L20" t="n">
        <v>0.0150626369633241</v>
      </c>
      <c r="M20" t="n">
        <v>0.0123239756972652</v>
      </c>
      <c r="N20" t="n">
        <v>0.0150905823917875</v>
      </c>
      <c r="O20" t="n">
        <v>0.0000448635572684157</v>
      </c>
      <c r="P20" t="n">
        <v>0.000403772015415741</v>
      </c>
      <c r="Q20" t="n">
        <v>0.00172085419903913</v>
      </c>
      <c r="R20" t="n">
        <v>0.00139298008480207</v>
      </c>
      <c r="S20" t="n">
        <v>0.0359477146050246</v>
      </c>
      <c r="T20" t="n">
        <v>0.00125274104174257</v>
      </c>
      <c r="U20" t="n">
        <v>0.014579960212204</v>
      </c>
      <c r="V20" t="n">
        <v>0.338718184251496</v>
      </c>
      <c r="W20" t="n">
        <v>0.12078954577769</v>
      </c>
      <c r="X20" t="n">
        <v>0.00178513294190495</v>
      </c>
      <c r="Y20" t="n">
        <v>0.00570361113298168</v>
      </c>
      <c r="Z20" t="n">
        <v>0.00578954248858148</v>
      </c>
      <c r="AA20" t="n">
        <v>0.0018661326435639</v>
      </c>
      <c r="AB20" t="n">
        <v>0.0237043341387194</v>
      </c>
      <c r="AC20" t="n">
        <v>0.12061401743363</v>
      </c>
      <c r="AD20" t="n">
        <v>0.0196157672091219</v>
      </c>
      <c r="AE20" t="n">
        <v>0.0505831950124665</v>
      </c>
      <c r="AF20" t="n">
        <v>0.00294767820920702</v>
      </c>
      <c r="AG20" t="n">
        <v>0.00115255270207415</v>
      </c>
      <c r="AH20" t="n">
        <v>0.00279734746984918</v>
      </c>
      <c r="AI20" t="n">
        <v>0.012547945721816</v>
      </c>
      <c r="AJ20" t="n">
        <v>0.00633338505984995</v>
      </c>
      <c r="AK20" t="n">
        <v>0.000428630718384187</v>
      </c>
      <c r="AL20" t="n">
        <v>0.0416672627411803</v>
      </c>
      <c r="AM20" t="n">
        <v>0.0305626290263619</v>
      </c>
      <c r="AN20" t="n">
        <v>0.0106888704289922</v>
      </c>
      <c r="AO20" t="n">
        <v>0.00937900556834539</v>
      </c>
      <c r="AP20" t="n">
        <v>0.0307687183735902</v>
      </c>
      <c r="AQ20" t="n">
        <v>0</v>
      </c>
    </row>
    <row r="21">
      <c r="A21" t="s">
        <v>616</v>
      </c>
      <c r="B21" t="n">
        <v>0.00396609180172997</v>
      </c>
      <c r="C21" t="n">
        <v>0.00127707817648332</v>
      </c>
      <c r="D21" t="n">
        <v>0.0000804041834539992</v>
      </c>
      <c r="E21" t="n">
        <v>0.00076340881801813</v>
      </c>
      <c r="F21" t="n">
        <v>0.000140088849494679</v>
      </c>
      <c r="G21" t="n">
        <v>0.0229171693398182</v>
      </c>
      <c r="H21" t="n">
        <v>0.000089174529515241</v>
      </c>
      <c r="I21" t="n">
        <v>0.00287917244148097</v>
      </c>
      <c r="J21" t="n">
        <v>0.00503474204287428</v>
      </c>
      <c r="K21" t="n">
        <v>0.00112311193363388</v>
      </c>
      <c r="L21" t="n">
        <v>0.0046310621935326</v>
      </c>
      <c r="M21" t="n">
        <v>0.00378905088561758</v>
      </c>
      <c r="N21" t="n">
        <v>0.00476642470397942</v>
      </c>
      <c r="O21" t="n">
        <v>0.000164245470794298</v>
      </c>
      <c r="P21" t="n">
        <v>0.00147820923714868</v>
      </c>
      <c r="Q21" t="n">
        <v>0.00132371875863299</v>
      </c>
      <c r="R21" t="n">
        <v>0.00104575075723311</v>
      </c>
      <c r="S21" t="n">
        <v>0.00889484789909957</v>
      </c>
      <c r="T21" t="n">
        <v>0.00249790305250838</v>
      </c>
      <c r="U21" t="n">
        <v>0.0042006725807039</v>
      </c>
      <c r="V21" t="n">
        <v>0.0922056025378072</v>
      </c>
      <c r="W21" t="n">
        <v>0.495938919030014</v>
      </c>
      <c r="X21" t="n">
        <v>0.00111847871222317</v>
      </c>
      <c r="Y21" t="n">
        <v>0.00626209213851679</v>
      </c>
      <c r="Z21" t="n">
        <v>0.000104342622744283</v>
      </c>
      <c r="AA21" t="n">
        <v>0.0000334605938647917</v>
      </c>
      <c r="AB21" t="n">
        <v>0.00491890568786419</v>
      </c>
      <c r="AC21" t="n">
        <v>0.00610420018908938</v>
      </c>
      <c r="AD21" t="n">
        <v>0.0777196663893971</v>
      </c>
      <c r="AE21" t="n">
        <v>0.0416156130632786</v>
      </c>
      <c r="AF21" t="n">
        <v>0.00518786327932402</v>
      </c>
      <c r="AG21" t="n">
        <v>0.00150551354449205</v>
      </c>
      <c r="AH21" t="n">
        <v>0.00265855935976417</v>
      </c>
      <c r="AI21" t="n">
        <v>0.00132363538824397</v>
      </c>
      <c r="AJ21" t="n">
        <v>0.00072180610480086</v>
      </c>
      <c r="AK21" t="n">
        <v>0</v>
      </c>
      <c r="AL21" t="n">
        <v>0.0772198738006494</v>
      </c>
      <c r="AM21" t="n">
        <v>0.0458199261923031</v>
      </c>
      <c r="AN21" t="n">
        <v>0.00246478205256894</v>
      </c>
      <c r="AO21" t="n">
        <v>0.0202930385188905</v>
      </c>
      <c r="AP21" t="n">
        <v>0.0457213931384106</v>
      </c>
      <c r="AQ21" t="n">
        <v>0</v>
      </c>
    </row>
    <row r="22">
      <c r="A22" t="s">
        <v>617</v>
      </c>
      <c r="B22" t="n">
        <v>0.0000495284058660517</v>
      </c>
      <c r="C22" t="n">
        <v>0.000065607991614114</v>
      </c>
      <c r="D22" t="n">
        <v>0</v>
      </c>
      <c r="E22" t="n">
        <v>0.0000392189924258159</v>
      </c>
      <c r="F22" t="n">
        <v>0</v>
      </c>
      <c r="G22" t="n">
        <v>0</v>
      </c>
      <c r="H22" t="n">
        <v>0</v>
      </c>
      <c r="I22" t="n">
        <v>0.0000953701687157694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0.00264805446418705</v>
      </c>
      <c r="T22" t="n">
        <v>0</v>
      </c>
      <c r="U22" t="n">
        <v>0</v>
      </c>
      <c r="V22" t="n">
        <v>0.00822960942518913</v>
      </c>
      <c r="W22" t="n">
        <v>0.010693445434313</v>
      </c>
      <c r="X22" t="n">
        <v>0.323634549267042</v>
      </c>
      <c r="Y22" t="n">
        <v>0</v>
      </c>
      <c r="Z22" t="n">
        <v>0</v>
      </c>
      <c r="AA22" t="n">
        <v>0</v>
      </c>
      <c r="AB22" t="n">
        <v>0.00174671491161591</v>
      </c>
      <c r="AC22" t="n">
        <v>0.000521437460147497</v>
      </c>
      <c r="AD22" t="n">
        <v>0.000831031223672657</v>
      </c>
      <c r="AE22" t="n">
        <v>0.24373084689501</v>
      </c>
      <c r="AF22" t="n">
        <v>0</v>
      </c>
      <c r="AG22" t="n">
        <v>0.0000114841898000535</v>
      </c>
      <c r="AH22" t="n">
        <v>0.0000344525694001604</v>
      </c>
      <c r="AI22" t="n">
        <v>0</v>
      </c>
      <c r="AJ22" t="n">
        <v>0</v>
      </c>
      <c r="AK22" t="n">
        <v>0</v>
      </c>
      <c r="AL22" t="n">
        <v>0.0352379695031055</v>
      </c>
      <c r="AM22" t="n">
        <v>0.367533572785925</v>
      </c>
      <c r="AN22" t="n">
        <v>0</v>
      </c>
      <c r="AO22" t="n">
        <v>0</v>
      </c>
      <c r="AP22" t="n">
        <v>0.00489710631197047</v>
      </c>
      <c r="AQ22" t="n">
        <v>0</v>
      </c>
    </row>
    <row r="23">
      <c r="A23" t="s">
        <v>618</v>
      </c>
      <c r="B23" t="n">
        <v>0.000641001723663498</v>
      </c>
      <c r="C23" t="n">
        <v>0.000122191073177786</v>
      </c>
      <c r="D23" t="n">
        <v>0.00000766574648439532</v>
      </c>
      <c r="E23" t="n">
        <v>0.0000730430951407291</v>
      </c>
      <c r="F23" t="n">
        <v>0.0000142705961373456</v>
      </c>
      <c r="G23" t="n">
        <v>0.000495819287622068</v>
      </c>
      <c r="H23" t="n">
        <v>0.00096879529945965</v>
      </c>
      <c r="I23" t="n">
        <v>0.00173944203046185</v>
      </c>
      <c r="J23" t="n">
        <v>0.0000435487640451564</v>
      </c>
      <c r="K23" t="n">
        <v>0.0000162146678468555</v>
      </c>
      <c r="L23" t="n">
        <v>0.00273843323712218</v>
      </c>
      <c r="M23" t="n">
        <v>0.00224053628491815</v>
      </c>
      <c r="N23" t="n">
        <v>0.00686310801327153</v>
      </c>
      <c r="O23" t="n">
        <v>0.0000446559447523606</v>
      </c>
      <c r="P23" t="n">
        <v>0.000401903502771245</v>
      </c>
      <c r="Q23" t="n">
        <v>0.0000868914967828757</v>
      </c>
      <c r="R23" t="n">
        <v>0.0000705546501996827</v>
      </c>
      <c r="S23" t="n">
        <v>0.000816595917096039</v>
      </c>
      <c r="T23" t="n">
        <v>0.000273611003069716</v>
      </c>
      <c r="U23" t="n">
        <v>0.00675466592171657</v>
      </c>
      <c r="V23" t="n">
        <v>0.0443309838839115</v>
      </c>
      <c r="W23" t="n">
        <v>0.0168419610531147</v>
      </c>
      <c r="X23" t="n">
        <v>0.000236235249651962</v>
      </c>
      <c r="Y23" t="n">
        <v>0.108765353773628</v>
      </c>
      <c r="Z23" t="n">
        <v>0</v>
      </c>
      <c r="AA23" t="n">
        <v>0.00000363388937344218</v>
      </c>
      <c r="AB23" t="n">
        <v>0.00192902410650897</v>
      </c>
      <c r="AC23" t="n">
        <v>0.128418700895126</v>
      </c>
      <c r="AD23" t="n">
        <v>0.0502708974588504</v>
      </c>
      <c r="AE23" t="n">
        <v>0.00289736452141353</v>
      </c>
      <c r="AF23" t="n">
        <v>0.0110178629039008</v>
      </c>
      <c r="AG23" t="n">
        <v>0.000377721658896265</v>
      </c>
      <c r="AH23" t="n">
        <v>0.00104674643092218</v>
      </c>
      <c r="AI23" t="n">
        <v>0.00299648361931802</v>
      </c>
      <c r="AJ23" t="n">
        <v>0.00112312521832323</v>
      </c>
      <c r="AK23" t="n">
        <v>0.0336796195464699</v>
      </c>
      <c r="AL23" t="n">
        <v>0.0487431930116231</v>
      </c>
      <c r="AM23" t="n">
        <v>0.0641206982050583</v>
      </c>
      <c r="AN23" t="n">
        <v>0.00357100359471084</v>
      </c>
      <c r="AO23" t="n">
        <v>0.424039025197885</v>
      </c>
      <c r="AP23" t="n">
        <v>0.0311774175255735</v>
      </c>
      <c r="AQ23" t="n">
        <v>0</v>
      </c>
    </row>
    <row r="24">
      <c r="A24" t="s">
        <v>619</v>
      </c>
      <c r="B24" t="n">
        <v>0.0148638641740897</v>
      </c>
      <c r="C24" t="n">
        <v>0.00314623531689372</v>
      </c>
      <c r="D24" t="n">
        <v>0.00163447082366165</v>
      </c>
      <c r="E24" t="n">
        <v>0.00188074922013836</v>
      </c>
      <c r="F24" t="n">
        <v>0.0000938417465247408</v>
      </c>
      <c r="G24" t="n">
        <v>0.0173077509657032</v>
      </c>
      <c r="H24" t="n">
        <v>0.000604893310618841</v>
      </c>
      <c r="I24" t="n">
        <v>0.00119224378281162</v>
      </c>
      <c r="J24" t="n">
        <v>0.0113360270955081</v>
      </c>
      <c r="K24" t="n">
        <v>0.259093322090903</v>
      </c>
      <c r="L24" t="n">
        <v>0.0212893240914187</v>
      </c>
      <c r="M24" t="n">
        <v>0.017418537892979</v>
      </c>
      <c r="N24" t="n">
        <v>0.0150657605505518</v>
      </c>
      <c r="O24" t="n">
        <v>0.000565356614921985</v>
      </c>
      <c r="P24" t="n">
        <v>0.00508820953429786</v>
      </c>
      <c r="Q24" t="n">
        <v>0.0145581972900713</v>
      </c>
      <c r="R24" t="n">
        <v>0.00330830501446596</v>
      </c>
      <c r="S24" t="n">
        <v>0.0128280145124586</v>
      </c>
      <c r="T24" t="n">
        <v>0.0015341127204328</v>
      </c>
      <c r="U24" t="n">
        <v>0.00203546239717491</v>
      </c>
      <c r="V24" t="n">
        <v>0.00893969167533883</v>
      </c>
      <c r="W24" t="n">
        <v>0.00414415997948795</v>
      </c>
      <c r="X24" t="n">
        <v>0.000572637272929706</v>
      </c>
      <c r="Y24" t="n">
        <v>0.00339361370424505</v>
      </c>
      <c r="Z24" t="n">
        <v>0.0881036326551903</v>
      </c>
      <c r="AA24" t="n">
        <v>0.0261330923326328</v>
      </c>
      <c r="AB24" t="n">
        <v>0.0121945071085462</v>
      </c>
      <c r="AC24" t="n">
        <v>0.0152644013600032</v>
      </c>
      <c r="AD24" t="n">
        <v>0.0954899806945919</v>
      </c>
      <c r="AE24" t="n">
        <v>0.0396501192968264</v>
      </c>
      <c r="AF24" t="n">
        <v>0.0413242909635466</v>
      </c>
      <c r="AG24" t="n">
        <v>0.00301879276065102</v>
      </c>
      <c r="AH24" t="n">
        <v>0.0055152397759141</v>
      </c>
      <c r="AI24" t="n">
        <v>0.00606643211411252</v>
      </c>
      <c r="AJ24" t="n">
        <v>0.0174129445590904</v>
      </c>
      <c r="AK24" t="n">
        <v>0.0355439988709508</v>
      </c>
      <c r="AL24" t="n">
        <v>0.0312868572895489</v>
      </c>
      <c r="AM24" t="n">
        <v>0.0954680586486304</v>
      </c>
      <c r="AN24" t="n">
        <v>0.0113052518673225</v>
      </c>
      <c r="AO24" t="n">
        <v>0.0312233608604714</v>
      </c>
      <c r="AP24" t="n">
        <v>0.023104257064343</v>
      </c>
      <c r="AQ24" t="n">
        <v>0</v>
      </c>
    </row>
    <row r="25">
      <c r="A25" t="s">
        <v>620</v>
      </c>
      <c r="B25" t="n">
        <v>0.00531546275896739</v>
      </c>
      <c r="C25" t="n">
        <v>0.00125865932479743</v>
      </c>
      <c r="D25" t="n">
        <v>0.000186417958151022</v>
      </c>
      <c r="E25" t="n">
        <v>0.000752398439754916</v>
      </c>
      <c r="F25" t="n">
        <v>0.0000927385358042578</v>
      </c>
      <c r="G25" t="n">
        <v>0.0157863764223447</v>
      </c>
      <c r="H25" t="n">
        <v>0.000351518328393965</v>
      </c>
      <c r="I25" t="n">
        <v>0.000736562920557155</v>
      </c>
      <c r="J25" t="n">
        <v>0.00620104540558792</v>
      </c>
      <c r="K25" t="n">
        <v>0.00896376223343016</v>
      </c>
      <c r="L25" t="n">
        <v>0.0152545700518204</v>
      </c>
      <c r="M25" t="n">
        <v>0.0124810118605803</v>
      </c>
      <c r="N25" t="n">
        <v>0.00860001256521221</v>
      </c>
      <c r="O25" t="n">
        <v>0.000335341301317687</v>
      </c>
      <c r="P25" t="n">
        <v>0.00301807171185918</v>
      </c>
      <c r="Q25" t="n">
        <v>0.00257149142102557</v>
      </c>
      <c r="R25" t="n">
        <v>0.00180631432754859</v>
      </c>
      <c r="S25" t="n">
        <v>0.00825081470033878</v>
      </c>
      <c r="T25" t="n">
        <v>0.000897312386952937</v>
      </c>
      <c r="U25" t="n">
        <v>0.00128951201651308</v>
      </c>
      <c r="V25" t="n">
        <v>0.0069255017814045</v>
      </c>
      <c r="W25" t="n">
        <v>0.00242484341164986</v>
      </c>
      <c r="X25" t="n">
        <v>0.000339470672433097</v>
      </c>
      <c r="Y25" t="n">
        <v>0.0028462686522031</v>
      </c>
      <c r="Z25" t="n">
        <v>0.0159452660684777</v>
      </c>
      <c r="AA25" t="n">
        <v>0.00613842518768029</v>
      </c>
      <c r="AB25" t="n">
        <v>0.0895497973572949</v>
      </c>
      <c r="AC25" t="n">
        <v>0.0146731974835309</v>
      </c>
      <c r="AD25" t="n">
        <v>0.0676507733944159</v>
      </c>
      <c r="AE25" t="n">
        <v>0.0233206522674868</v>
      </c>
      <c r="AF25" t="n">
        <v>0.0325751827186177</v>
      </c>
      <c r="AG25" t="n">
        <v>0.00142459534082389</v>
      </c>
      <c r="AH25" t="n">
        <v>0.00207689845019901</v>
      </c>
      <c r="AI25" t="n">
        <v>0.00433694983654931</v>
      </c>
      <c r="AJ25" t="n">
        <v>0.0328402077596586</v>
      </c>
      <c r="AK25" t="n">
        <v>0.242645268210078</v>
      </c>
      <c r="AL25" t="n">
        <v>0.0617833211427924</v>
      </c>
      <c r="AM25" t="n">
        <v>0.218544536770585</v>
      </c>
      <c r="AN25" t="n">
        <v>0.00600123605742706</v>
      </c>
      <c r="AO25" t="n">
        <v>0.047890101758194</v>
      </c>
      <c r="AP25" t="n">
        <v>0.0259181110075404</v>
      </c>
      <c r="AQ25" t="n">
        <v>0</v>
      </c>
    </row>
    <row r="26">
      <c r="A26" t="s">
        <v>621</v>
      </c>
      <c r="B26" t="n">
        <v>0.00473610932906973</v>
      </c>
      <c r="C26" t="n">
        <v>0.00522806448922596</v>
      </c>
      <c r="D26" t="n">
        <v>0.0000128922271039353</v>
      </c>
      <c r="E26" t="n">
        <v>0.00312522021418684</v>
      </c>
      <c r="F26" t="n">
        <v>0.000544421035917501</v>
      </c>
      <c r="G26" t="n">
        <v>0.00832368765403422</v>
      </c>
      <c r="H26" t="n">
        <v>0.000172715437439534</v>
      </c>
      <c r="I26" t="n">
        <v>0.000461074239957843</v>
      </c>
      <c r="J26" t="n">
        <v>0.00513647614282575</v>
      </c>
      <c r="K26" t="n">
        <v>0.0405749370021386</v>
      </c>
      <c r="L26" t="n">
        <v>0.00617213017505951</v>
      </c>
      <c r="M26" t="n">
        <v>0.00504992468868506</v>
      </c>
      <c r="N26" t="n">
        <v>0.00533673469121873</v>
      </c>
      <c r="O26" t="n">
        <v>0.000276084921019134</v>
      </c>
      <c r="P26" t="n">
        <v>0.00248476428917221</v>
      </c>
      <c r="Q26" t="n">
        <v>0.00348150595515181</v>
      </c>
      <c r="R26" t="n">
        <v>0.00150125268360206</v>
      </c>
      <c r="S26" t="n">
        <v>0.00802418228035859</v>
      </c>
      <c r="T26" t="n">
        <v>0.00116468580277025</v>
      </c>
      <c r="U26" t="n">
        <v>0.000922628145067378</v>
      </c>
      <c r="V26" t="n">
        <v>0.00693936779916977</v>
      </c>
      <c r="W26" t="n">
        <v>0.00236169770628583</v>
      </c>
      <c r="X26" t="n">
        <v>0.000186782463221439</v>
      </c>
      <c r="Y26" t="n">
        <v>0.002163816969487</v>
      </c>
      <c r="Z26" t="n">
        <v>0.0163024296159956</v>
      </c>
      <c r="AA26" t="n">
        <v>0.00680822601236738</v>
      </c>
      <c r="AB26" t="n">
        <v>0.00228774449408204</v>
      </c>
      <c r="AC26" t="n">
        <v>0.000816264680253985</v>
      </c>
      <c r="AD26" t="n">
        <v>0.0456986500559251</v>
      </c>
      <c r="AE26" t="n">
        <v>0.0300414493074872</v>
      </c>
      <c r="AF26" t="n">
        <v>0.0170967045942829</v>
      </c>
      <c r="AG26" t="n">
        <v>0.00194305466270865</v>
      </c>
      <c r="AH26" t="n">
        <v>0.00462218210711728</v>
      </c>
      <c r="AI26" t="n">
        <v>0.00281357316888217</v>
      </c>
      <c r="AJ26" t="n">
        <v>0.0344732176747879</v>
      </c>
      <c r="AK26" t="n">
        <v>0.407071422959825</v>
      </c>
      <c r="AL26" t="n">
        <v>0.020634568792622</v>
      </c>
      <c r="AM26" t="n">
        <v>0.255636739325268</v>
      </c>
      <c r="AN26" t="n">
        <v>0.00865690311900809</v>
      </c>
      <c r="AO26" t="n">
        <v>0.0121551567342861</v>
      </c>
      <c r="AP26" t="n">
        <v>0.0185605563529324</v>
      </c>
      <c r="AQ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2026-07-17T19:20:15Z</dcterms:created>
</coreProperties>
</file>