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003AA2AE-478C-4584-B192-EE92919900D2}"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X25" i="9"/>
  <c r="W25" i="9"/>
  <c r="V25" i="9"/>
  <c r="U25" i="9"/>
  <c r="T25" i="9"/>
  <c r="S25" i="9"/>
  <c r="R25" i="9"/>
  <c r="Q25" i="9"/>
  <c r="P25" i="9"/>
  <c r="O25" i="9"/>
  <c r="N25" i="9"/>
  <c r="M25" i="9"/>
  <c r="L25" i="9"/>
  <c r="K25" i="9"/>
  <c r="J25" i="9"/>
  <c r="I25" i="9"/>
  <c r="H25" i="9"/>
  <c r="G25" i="9"/>
  <c r="F25" i="9"/>
  <c r="F45" i="9" s="1"/>
  <c r="E25" i="9"/>
  <c r="E45" i="9" s="1"/>
  <c r="D25" i="9"/>
  <c r="D45" i="9" s="1"/>
  <c r="C25" i="9"/>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P43" i="9" s="1"/>
  <c r="O23" i="9"/>
  <c r="O43" i="9" s="1"/>
  <c r="N23" i="9"/>
  <c r="N43" i="9" s="1"/>
  <c r="M23" i="9"/>
  <c r="L23" i="9"/>
  <c r="K23" i="9"/>
  <c r="J23" i="9"/>
  <c r="I23" i="9"/>
  <c r="H23" i="9"/>
  <c r="G23" i="9"/>
  <c r="F23" i="9"/>
  <c r="E23" i="9"/>
  <c r="D23" i="9"/>
  <c r="C23" i="9"/>
  <c r="B23" i="9"/>
  <c r="AB22" i="9"/>
  <c r="AA22" i="9"/>
  <c r="Z22" i="9"/>
  <c r="Y22" i="9"/>
  <c r="X22" i="9"/>
  <c r="W22" i="9"/>
  <c r="V22" i="9"/>
  <c r="U22" i="9"/>
  <c r="U42" i="9" s="1"/>
  <c r="T22" i="9"/>
  <c r="T42" i="9" s="1"/>
  <c r="S22" i="9"/>
  <c r="S42" i="9" s="1"/>
  <c r="R22" i="9"/>
  <c r="Q22" i="9"/>
  <c r="P22" i="9"/>
  <c r="O22" i="9"/>
  <c r="N22" i="9"/>
  <c r="M22" i="9"/>
  <c r="L22" i="9"/>
  <c r="K22" i="9"/>
  <c r="J22" i="9"/>
  <c r="I22" i="9"/>
  <c r="H22" i="9"/>
  <c r="G22" i="9"/>
  <c r="F22" i="9"/>
  <c r="E22" i="9"/>
  <c r="D22" i="9"/>
  <c r="C22" i="9"/>
  <c r="B22" i="9"/>
  <c r="AB21" i="9"/>
  <c r="AA21" i="9"/>
  <c r="Z21" i="9"/>
  <c r="Z41" i="9" s="1"/>
  <c r="Y21" i="9"/>
  <c r="Y41" i="9" s="1"/>
  <c r="X21" i="9"/>
  <c r="X41" i="9" s="1"/>
  <c r="W21" i="9"/>
  <c r="V21" i="9"/>
  <c r="U21" i="9"/>
  <c r="T21" i="9"/>
  <c r="S21" i="9"/>
  <c r="R21" i="9"/>
  <c r="Q21" i="9"/>
  <c r="P21" i="9"/>
  <c r="O21" i="9"/>
  <c r="N21" i="9"/>
  <c r="M21" i="9"/>
  <c r="L21" i="9"/>
  <c r="K21" i="9"/>
  <c r="J21" i="9"/>
  <c r="I21" i="9"/>
  <c r="H21" i="9"/>
  <c r="G21" i="9"/>
  <c r="F21" i="9"/>
  <c r="E21" i="9"/>
  <c r="D21" i="9"/>
  <c r="D41" i="9" s="1"/>
  <c r="C21" i="9"/>
  <c r="C41" i="9" s="1"/>
  <c r="B21" i="9"/>
  <c r="B41" i="9" s="1"/>
  <c r="AB20" i="9"/>
  <c r="AA20" i="9"/>
  <c r="Z20" i="9"/>
  <c r="Y20" i="9"/>
  <c r="X20" i="9"/>
  <c r="W20" i="9"/>
  <c r="V20" i="9"/>
  <c r="U20" i="9"/>
  <c r="T20" i="9"/>
  <c r="S20" i="9"/>
  <c r="R20" i="9"/>
  <c r="Q20" i="9"/>
  <c r="P20" i="9"/>
  <c r="O20" i="9"/>
  <c r="N20" i="9"/>
  <c r="M20" i="9"/>
  <c r="L20" i="9"/>
  <c r="K20" i="9"/>
  <c r="J20" i="9"/>
  <c r="I20" i="9"/>
  <c r="I40" i="9" s="1"/>
  <c r="H20" i="9"/>
  <c r="H40" i="9" s="1"/>
  <c r="G20" i="9"/>
  <c r="G40" i="9" s="1"/>
  <c r="F20" i="9"/>
  <c r="E20" i="9"/>
  <c r="D20" i="9"/>
  <c r="C20" i="9"/>
  <c r="B20" i="9"/>
  <c r="AB19" i="9"/>
  <c r="AA19" i="9"/>
  <c r="Z19" i="9"/>
  <c r="Y19" i="9"/>
  <c r="X19" i="9"/>
  <c r="W19" i="9"/>
  <c r="V19" i="9"/>
  <c r="U19" i="9"/>
  <c r="T19" i="9"/>
  <c r="S19" i="9"/>
  <c r="R19" i="9"/>
  <c r="Q19" i="9"/>
  <c r="P19" i="9"/>
  <c r="O19" i="9"/>
  <c r="N19" i="9"/>
  <c r="N39" i="9" s="1"/>
  <c r="M19" i="9"/>
  <c r="M39" i="9" s="1"/>
  <c r="L19" i="9"/>
  <c r="L39" i="9" s="1"/>
  <c r="K19" i="9"/>
  <c r="J19" i="9"/>
  <c r="I19" i="9"/>
  <c r="H19" i="9"/>
  <c r="G19" i="9"/>
  <c r="F19" i="9"/>
  <c r="E19" i="9"/>
  <c r="D19" i="9"/>
  <c r="C19" i="9"/>
  <c r="B19" i="9"/>
  <c r="AB18" i="9"/>
  <c r="AA18" i="9"/>
  <c r="Z18" i="9"/>
  <c r="Y18" i="9"/>
  <c r="X18" i="9"/>
  <c r="W18" i="9"/>
  <c r="V18" i="9"/>
  <c r="U18" i="9"/>
  <c r="T18" i="9"/>
  <c r="S18" i="9"/>
  <c r="S38" i="9" s="1"/>
  <c r="R18" i="9"/>
  <c r="R38" i="9" s="1"/>
  <c r="Q18" i="9"/>
  <c r="Q38" i="9" s="1"/>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C45" i="9" l="1"/>
  <c r="Y45" i="9"/>
  <c r="M15" i="9"/>
  <c r="K45" i="9"/>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F10" i="9"/>
  <c r="F11" i="9"/>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N15" i="9"/>
  <c r="O15" i="9"/>
  <c r="P15" i="9"/>
  <c r="F5" i="9"/>
  <c r="G49" i="9" l="1"/>
  <c r="G3" i="10" s="1"/>
  <c r="AA61" i="9"/>
  <c r="AA5" i="11" s="1"/>
  <c r="G53" i="9"/>
  <c r="G7" i="10" s="1"/>
  <c r="S51" i="9"/>
  <c r="S5" i="10" s="1"/>
  <c r="D55" i="9"/>
  <c r="D9" i="10" s="1"/>
  <c r="C50" i="9"/>
  <c r="G51" i="9"/>
  <c r="G5" i="10" s="1"/>
  <c r="Y55" i="9"/>
  <c r="Y9" i="10" s="1"/>
  <c r="L48" i="9"/>
  <c r="L2" i="10" s="1"/>
  <c r="W58" i="9"/>
  <c r="W2" i="11" s="1"/>
  <c r="I53" i="9"/>
  <c r="I7" i="10" s="1"/>
  <c r="L53" i="9"/>
  <c r="L7" i="10" s="1"/>
  <c r="M63" i="9"/>
  <c r="M7" i="11" s="1"/>
  <c r="T58" i="9"/>
  <c r="T2" i="11" s="1"/>
  <c r="T59" i="9"/>
  <c r="T3" i="11" s="1"/>
  <c r="S59" i="9"/>
  <c r="S3" i="11" s="1"/>
  <c r="T63" i="9"/>
  <c r="T7" i="11" s="1"/>
  <c r="K48" i="9"/>
  <c r="K2" i="10" s="1"/>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I60" i="9"/>
  <c r="I4" i="11" s="1"/>
  <c r="B64" i="9"/>
  <c r="B8" i="11" s="1"/>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Y50" i="9"/>
  <c r="Y4" i="10" s="1"/>
  <c r="Y53" i="9"/>
  <c r="Y7" i="10" s="1"/>
  <c r="G58" i="9"/>
  <c r="G2" i="11" s="1"/>
  <c r="J50" i="9"/>
  <c r="J4" i="10" s="1"/>
  <c r="AA58" i="9"/>
  <c r="AA2" i="11" s="1"/>
  <c r="K53" i="9"/>
  <c r="K7" i="10" s="1"/>
  <c r="Z50" i="9"/>
  <c r="Z4" i="10" s="1"/>
  <c r="L54" i="9"/>
  <c r="L8" i="10" s="1"/>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2" i="11" s="1"/>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O4" i="10" s="1"/>
  <c r="Z49" i="9"/>
  <c r="Z3" i="10" s="1"/>
  <c r="C64" i="9"/>
  <c r="C8" i="11" s="1"/>
  <c r="K61" i="9"/>
  <c r="K5" i="11" s="1"/>
  <c r="Q64" i="9"/>
  <c r="S48" i="9"/>
  <c r="S2" i="10" s="1"/>
  <c r="T49" i="9"/>
  <c r="T3" i="10" s="1"/>
  <c r="S58" i="9"/>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Z2" i="10" s="1"/>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D8" i="11" s="1"/>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AB51" i="9"/>
  <c r="AB5" i="10" s="1"/>
  <c r="W65" i="9"/>
  <c r="W9" i="11" s="1"/>
  <c r="Q50" i="9"/>
  <c r="Q4" i="10" s="1"/>
  <c r="Z61" i="9"/>
  <c r="Z5" i="11" s="1"/>
  <c r="J64" i="9"/>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S62" i="9"/>
  <c r="S6" i="11" s="1"/>
  <c r="AB62" i="9"/>
  <c r="AB6" i="11" s="1"/>
  <c r="AA49" i="9"/>
  <c r="AA3" i="10" s="1"/>
  <c r="H53" i="9"/>
  <c r="H7" i="10" s="1"/>
  <c r="R62" i="9"/>
  <c r="R6" i="11" s="1"/>
  <c r="AA4" i="11"/>
  <c r="AB49" i="9"/>
  <c r="AB3" i="10" s="1"/>
  <c r="S52" i="9"/>
  <c r="S6" i="10" s="1"/>
  <c r="G62" i="9"/>
  <c r="G6" i="11" s="1"/>
  <c r="Z62" i="9"/>
  <c r="Z6" i="11" s="1"/>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Q52" i="9"/>
  <c r="Q6" i="10" s="1"/>
  <c r="P65" i="9"/>
  <c r="P9" i="11" s="1"/>
  <c r="D4" i="11"/>
  <c r="Q59" i="9"/>
  <c r="Q3" i="11" s="1"/>
  <c r="L49" i="9"/>
  <c r="L3" i="10" s="1"/>
  <c r="K49" i="9"/>
  <c r="K3" i="10" s="1"/>
  <c r="M49" i="9"/>
  <c r="M3" i="10" s="1"/>
  <c r="P50" i="9"/>
  <c r="P49" i="9"/>
  <c r="P3" i="10" s="1"/>
  <c r="T62" i="9"/>
  <c r="T6" i="11" s="1"/>
  <c r="U52" i="9"/>
  <c r="U6" i="10" s="1"/>
  <c r="J53" i="9"/>
  <c r="J7" i="10" s="1"/>
  <c r="J49" i="9"/>
  <c r="J3" i="10" s="1"/>
  <c r="K62" i="9"/>
  <c r="K6" i="11" s="1"/>
  <c r="Z63" i="9"/>
  <c r="Z7" i="11" s="1"/>
  <c r="D62" i="9"/>
  <c r="D6" i="11" s="1"/>
  <c r="Q62" i="9"/>
  <c r="Q6" i="11" s="1"/>
  <c r="M62" i="9"/>
  <c r="M6" i="11" s="1"/>
  <c r="V2" i="11"/>
  <c r="AB52" i="9"/>
  <c r="AB6" i="10" s="1"/>
  <c r="M4" i="1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52" i="9"/>
  <c r="Z6" i="10" s="1"/>
  <c r="C52" i="9"/>
  <c r="C6" i="10" s="1"/>
  <c r="N63" i="9"/>
  <c r="N7" i="11" s="1"/>
  <c r="C4" i="10"/>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P63" i="9"/>
  <c r="P7" i="11" s="1"/>
  <c r="S53" i="9"/>
  <c r="S7" i="10" s="1"/>
  <c r="W52" i="9"/>
  <c r="W6" i="10" s="1"/>
  <c r="O59" i="9"/>
  <c r="O3" i="11" s="1"/>
  <c r="S71" i="9" l="1"/>
  <c r="Z68" i="9"/>
  <c r="V73" i="9"/>
  <c r="J73" i="9"/>
  <c r="R68" i="9"/>
  <c r="V8" i="1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<sst xmlns="http://schemas.openxmlformats.org/spreadsheetml/2006/main" count="5677" uniqueCount="335">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</sst>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75</v>
      </c>
    </row>
    <row r="2" spans="1:2" x14ac:dyDescent="0.25">
      <c r="A2" s="3" t="s">
        <v>2</v>
      </c>
      <c r="B2" s="4" t="str">
        <f>IFERROR(INDEX(Geography!B:B, MATCH($B$1, Geography!C:C, 0)), "")</f>
        <v>IL</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6282332</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12710158</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0.99701161536427907</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6427826</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12710158</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1.0029381041064389</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9599046</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12710158</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1.0049957464372865</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1848198</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12710158</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1.0644135334566418</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865228</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12710158</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1.0542522675602231</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397686</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12710158</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0.66085862124756345</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2464090</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12710158</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0.99348205217118057</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10246068</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12710158</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1.0015802869539632</v>
      </c>
    </row>
    <row r="12" spans="1:28" x14ac:dyDescent="0.25">
      <c r="A12" s="4" t="s">
        <v>319</v>
      </c>
    </row>
    <row r="13" spans="1:28" x14ac:dyDescent="0.25">
      <c r="A13" s="4" t="s">
        <v>320</v>
      </c>
      <c r="B13" s="37">
        <f>INDEX(Census_pop_2020_2025!G:G, MATCH("."&amp;About!$B$1, Census_pop_2020_2025!A:A, 0))</f>
        <v>12703033</v>
      </c>
      <c r="C13" s="37">
        <f>INDEX(Census_pop_2020_2025!H:H, MATCH("."&amp;About!$B$1, Census_pop_2020_2025!A:A, 0))</f>
        <v>12719141</v>
      </c>
      <c r="D13" s="37">
        <f>INDEX(Census_pop_2020_2025!H:H, MATCH("."&amp;About!$B$1, Census_pop_2020_2025!A:A, 0))+0.2*(INDEX(Cooper_pop_2030_2050!D:D, MATCH(About!$B$1, Cooper_pop_2030_2050!B:B, 0))-INDEX(Census_pop_2020_2025!H:H, MATCH("."&amp;About!$B$1, Census_pop_2020_2025!A:A, 0)))</f>
        <v>12735098.360118441</v>
      </c>
      <c r="E13" s="37">
        <f>INDEX(Census_pop_2020_2025!H:H, MATCH("."&amp;About!$B$1, Census_pop_2020_2025!A:A, 0))+0.4*(INDEX(Cooper_pop_2030_2050!D:D, MATCH(About!$B$1, Cooper_pop_2030_2050!B:B, 0))-INDEX(Census_pop_2020_2025!H:H, MATCH("."&amp;About!$B$1, Census_pop_2020_2025!A:A, 0)))</f>
        <v>12751055.720236884</v>
      </c>
      <c r="F13" s="37">
        <f>INDEX(Census_pop_2020_2025!H:H, MATCH("."&amp;About!$B$1, Census_pop_2020_2025!A:A, 0))+0.6*(INDEX(Cooper_pop_2030_2050!D:D, MATCH(About!$B$1, Cooper_pop_2030_2050!B:B, 0))-INDEX(Census_pop_2020_2025!H:H, MATCH("."&amp;About!$B$1, Census_pop_2020_2025!A:A, 0)))</f>
        <v>12767013.080355326</v>
      </c>
      <c r="G13" s="37">
        <f>INDEX(Census_pop_2020_2025!H:H, MATCH("."&amp;About!$B$1, Census_pop_2020_2025!A:A, 0))+0.8*(INDEX(Cooper_pop_2030_2050!D:D, MATCH(About!$B$1, Cooper_pop_2030_2050!B:B, 0))-INDEX(Census_pop_2020_2025!H:H, MATCH("."&amp;About!$B$1, Census_pop_2020_2025!A:A, 0)))</f>
        <v>12782970.440473769</v>
      </c>
      <c r="H13" s="37">
        <f>INDEX(Cooper_pop_2030_2050!D:D, MATCH(About!$B$1, Cooper_pop_2030_2050!B:B, 0))</f>
        <v>12798927.80059221</v>
      </c>
      <c r="I13" s="37">
        <f>INDEX(Cooper_pop_2030_2050!D:D, MATCH(About!$B$1, Cooper_pop_2030_2050!B:B, 0))+0.1*(INDEX(Cooper_pop_2030_2050!E:E, MATCH(About!$B$1, Cooper_pop_2030_2050!B:B, 0))-INDEX(Cooper_pop_2030_2050!D:D, MATCH(About!$B$1, Cooper_pop_2030_2050!B:B, 0)))</f>
        <v>12747848.070494402</v>
      </c>
      <c r="J13" s="37">
        <f>INDEX(Cooper_pop_2030_2050!D:D, MATCH(About!$B$1, Cooper_pop_2030_2050!B:B, 0))+0.2*(INDEX(Cooper_pop_2030_2050!E:E, MATCH(About!$B$1, Cooper_pop_2030_2050!B:B, 0))-INDEX(Cooper_pop_2030_2050!D:D, MATCH(About!$B$1, Cooper_pop_2030_2050!B:B, 0)))</f>
        <v>12696768.340396594</v>
      </c>
      <c r="K13" s="37">
        <f>INDEX(Cooper_pop_2030_2050!D:D, MATCH(About!$B$1, Cooper_pop_2030_2050!B:B, 0))+0.3*(INDEX(Cooper_pop_2030_2050!E:E, MATCH(About!$B$1, Cooper_pop_2030_2050!B:B, 0))-INDEX(Cooper_pop_2030_2050!D:D, MATCH(About!$B$1, Cooper_pop_2030_2050!B:B, 0)))</f>
        <v>12645688.610298786</v>
      </c>
      <c r="L13" s="37">
        <f>INDEX(Cooper_pop_2030_2050!D:D, MATCH(About!$B$1, Cooper_pop_2030_2050!B:B, 0))+0.4*(INDEX(Cooper_pop_2030_2050!E:E, MATCH(About!$B$1, Cooper_pop_2030_2050!B:B, 0))-INDEX(Cooper_pop_2030_2050!D:D, MATCH(About!$B$1, Cooper_pop_2030_2050!B:B, 0)))</f>
        <v>12594608.880200978</v>
      </c>
      <c r="M13" s="37">
        <f>INDEX(Cooper_pop_2030_2050!D:D, MATCH(About!$B$1, Cooper_pop_2030_2050!B:B, 0))+0.5*(INDEX(Cooper_pop_2030_2050!E:E, MATCH(About!$B$1, Cooper_pop_2030_2050!B:B, 0))-INDEX(Cooper_pop_2030_2050!D:D, MATCH(About!$B$1, Cooper_pop_2030_2050!B:B, 0)))</f>
        <v>12543529.15010317</v>
      </c>
      <c r="N13" s="37">
        <f>INDEX(Cooper_pop_2030_2050!D:D, MATCH(About!$B$1, Cooper_pop_2030_2050!B:B, 0))+0.6*(INDEX(Cooper_pop_2030_2050!E:E, MATCH(About!$B$1, Cooper_pop_2030_2050!B:B, 0))-INDEX(Cooper_pop_2030_2050!D:D, MATCH(About!$B$1, Cooper_pop_2030_2050!B:B, 0)))</f>
        <v>12492449.420005362</v>
      </c>
      <c r="O13" s="37">
        <f>INDEX(Cooper_pop_2030_2050!D:D, MATCH(About!$B$1, Cooper_pop_2030_2050!B:B, 0))+0.7*(INDEX(Cooper_pop_2030_2050!E:E, MATCH(About!$B$1, Cooper_pop_2030_2050!B:B, 0))-INDEX(Cooper_pop_2030_2050!D:D, MATCH(About!$B$1, Cooper_pop_2030_2050!B:B, 0)))</f>
        <v>12441369.689907555</v>
      </c>
      <c r="P13" s="37">
        <f>INDEX(Cooper_pop_2030_2050!D:D, MATCH(About!$B$1, Cooper_pop_2030_2050!B:B, 0))+0.8*(INDEX(Cooper_pop_2030_2050!E:E, MATCH(About!$B$1, Cooper_pop_2030_2050!B:B, 0))-INDEX(Cooper_pop_2030_2050!D:D, MATCH(About!$B$1, Cooper_pop_2030_2050!B:B, 0)))</f>
        <v>12390289.959809747</v>
      </c>
      <c r="Q13" s="37">
        <f>INDEX(Cooper_pop_2030_2050!D:D, MATCH(About!$B$1, Cooper_pop_2030_2050!B:B, 0))+0.9*(INDEX(Cooper_pop_2030_2050!E:E, MATCH(About!$B$1, Cooper_pop_2030_2050!B:B, 0))-INDEX(Cooper_pop_2030_2050!D:D, MATCH(About!$B$1, Cooper_pop_2030_2050!B:B, 0)))</f>
        <v>12339210.229711939</v>
      </c>
      <c r="R13" s="37">
        <f>INDEX(Cooper_pop_2030_2050!E:E, MATCH(About!$B$1, Cooper_pop_2030_2050!B:B, 0))</f>
        <v>12288130.499614131</v>
      </c>
      <c r="S13" s="37">
        <f>INDEX(Cooper_pop_2030_2050!E:E, MATCH(About!$B$1, Cooper_pop_2030_2050!B:B, 0))+0.1*(INDEX(Cooper_pop_2030_2050!F:F, MATCH(About!$B$1, Cooper_pop_2030_2050!B:B, 0))-INDEX(Cooper_pop_2030_2050!E:E, MATCH(About!$B$1, Cooper_pop_2030_2050!B:B, 0)))</f>
        <v>12225264.884422956</v>
      </c>
      <c r="T13" s="37">
        <f>INDEX(Cooper_pop_2030_2050!E:E, MATCH(About!$B$1, Cooper_pop_2030_2050!B:B, 0))+0.2*(INDEX(Cooper_pop_2030_2050!F:F, MATCH(About!$B$1, Cooper_pop_2030_2050!B:B, 0))-INDEX(Cooper_pop_2030_2050!E:E, MATCH(About!$B$1, Cooper_pop_2030_2050!B:B, 0)))</f>
        <v>12162399.269231781</v>
      </c>
      <c r="U13" s="37">
        <f>INDEX(Cooper_pop_2030_2050!E:E, MATCH(About!$B$1, Cooper_pop_2030_2050!B:B, 0))+0.3*(INDEX(Cooper_pop_2030_2050!F:F, MATCH(About!$B$1, Cooper_pop_2030_2050!B:B, 0))-INDEX(Cooper_pop_2030_2050!E:E, MATCH(About!$B$1, Cooper_pop_2030_2050!B:B, 0)))</f>
        <v>12099533.654040605</v>
      </c>
      <c r="V13" s="37">
        <f>INDEX(Cooper_pop_2030_2050!E:E, MATCH(About!$B$1, Cooper_pop_2030_2050!B:B, 0))+0.4*(INDEX(Cooper_pop_2030_2050!F:F, MATCH(About!$B$1, Cooper_pop_2030_2050!B:B, 0))-INDEX(Cooper_pop_2030_2050!E:E, MATCH(About!$B$1, Cooper_pop_2030_2050!B:B, 0)))</f>
        <v>12036668.03884943</v>
      </c>
      <c r="W13" s="37">
        <f>INDEX(Cooper_pop_2030_2050!E:E, MATCH(About!$B$1, Cooper_pop_2030_2050!B:B, 0))+0.5*(INDEX(Cooper_pop_2030_2050!F:F, MATCH(About!$B$1, Cooper_pop_2030_2050!B:B, 0))-INDEX(Cooper_pop_2030_2050!E:E, MATCH(About!$B$1, Cooper_pop_2030_2050!B:B, 0)))</f>
        <v>11973802.423658255</v>
      </c>
      <c r="X13" s="37">
        <f>INDEX(Cooper_pop_2030_2050!E:E, MATCH(About!$B$1, Cooper_pop_2030_2050!B:B, 0))+0.6*(INDEX(Cooper_pop_2030_2050!F:F, MATCH(About!$B$1, Cooper_pop_2030_2050!B:B, 0))-INDEX(Cooper_pop_2030_2050!E:E, MATCH(About!$B$1, Cooper_pop_2030_2050!B:B, 0)))</f>
        <v>11910936.808467081</v>
      </c>
      <c r="Y13" s="37">
        <f>INDEX(Cooper_pop_2030_2050!E:E, MATCH(About!$B$1, Cooper_pop_2030_2050!B:B, 0))+0.7*(INDEX(Cooper_pop_2030_2050!F:F, MATCH(About!$B$1, Cooper_pop_2030_2050!B:B, 0))-INDEX(Cooper_pop_2030_2050!E:E, MATCH(About!$B$1, Cooper_pop_2030_2050!B:B, 0)))</f>
        <v>11848071.193275906</v>
      </c>
      <c r="Z13" s="37">
        <f>INDEX(Cooper_pop_2030_2050!E:E, MATCH(About!$B$1, Cooper_pop_2030_2050!B:B, 0))+0.8*(INDEX(Cooper_pop_2030_2050!F:F, MATCH(About!$B$1, Cooper_pop_2030_2050!B:B, 0))-INDEX(Cooper_pop_2030_2050!E:E, MATCH(About!$B$1, Cooper_pop_2030_2050!B:B, 0)))</f>
        <v>11785205.57808473</v>
      </c>
      <c r="AA13" s="37">
        <f>INDEX(Cooper_pop_2030_2050!E:E, MATCH(About!$B$1, Cooper_pop_2030_2050!B:B, 0))+0.9*(INDEX(Cooper_pop_2030_2050!F:F, MATCH(About!$B$1, Cooper_pop_2030_2050!B:B, 0))-INDEX(Cooper_pop_2030_2050!E:E, MATCH(About!$B$1, Cooper_pop_2030_2050!B:B, 0)))</f>
        <v>11722339.962893555</v>
      </c>
      <c r="AB13" s="37">
        <f>INDEX(Cooper_pop_2030_2050!F:F, MATCH(About!$B$1, Cooper_pop_2030_2050!B:B, 0))</f>
        <v>11659474.34770238</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3.7752470139814365E-2</v>
      </c>
      <c r="C15" s="39">
        <f t="shared" si="1"/>
        <v>3.7628784596423805E-2</v>
      </c>
      <c r="D15" s="39">
        <f t="shared" si="1"/>
        <v>3.7509894089985382E-2</v>
      </c>
      <c r="E15" s="39">
        <f t="shared" si="1"/>
        <v>3.7396360887004383E-2</v>
      </c>
      <c r="F15" s="39">
        <f t="shared" si="1"/>
        <v>3.7288495102559202E-2</v>
      </c>
      <c r="G15" s="39">
        <f t="shared" si="1"/>
        <v>3.718641299427522E-2</v>
      </c>
      <c r="H15" s="39">
        <f t="shared" si="1"/>
        <v>3.7090432588170616E-2</v>
      </c>
      <c r="I15" s="39">
        <f t="shared" si="1"/>
        <v>3.6807400706650464E-2</v>
      </c>
      <c r="J15" s="39">
        <f t="shared" si="1"/>
        <v>3.6532721691262621E-2</v>
      </c>
      <c r="K15" s="39">
        <f t="shared" si="1"/>
        <v>3.626504989397298E-2</v>
      </c>
      <c r="L15" s="39">
        <f t="shared" si="1"/>
        <v>3.6004384089982397E-2</v>
      </c>
      <c r="M15" s="39">
        <f t="shared" si="1"/>
        <v>3.5750699413854545E-2</v>
      </c>
      <c r="N15" s="39">
        <f t="shared" si="1"/>
        <v>3.5503938794654522E-2</v>
      </c>
      <c r="O15" s="39">
        <f t="shared" si="1"/>
        <v>3.5264048889466895E-2</v>
      </c>
      <c r="P15" s="39">
        <f t="shared" si="1"/>
        <v>3.5030934417958834E-2</v>
      </c>
      <c r="Q15" s="39">
        <f t="shared" si="1"/>
        <v>3.480443219463366E-2</v>
      </c>
      <c r="R15" s="39">
        <f t="shared" si="1"/>
        <v>3.4584343079924404E-2</v>
      </c>
      <c r="S15" s="39">
        <f t="shared" si="1"/>
        <v>3.4337396362743709E-2</v>
      </c>
      <c r="T15" s="39">
        <f t="shared" si="1"/>
        <v>3.4096478707232987E-2</v>
      </c>
      <c r="U15" s="39">
        <f t="shared" si="1"/>
        <v>3.3861196620493798E-2</v>
      </c>
      <c r="V15" s="39">
        <f t="shared" si="1"/>
        <v>3.3631053073638721E-2</v>
      </c>
      <c r="W15" s="39">
        <f t="shared" si="1"/>
        <v>3.3405507579014948E-2</v>
      </c>
      <c r="X15" s="39">
        <f t="shared" si="1"/>
        <v>3.3184018504346817E-2</v>
      </c>
      <c r="Y15" s="39">
        <f t="shared" si="1"/>
        <v>3.296622281372702E-2</v>
      </c>
      <c r="Z15" s="39">
        <f t="shared" si="1"/>
        <v>3.2751623907056535E-2</v>
      </c>
      <c r="AA15" s="39">
        <f t="shared" si="1"/>
        <v>3.2539729763115345E-2</v>
      </c>
      <c r="AB15" s="39">
        <f t="shared" si="1"/>
        <v>3.2330066763439726E-2</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354.22675780164644</v>
      </c>
      <c r="C48" s="37">
        <f t="shared" si="10"/>
        <v>350.40257183906448</v>
      </c>
      <c r="D48" s="37">
        <f t="shared" si="10"/>
        <v>346.6028113156724</v>
      </c>
      <c r="E48" s="37">
        <f t="shared" si="10"/>
        <v>342.86923840091282</v>
      </c>
      <c r="F48" s="37">
        <f t="shared" si="10"/>
        <v>339.12916628422812</v>
      </c>
      <c r="G48" s="37">
        <f t="shared" si="10"/>
        <v>335.38303434292516</v>
      </c>
      <c r="H48" s="37">
        <f t="shared" si="10"/>
        <v>331.63298203612965</v>
      </c>
      <c r="I48" s="37">
        <f t="shared" si="10"/>
        <v>326.35003187723993</v>
      </c>
      <c r="J48" s="37">
        <f t="shared" si="10"/>
        <v>320.92788025666022</v>
      </c>
      <c r="K48" s="37">
        <f t="shared" si="10"/>
        <v>315.64778127097043</v>
      </c>
      <c r="L48" s="37">
        <f t="shared" si="10"/>
        <v>310.25594855213916</v>
      </c>
      <c r="M48" s="37">
        <f t="shared" si="10"/>
        <v>305.00453203724578</v>
      </c>
      <c r="N48" s="37">
        <f t="shared" si="10"/>
        <v>299.92589297737527</v>
      </c>
      <c r="O48" s="37">
        <f t="shared" si="10"/>
        <v>294.52414799361316</v>
      </c>
      <c r="P48" s="37">
        <f t="shared" si="10"/>
        <v>289.32904267149655</v>
      </c>
      <c r="Q48" s="37">
        <f t="shared" si="10"/>
        <v>284.02296359904432</v>
      </c>
      <c r="R48" s="37">
        <f t="shared" si="10"/>
        <v>278.77881838305922</v>
      </c>
      <c r="S48" s="37">
        <f t="shared" si="10"/>
        <v>273.26203802591056</v>
      </c>
      <c r="T48" s="37">
        <f t="shared" si="10"/>
        <v>267.84333769004684</v>
      </c>
      <c r="U48" s="37">
        <f t="shared" si="10"/>
        <v>262.51780930579633</v>
      </c>
      <c r="V48" s="37">
        <f t="shared" si="10"/>
        <v>257.27991438051117</v>
      </c>
      <c r="W48" s="37">
        <f t="shared" si="10"/>
        <v>252.15729626484284</v>
      </c>
      <c r="X48" s="37">
        <f t="shared" si="10"/>
        <v>247.37543760618126</v>
      </c>
      <c r="Y48" s="37">
        <f t="shared" si="10"/>
        <v>242.66228122377862</v>
      </c>
      <c r="Z48" s="37">
        <f t="shared" si="10"/>
        <v>238.17644854211349</v>
      </c>
      <c r="AA48" s="37">
        <f t="shared" si="10"/>
        <v>233.78057238062115</v>
      </c>
      <c r="AB48" s="37">
        <f t="shared" si="10"/>
        <v>229.43771196702517</v>
      </c>
    </row>
    <row r="49" spans="1:28" x14ac:dyDescent="0.25">
      <c r="A49" s="4" t="s">
        <v>216</v>
      </c>
      <c r="B49" s="37">
        <f t="shared" ref="B49:AB49" si="11">B29*B15*$F$5</f>
        <v>284.12688476851218</v>
      </c>
      <c r="C49" s="37">
        <f t="shared" si="11"/>
        <v>281.64870847258169</v>
      </c>
      <c r="D49" s="37">
        <f t="shared" si="11"/>
        <v>279.2163975178446</v>
      </c>
      <c r="E49" s="37">
        <f t="shared" si="11"/>
        <v>276.79601642907363</v>
      </c>
      <c r="F49" s="37">
        <f t="shared" si="11"/>
        <v>274.35211374993673</v>
      </c>
      <c r="G49" s="37">
        <f t="shared" si="11"/>
        <v>271.96002962870529</v>
      </c>
      <c r="H49" s="37">
        <f t="shared" si="11"/>
        <v>269.58411079396808</v>
      </c>
      <c r="I49" s="37">
        <f t="shared" si="11"/>
        <v>265.68117507501546</v>
      </c>
      <c r="J49" s="37">
        <f t="shared" si="11"/>
        <v>261.97641921081419</v>
      </c>
      <c r="K49" s="37">
        <f t="shared" si="11"/>
        <v>258.12924793934741</v>
      </c>
      <c r="L49" s="37">
        <f t="shared" si="11"/>
        <v>254.43224879215029</v>
      </c>
      <c r="M49" s="37">
        <f t="shared" si="11"/>
        <v>250.59575770867644</v>
      </c>
      <c r="N49" s="37">
        <f t="shared" si="11"/>
        <v>246.65836896755238</v>
      </c>
      <c r="O49" s="37">
        <f t="shared" si="11"/>
        <v>242.97581277050946</v>
      </c>
      <c r="P49" s="37">
        <f t="shared" si="11"/>
        <v>239.01564243837817</v>
      </c>
      <c r="Q49" s="37">
        <f t="shared" si="11"/>
        <v>235.20128557368471</v>
      </c>
      <c r="R49" s="37">
        <f t="shared" si="11"/>
        <v>231.28595114294725</v>
      </c>
      <c r="S49" s="37">
        <f t="shared" si="11"/>
        <v>227.22379260639394</v>
      </c>
      <c r="T49" s="37">
        <f t="shared" si="11"/>
        <v>223.1673882241906</v>
      </c>
      <c r="U49" s="37">
        <f t="shared" si="11"/>
        <v>219.1822567389658</v>
      </c>
      <c r="V49" s="37">
        <f t="shared" si="11"/>
        <v>215.33145566244031</v>
      </c>
      <c r="W49" s="37">
        <f t="shared" si="11"/>
        <v>211.57559040603647</v>
      </c>
      <c r="X49" s="37">
        <f t="shared" si="11"/>
        <v>207.84307120061425</v>
      </c>
      <c r="Y49" s="37">
        <f t="shared" si="11"/>
        <v>204.29677755059348</v>
      </c>
      <c r="Z49" s="37">
        <f t="shared" si="11"/>
        <v>200.76606890433044</v>
      </c>
      <c r="AA49" s="37">
        <f t="shared" si="11"/>
        <v>197.37850533461281</v>
      </c>
      <c r="AB49" s="37">
        <f t="shared" si="11"/>
        <v>194.2260846334994</v>
      </c>
    </row>
    <row r="50" spans="1:28" x14ac:dyDescent="0.25">
      <c r="A50" s="4" t="s">
        <v>217</v>
      </c>
      <c r="B50" s="37">
        <f t="shared" ref="B50:AB50" si="12">B30*B15*$F$6</f>
        <v>374.02308686920304</v>
      </c>
      <c r="C50" s="37">
        <f t="shared" si="12"/>
        <v>370.33961355826489</v>
      </c>
      <c r="D50" s="37">
        <f t="shared" si="12"/>
        <v>366.75687613084239</v>
      </c>
      <c r="E50" s="37">
        <f t="shared" si="12"/>
        <v>363.16630335555334</v>
      </c>
      <c r="F50" s="37">
        <f t="shared" si="12"/>
        <v>359.60797898767157</v>
      </c>
      <c r="G50" s="37">
        <f t="shared" si="12"/>
        <v>356.11956882246562</v>
      </c>
      <c r="H50" s="37">
        <f t="shared" si="12"/>
        <v>352.55382582063419</v>
      </c>
      <c r="I50" s="37">
        <f t="shared" si="12"/>
        <v>347.27414741363589</v>
      </c>
      <c r="J50" s="37">
        <f t="shared" si="12"/>
        <v>341.9289361098854</v>
      </c>
      <c r="K50" s="37">
        <f t="shared" si="12"/>
        <v>336.54440367774953</v>
      </c>
      <c r="L50" s="37">
        <f t="shared" si="12"/>
        <v>331.08591370126857</v>
      </c>
      <c r="M50" s="37">
        <f t="shared" si="12"/>
        <v>325.55539493916427</v>
      </c>
      <c r="N50" s="37">
        <f t="shared" si="12"/>
        <v>319.95428408705487</v>
      </c>
      <c r="O50" s="37">
        <f t="shared" si="12"/>
        <v>314.17754264126717</v>
      </c>
      <c r="P50" s="37">
        <f t="shared" si="12"/>
        <v>308.3688291937604</v>
      </c>
      <c r="Q50" s="37">
        <f t="shared" si="12"/>
        <v>302.49239299285034</v>
      </c>
      <c r="R50" s="37">
        <f t="shared" si="12"/>
        <v>296.54772811957741</v>
      </c>
      <c r="S50" s="37">
        <f t="shared" si="12"/>
        <v>290.32368940637184</v>
      </c>
      <c r="T50" s="37">
        <f t="shared" si="12"/>
        <v>284.20897247843129</v>
      </c>
      <c r="U50" s="37">
        <f t="shared" si="12"/>
        <v>278.19818133323582</v>
      </c>
      <c r="V50" s="37">
        <f t="shared" si="12"/>
        <v>272.31906901907951</v>
      </c>
      <c r="W50" s="37">
        <f t="shared" si="12"/>
        <v>266.63194540048812</v>
      </c>
      <c r="X50" s="37">
        <f t="shared" si="12"/>
        <v>261.16226380404862</v>
      </c>
      <c r="Y50" s="37">
        <f t="shared" si="12"/>
        <v>255.83691562151188</v>
      </c>
      <c r="Z50" s="37">
        <f t="shared" si="12"/>
        <v>250.68248852129034</v>
      </c>
      <c r="AA50" s="37">
        <f t="shared" si="12"/>
        <v>245.75770936615496</v>
      </c>
      <c r="AB50" s="37">
        <f t="shared" si="12"/>
        <v>240.99004573959701</v>
      </c>
    </row>
    <row r="51" spans="1:28" x14ac:dyDescent="0.25">
      <c r="A51" s="4" t="s">
        <v>218</v>
      </c>
      <c r="B51" s="37">
        <f t="shared" ref="B51:AB51" si="13">B31*B15*$F$7</f>
        <v>187.98187536666879</v>
      </c>
      <c r="C51" s="37">
        <f t="shared" si="13"/>
        <v>184.84269164458763</v>
      </c>
      <c r="D51" s="37">
        <f t="shared" si="13"/>
        <v>181.78325514769486</v>
      </c>
      <c r="E51" s="37">
        <f t="shared" si="13"/>
        <v>178.6855097167707</v>
      </c>
      <c r="F51" s="37">
        <f t="shared" si="13"/>
        <v>175.55054556241728</v>
      </c>
      <c r="G51" s="37">
        <f t="shared" si="13"/>
        <v>172.45755949415562</v>
      </c>
      <c r="H51" s="37">
        <f t="shared" si="13"/>
        <v>169.28834645611997</v>
      </c>
      <c r="I51" s="37">
        <f t="shared" si="13"/>
        <v>165.33240677165571</v>
      </c>
      <c r="J51" s="37">
        <f t="shared" si="13"/>
        <v>161.4543538828319</v>
      </c>
      <c r="K51" s="37">
        <f t="shared" si="13"/>
        <v>157.64652442598529</v>
      </c>
      <c r="L51" s="37">
        <f t="shared" si="13"/>
        <v>153.9840387229977</v>
      </c>
      <c r="M51" s="37">
        <f t="shared" si="13"/>
        <v>150.50170437368971</v>
      </c>
      <c r="N51" s="37">
        <f t="shared" si="13"/>
        <v>147.08207749822924</v>
      </c>
      <c r="O51" s="37">
        <f t="shared" si="13"/>
        <v>143.83615434145347</v>
      </c>
      <c r="P51" s="37">
        <f t="shared" si="13"/>
        <v>140.64807538045329</v>
      </c>
      <c r="Q51" s="37">
        <f t="shared" si="13"/>
        <v>137.5899903344272</v>
      </c>
      <c r="R51" s="37">
        <f t="shared" si="13"/>
        <v>134.62164059266354</v>
      </c>
      <c r="S51" s="37">
        <f t="shared" si="13"/>
        <v>131.57708181180939</v>
      </c>
      <c r="T51" s="37">
        <f t="shared" si="13"/>
        <v>128.62151797586714</v>
      </c>
      <c r="U51" s="37">
        <f t="shared" si="13"/>
        <v>125.71559800531197</v>
      </c>
      <c r="V51" s="37">
        <f t="shared" si="13"/>
        <v>122.92809315555411</v>
      </c>
      <c r="W51" s="37">
        <f t="shared" si="13"/>
        <v>120.14803005937164</v>
      </c>
      <c r="X51" s="37">
        <f t="shared" si="13"/>
        <v>117.47937016681092</v>
      </c>
      <c r="Y51" s="37">
        <f t="shared" si="13"/>
        <v>114.95383659356077</v>
      </c>
      <c r="Z51" s="37">
        <f t="shared" si="13"/>
        <v>112.46246259889301</v>
      </c>
      <c r="AA51" s="37">
        <f t="shared" si="13"/>
        <v>110.07234591945455</v>
      </c>
      <c r="AB51" s="37">
        <f t="shared" si="13"/>
        <v>107.7113146797591</v>
      </c>
    </row>
    <row r="52" spans="1:28" x14ac:dyDescent="0.25">
      <c r="A52" s="4" t="s">
        <v>219</v>
      </c>
      <c r="B52" s="37">
        <f t="shared" ref="B52:AB52" si="14">B32*B15*$F$8</f>
        <v>34.268340063023956</v>
      </c>
      <c r="C52" s="37">
        <f t="shared" si="14"/>
        <v>34.275080004176147</v>
      </c>
      <c r="D52" s="37">
        <f t="shared" si="14"/>
        <v>34.28542041056955</v>
      </c>
      <c r="E52" s="37">
        <f t="shared" si="14"/>
        <v>34.339347687617206</v>
      </c>
      <c r="F52" s="37">
        <f t="shared" si="14"/>
        <v>34.397545451308652</v>
      </c>
      <c r="G52" s="37">
        <f t="shared" si="14"/>
        <v>34.460193134826476</v>
      </c>
      <c r="H52" s="37">
        <f t="shared" si="14"/>
        <v>34.52765995954686</v>
      </c>
      <c r="I52" s="37">
        <f t="shared" si="14"/>
        <v>34.419401378631818</v>
      </c>
      <c r="J52" s="37">
        <f t="shared" si="14"/>
        <v>34.316601872695706</v>
      </c>
      <c r="K52" s="37">
        <f t="shared" si="14"/>
        <v>34.294562442263363</v>
      </c>
      <c r="L52" s="37">
        <f t="shared" si="14"/>
        <v>34.199890915644822</v>
      </c>
      <c r="M52" s="37">
        <f t="shared" si="14"/>
        <v>34.109681611147685</v>
      </c>
      <c r="N52" s="37">
        <f t="shared" si="14"/>
        <v>34.023968155259773</v>
      </c>
      <c r="O52" s="37">
        <f t="shared" si="14"/>
        <v>33.942786800133511</v>
      </c>
      <c r="P52" s="37">
        <f t="shared" si="14"/>
        <v>33.82920091311609</v>
      </c>
      <c r="Q52" s="37">
        <f t="shared" si="14"/>
        <v>33.75723943735148</v>
      </c>
      <c r="R52" s="37">
        <f t="shared" si="14"/>
        <v>33.616693589191911</v>
      </c>
      <c r="S52" s="37">
        <f t="shared" si="14"/>
        <v>33.485257129221459</v>
      </c>
      <c r="T52" s="37">
        <f t="shared" si="14"/>
        <v>33.394103403421973</v>
      </c>
      <c r="U52" s="37">
        <f t="shared" si="14"/>
        <v>33.235064530415535</v>
      </c>
      <c r="V52" s="37">
        <f t="shared" si="14"/>
        <v>33.115543441742588</v>
      </c>
      <c r="W52" s="37">
        <f t="shared" si="14"/>
        <v>32.99910869098359</v>
      </c>
      <c r="X52" s="37">
        <f t="shared" si="14"/>
        <v>32.850282822914984</v>
      </c>
      <c r="Y52" s="37">
        <f t="shared" si="14"/>
        <v>32.773696390474029</v>
      </c>
      <c r="Z52" s="37">
        <f t="shared" si="14"/>
        <v>32.629407712927794</v>
      </c>
      <c r="AA52" s="37">
        <f t="shared" si="14"/>
        <v>32.486914442467487</v>
      </c>
      <c r="AB52" s="37">
        <f t="shared" si="14"/>
        <v>32.345759839747515</v>
      </c>
    </row>
    <row r="53" spans="1:28" x14ac:dyDescent="0.25">
      <c r="A53" s="4" t="s">
        <v>220</v>
      </c>
      <c r="B53" s="37">
        <f t="shared" ref="B53:AB53" si="15">B33*B15*$F$9</f>
        <v>37.872650864506468</v>
      </c>
      <c r="C53" s="37">
        <f t="shared" si="15"/>
        <v>38.071846569357326</v>
      </c>
      <c r="D53" s="37">
        <f t="shared" si="15"/>
        <v>38.199443549724251</v>
      </c>
      <c r="E53" s="37">
        <f t="shared" si="15"/>
        <v>38.380387740452527</v>
      </c>
      <c r="F53" s="37">
        <f t="shared" si="15"/>
        <v>38.540750294370618</v>
      </c>
      <c r="G53" s="37">
        <f t="shared" si="15"/>
        <v>38.656414629108156</v>
      </c>
      <c r="H53" s="37">
        <f t="shared" si="15"/>
        <v>38.87528997672689</v>
      </c>
      <c r="I53" s="37">
        <f t="shared" si="15"/>
        <v>38.797558491912277</v>
      </c>
      <c r="J53" s="37">
        <f t="shared" si="15"/>
        <v>38.749457360130577</v>
      </c>
      <c r="K53" s="37">
        <f t="shared" si="15"/>
        <v>38.633306246316991</v>
      </c>
      <c r="L53" s="37">
        <f t="shared" si="15"/>
        <v>38.545968358289031</v>
      </c>
      <c r="M53" s="37">
        <f t="shared" si="15"/>
        <v>38.392506625323485</v>
      </c>
      <c r="N53" s="37">
        <f t="shared" si="15"/>
        <v>38.29175315441141</v>
      </c>
      <c r="O53" s="37">
        <f t="shared" si="15"/>
        <v>38.149549542881516</v>
      </c>
      <c r="P53" s="37">
        <f t="shared" si="15"/>
        <v>37.966811833564392</v>
      </c>
      <c r="Q53" s="37">
        <f t="shared" si="15"/>
        <v>37.744327689531303</v>
      </c>
      <c r="R53" s="37">
        <f t="shared" si="15"/>
        <v>37.52850322923365</v>
      </c>
      <c r="S53" s="37">
        <f t="shared" si="15"/>
        <v>37.260533973557841</v>
      </c>
      <c r="T53" s="37">
        <f t="shared" si="15"/>
        <v>36.908975225072872</v>
      </c>
      <c r="U53" s="37">
        <f t="shared" si="15"/>
        <v>36.609530633506338</v>
      </c>
      <c r="V53" s="37">
        <f t="shared" si="15"/>
        <v>36.271806068248779</v>
      </c>
      <c r="W53" s="37">
        <f t="shared" si="15"/>
        <v>35.940245184249356</v>
      </c>
      <c r="X53" s="37">
        <f t="shared" si="15"/>
        <v>35.65809010860017</v>
      </c>
      <c r="Y53" s="37">
        <f t="shared" si="15"/>
        <v>35.315126353956188</v>
      </c>
      <c r="Z53" s="37">
        <f t="shared" si="15"/>
        <v>35.041948497495675</v>
      </c>
      <c r="AA53" s="37">
        <f t="shared" si="15"/>
        <v>34.707715768491425</v>
      </c>
      <c r="AB53" s="37">
        <f t="shared" si="15"/>
        <v>34.441352593959067</v>
      </c>
    </row>
    <row r="54" spans="1:28" x14ac:dyDescent="0.25">
      <c r="A54" s="4" t="s">
        <v>221</v>
      </c>
      <c r="B54" s="37">
        <f t="shared" ref="B54:AB54" si="16">B34*B15*$F$10</f>
        <v>144.06208819619957</v>
      </c>
      <c r="C54" s="37">
        <f t="shared" si="16"/>
        <v>144.18824490000631</v>
      </c>
      <c r="D54" s="37">
        <f t="shared" si="16"/>
        <v>144.40345040931399</v>
      </c>
      <c r="E54" s="37">
        <f t="shared" si="16"/>
        <v>144.67227641509871</v>
      </c>
      <c r="F54" s="37">
        <f t="shared" si="16"/>
        <v>145.06998469396541</v>
      </c>
      <c r="G54" s="37">
        <f t="shared" si="16"/>
        <v>145.33782934071752</v>
      </c>
      <c r="H54" s="37">
        <f t="shared" si="16"/>
        <v>145.58913105935326</v>
      </c>
      <c r="I54" s="37">
        <f t="shared" si="16"/>
        <v>145.06324072087898</v>
      </c>
      <c r="J54" s="37">
        <f t="shared" si="16"/>
        <v>144.4888158059093</v>
      </c>
      <c r="K54" s="37">
        <f t="shared" si="16"/>
        <v>143.86250402968284</v>
      </c>
      <c r="L54" s="37">
        <f t="shared" si="16"/>
        <v>143.15037699028622</v>
      </c>
      <c r="M54" s="37">
        <f t="shared" si="16"/>
        <v>142.3548543066868</v>
      </c>
      <c r="N54" s="37">
        <f t="shared" si="16"/>
        <v>141.47810168120606</v>
      </c>
      <c r="O54" s="37">
        <f t="shared" si="16"/>
        <v>140.52217483053394</v>
      </c>
      <c r="P54" s="37">
        <f t="shared" si="16"/>
        <v>139.38443148318626</v>
      </c>
      <c r="Q54" s="37">
        <f t="shared" si="16"/>
        <v>138.17200457062393</v>
      </c>
      <c r="R54" s="37">
        <f t="shared" si="16"/>
        <v>136.78287698555721</v>
      </c>
      <c r="S54" s="37">
        <f t="shared" si="16"/>
        <v>135.29448606053649</v>
      </c>
      <c r="T54" s="37">
        <f t="shared" si="16"/>
        <v>133.70162385068392</v>
      </c>
      <c r="U54" s="37">
        <f t="shared" si="16"/>
        <v>132.00528710583009</v>
      </c>
      <c r="V54" s="37">
        <f t="shared" si="16"/>
        <v>130.33961758230257</v>
      </c>
      <c r="W54" s="37">
        <f t="shared" si="16"/>
        <v>128.53624182130449</v>
      </c>
      <c r="X54" s="37">
        <f t="shared" si="16"/>
        <v>126.92574819149189</v>
      </c>
      <c r="Y54" s="37">
        <f t="shared" si="16"/>
        <v>125.30666775261902</v>
      </c>
      <c r="Z54" s="37">
        <f t="shared" si="16"/>
        <v>123.71004831932291</v>
      </c>
      <c r="AA54" s="37">
        <f t="shared" si="16"/>
        <v>122.16614212064555</v>
      </c>
      <c r="AB54" s="37">
        <f t="shared" si="16"/>
        <v>120.70448375974995</v>
      </c>
    </row>
    <row r="55" spans="1:28" x14ac:dyDescent="0.25">
      <c r="A55" s="4" t="s">
        <v>222</v>
      </c>
      <c r="B55" s="37">
        <f t="shared" ref="B55:AB55" si="17">B35*B15*$F$11</f>
        <v>494.35578599694395</v>
      </c>
      <c r="C55" s="37">
        <f t="shared" si="17"/>
        <v>487.91206992040929</v>
      </c>
      <c r="D55" s="37">
        <f t="shared" si="17"/>
        <v>481.44891978142607</v>
      </c>
      <c r="E55" s="37">
        <f t="shared" si="17"/>
        <v>475.01011668501735</v>
      </c>
      <c r="F55" s="37">
        <f t="shared" si="17"/>
        <v>468.41136201952958</v>
      </c>
      <c r="G55" s="37">
        <f t="shared" si="17"/>
        <v>461.98919036296536</v>
      </c>
      <c r="H55" s="37">
        <f t="shared" si="17"/>
        <v>455.59590155321399</v>
      </c>
      <c r="I55" s="37">
        <f t="shared" si="17"/>
        <v>446.9212682778587</v>
      </c>
      <c r="J55" s="37">
        <f t="shared" si="17"/>
        <v>438.35363741943416</v>
      </c>
      <c r="K55" s="37">
        <f t="shared" si="17"/>
        <v>429.83879734331492</v>
      </c>
      <c r="L55" s="37">
        <f t="shared" si="17"/>
        <v>421.44819511927989</v>
      </c>
      <c r="M55" s="37">
        <f t="shared" si="17"/>
        <v>413.14342488348706</v>
      </c>
      <c r="N55" s="37">
        <f t="shared" si="17"/>
        <v>404.99335485051921</v>
      </c>
      <c r="O55" s="37">
        <f t="shared" si="17"/>
        <v>396.85300544916475</v>
      </c>
      <c r="P55" s="37">
        <f t="shared" si="17"/>
        <v>388.82630286707297</v>
      </c>
      <c r="Q55" s="37">
        <f t="shared" si="17"/>
        <v>380.90902640999201</v>
      </c>
      <c r="R55" s="37">
        <f t="shared" si="17"/>
        <v>373.13126777848299</v>
      </c>
      <c r="S55" s="37">
        <f t="shared" si="17"/>
        <v>365.03307183406895</v>
      </c>
      <c r="T55" s="37">
        <f t="shared" si="17"/>
        <v>357.14447458199237</v>
      </c>
      <c r="U55" s="37">
        <f t="shared" si="17"/>
        <v>349.52497062808163</v>
      </c>
      <c r="V55" s="37">
        <f t="shared" si="17"/>
        <v>342.09673304752755</v>
      </c>
      <c r="W55" s="37">
        <f t="shared" si="17"/>
        <v>335.01793654059463</v>
      </c>
      <c r="X55" s="37">
        <f t="shared" si="17"/>
        <v>328.11032103538184</v>
      </c>
      <c r="Y55" s="37">
        <f t="shared" si="17"/>
        <v>321.46635286454188</v>
      </c>
      <c r="Z55" s="37">
        <f t="shared" si="17"/>
        <v>315.04366988544859</v>
      </c>
      <c r="AA55" s="37">
        <f t="shared" si="17"/>
        <v>308.80116400184346</v>
      </c>
      <c r="AB55" s="37">
        <f t="shared" si="17"/>
        <v>302.76382305665908</v>
      </c>
    </row>
    <row r="57" spans="1:28" x14ac:dyDescent="0.25">
      <c r="A57" s="4" t="s">
        <v>327</v>
      </c>
    </row>
    <row r="58" spans="1:28" x14ac:dyDescent="0.25">
      <c r="A58" s="4" t="s">
        <v>215</v>
      </c>
      <c r="B58" s="37">
        <f t="shared" ref="B58:AB58" si="18">B38*B15*$F$4</f>
        <v>56171.081849345814</v>
      </c>
      <c r="C58" s="37">
        <f t="shared" si="18"/>
        <v>57006.85935369027</v>
      </c>
      <c r="D58" s="37">
        <f t="shared" si="18"/>
        <v>57834.912498991114</v>
      </c>
      <c r="E58" s="37">
        <f t="shared" si="18"/>
        <v>58660.877582165391</v>
      </c>
      <c r="F58" s="37">
        <f t="shared" si="18"/>
        <v>59489.843541770555</v>
      </c>
      <c r="G58" s="37">
        <f t="shared" si="18"/>
        <v>60323.603107328847</v>
      </c>
      <c r="H58" s="37">
        <f t="shared" si="18"/>
        <v>61158.069756886529</v>
      </c>
      <c r="I58" s="37">
        <f t="shared" si="18"/>
        <v>61665.513759790018</v>
      </c>
      <c r="J58" s="37">
        <f t="shared" si="18"/>
        <v>62153.943398403208</v>
      </c>
      <c r="K58" s="37">
        <f t="shared" si="18"/>
        <v>62622.603500333804</v>
      </c>
      <c r="L58" s="37">
        <f t="shared" si="18"/>
        <v>63066.566288091359</v>
      </c>
      <c r="M58" s="37">
        <f t="shared" si="18"/>
        <v>63485.212341062797</v>
      </c>
      <c r="N58" s="37">
        <f t="shared" si="18"/>
        <v>63872.533917189008</v>
      </c>
      <c r="O58" s="37">
        <f t="shared" si="18"/>
        <v>64226.691447755613</v>
      </c>
      <c r="P58" s="37">
        <f t="shared" si="18"/>
        <v>64540.074919904364</v>
      </c>
      <c r="Q58" s="37">
        <f t="shared" si="18"/>
        <v>64812.097069604722</v>
      </c>
      <c r="R58" s="37">
        <f t="shared" si="18"/>
        <v>65033.702053557208</v>
      </c>
      <c r="S58" s="37">
        <f t="shared" si="18"/>
        <v>65143.656860135809</v>
      </c>
      <c r="T58" s="37">
        <f t="shared" si="18"/>
        <v>65201.308681237548</v>
      </c>
      <c r="U58" s="37">
        <f t="shared" si="18"/>
        <v>65210.997047855293</v>
      </c>
      <c r="V58" s="37">
        <f t="shared" si="18"/>
        <v>65157.907053406045</v>
      </c>
      <c r="W58" s="37">
        <f t="shared" si="18"/>
        <v>65046.857178040009</v>
      </c>
      <c r="X58" s="37">
        <f t="shared" si="18"/>
        <v>64875.192786564861</v>
      </c>
      <c r="Y58" s="37">
        <f t="shared" si="18"/>
        <v>64670.467543495281</v>
      </c>
      <c r="Z58" s="37">
        <f t="shared" si="18"/>
        <v>64409.651419675494</v>
      </c>
      <c r="AA58" s="37">
        <f t="shared" si="18"/>
        <v>64097.53298756868</v>
      </c>
      <c r="AB58" s="37">
        <f t="shared" si="18"/>
        <v>63740.652268294645</v>
      </c>
    </row>
    <row r="59" spans="1:28" x14ac:dyDescent="0.25">
      <c r="A59" s="4" t="s">
        <v>216</v>
      </c>
      <c r="B59" s="37">
        <f t="shared" ref="B59:AB59" si="19">B39*B15*$F$5</f>
        <v>53096.514498242337</v>
      </c>
      <c r="C59" s="37">
        <f t="shared" si="19"/>
        <v>53746.974354071732</v>
      </c>
      <c r="D59" s="37">
        <f t="shared" si="19"/>
        <v>54394.90557411097</v>
      </c>
      <c r="E59" s="37">
        <f t="shared" si="19"/>
        <v>55069.542630681695</v>
      </c>
      <c r="F59" s="37">
        <f t="shared" si="19"/>
        <v>55786.301057748518</v>
      </c>
      <c r="G59" s="37">
        <f t="shared" si="19"/>
        <v>56547.919457380784</v>
      </c>
      <c r="H59" s="37">
        <f t="shared" si="19"/>
        <v>57359.404185745043</v>
      </c>
      <c r="I59" s="37">
        <f t="shared" si="19"/>
        <v>57910.670070880835</v>
      </c>
      <c r="J59" s="37">
        <f t="shared" si="19"/>
        <v>58494.82768256322</v>
      </c>
      <c r="K59" s="37">
        <f t="shared" si="19"/>
        <v>59096.321705948445</v>
      </c>
      <c r="L59" s="37">
        <f t="shared" si="19"/>
        <v>59713.544391554155</v>
      </c>
      <c r="M59" s="37">
        <f t="shared" si="19"/>
        <v>60342.519035895602</v>
      </c>
      <c r="N59" s="37">
        <f t="shared" si="19"/>
        <v>60970.160090653037</v>
      </c>
      <c r="O59" s="37">
        <f t="shared" si="19"/>
        <v>61584.324122356637</v>
      </c>
      <c r="P59" s="37">
        <f t="shared" si="19"/>
        <v>62182.53860952882</v>
      </c>
      <c r="Q59" s="37">
        <f t="shared" si="19"/>
        <v>62748.023825802404</v>
      </c>
      <c r="R59" s="37">
        <f t="shared" si="19"/>
        <v>63276.582690086318</v>
      </c>
      <c r="S59" s="37">
        <f t="shared" si="19"/>
        <v>63696.118787872969</v>
      </c>
      <c r="T59" s="37">
        <f t="shared" si="19"/>
        <v>64062.855870058076</v>
      </c>
      <c r="U59" s="37">
        <f t="shared" si="19"/>
        <v>64371.797955310649</v>
      </c>
      <c r="V59" s="37">
        <f t="shared" si="19"/>
        <v>64609.420738656292</v>
      </c>
      <c r="W59" s="37">
        <f t="shared" si="19"/>
        <v>64763.975048244749</v>
      </c>
      <c r="X59" s="37">
        <f t="shared" si="19"/>
        <v>64840.248785204145</v>
      </c>
      <c r="Y59" s="37">
        <f t="shared" si="19"/>
        <v>64869.533496815275</v>
      </c>
      <c r="Z59" s="37">
        <f t="shared" si="19"/>
        <v>64824.775238503185</v>
      </c>
      <c r="AA59" s="37">
        <f t="shared" si="19"/>
        <v>64697.201649055198</v>
      </c>
      <c r="AB59" s="37">
        <f t="shared" si="19"/>
        <v>64489.220858936227</v>
      </c>
    </row>
    <row r="60" spans="1:28" x14ac:dyDescent="0.25">
      <c r="A60" s="4" t="s">
        <v>217</v>
      </c>
      <c r="B60" s="37">
        <f t="shared" ref="B60:AB60" si="20">B40*B15*$F$6</f>
        <v>88941.688413198106</v>
      </c>
      <c r="C60" s="37">
        <f t="shared" si="20"/>
        <v>90133.582641025379</v>
      </c>
      <c r="D60" s="37">
        <f t="shared" si="20"/>
        <v>91309.833566436486</v>
      </c>
      <c r="E60" s="37">
        <f t="shared" si="20"/>
        <v>92497.551709934094</v>
      </c>
      <c r="F60" s="37">
        <f t="shared" si="20"/>
        <v>93715.690578268273</v>
      </c>
      <c r="G60" s="37">
        <f t="shared" si="20"/>
        <v>94964.595482876102</v>
      </c>
      <c r="H60" s="37">
        <f t="shared" si="20"/>
        <v>96247.716309210911</v>
      </c>
      <c r="I60" s="37">
        <f t="shared" si="20"/>
        <v>97045.479361003818</v>
      </c>
      <c r="J60" s="37">
        <f t="shared" si="20"/>
        <v>97847.776598722819</v>
      </c>
      <c r="K60" s="37">
        <f t="shared" si="20"/>
        <v>98637.286840045941</v>
      </c>
      <c r="L60" s="37">
        <f t="shared" si="20"/>
        <v>99409.034076219556</v>
      </c>
      <c r="M60" s="37">
        <f t="shared" si="20"/>
        <v>100159.50116214482</v>
      </c>
      <c r="N60" s="37">
        <f t="shared" si="20"/>
        <v>100871.02053750643</v>
      </c>
      <c r="O60" s="37">
        <f t="shared" si="20"/>
        <v>101534.34949322847</v>
      </c>
      <c r="P60" s="37">
        <f t="shared" si="20"/>
        <v>102137.36101463479</v>
      </c>
      <c r="Q60" s="37">
        <f t="shared" si="20"/>
        <v>102667.48520989623</v>
      </c>
      <c r="R60" s="37">
        <f t="shared" si="20"/>
        <v>103112.96784762811</v>
      </c>
      <c r="S60" s="37">
        <f t="shared" si="20"/>
        <v>103367.00097628369</v>
      </c>
      <c r="T60" s="37">
        <f t="shared" si="20"/>
        <v>103523.37522638914</v>
      </c>
      <c r="U60" s="37">
        <f t="shared" si="20"/>
        <v>103583.51112419058</v>
      </c>
      <c r="V60" s="37">
        <f t="shared" si="20"/>
        <v>103521.50091400729</v>
      </c>
      <c r="W60" s="37">
        <f t="shared" si="20"/>
        <v>103331.56203546167</v>
      </c>
      <c r="X60" s="37">
        <f t="shared" si="20"/>
        <v>103017.9245100079</v>
      </c>
      <c r="Y60" s="37">
        <f t="shared" si="20"/>
        <v>102634.83293402096</v>
      </c>
      <c r="Z60" s="37">
        <f t="shared" si="20"/>
        <v>102137.61099310681</v>
      </c>
      <c r="AA60" s="37">
        <f t="shared" si="20"/>
        <v>101521.77393763357</v>
      </c>
      <c r="AB60" s="37">
        <f t="shared" si="20"/>
        <v>100797.81503934317</v>
      </c>
    </row>
    <row r="61" spans="1:28" x14ac:dyDescent="0.25">
      <c r="A61" s="4" t="s">
        <v>218</v>
      </c>
      <c r="B61" s="37">
        <f t="shared" ref="B61:AB61" si="21">B41*B15*$F$7</f>
        <v>14533.193025355045</v>
      </c>
      <c r="C61" s="37">
        <f t="shared" si="21"/>
        <v>14704.105949417339</v>
      </c>
      <c r="D61" s="37">
        <f t="shared" si="21"/>
        <v>14875.004759684996</v>
      </c>
      <c r="E61" s="37">
        <f t="shared" si="21"/>
        <v>15047.278333629496</v>
      </c>
      <c r="F61" s="37">
        <f t="shared" si="21"/>
        <v>15225.864365017469</v>
      </c>
      <c r="G61" s="37">
        <f t="shared" si="21"/>
        <v>15411.182751115215</v>
      </c>
      <c r="H61" s="37">
        <f t="shared" si="21"/>
        <v>15602.874196900417</v>
      </c>
      <c r="I61" s="37">
        <f t="shared" si="21"/>
        <v>15718.998162962891</v>
      </c>
      <c r="J61" s="37">
        <f t="shared" si="21"/>
        <v>15839.364285342013</v>
      </c>
      <c r="K61" s="37">
        <f t="shared" si="21"/>
        <v>15962.907229437867</v>
      </c>
      <c r="L61" s="37">
        <f t="shared" si="21"/>
        <v>16089.607486637247</v>
      </c>
      <c r="M61" s="37">
        <f t="shared" si="21"/>
        <v>16218.604023410473</v>
      </c>
      <c r="N61" s="37">
        <f t="shared" si="21"/>
        <v>16350.63687884413</v>
      </c>
      <c r="O61" s="37">
        <f t="shared" si="21"/>
        <v>16481.551326225857</v>
      </c>
      <c r="P61" s="37">
        <f t="shared" si="21"/>
        <v>16613.177650399968</v>
      </c>
      <c r="Q61" s="37">
        <f t="shared" si="21"/>
        <v>16742.153037664521</v>
      </c>
      <c r="R61" s="37">
        <f t="shared" si="21"/>
        <v>16868.12469709928</v>
      </c>
      <c r="S61" s="37">
        <f t="shared" si="21"/>
        <v>16974.868972109703</v>
      </c>
      <c r="T61" s="37">
        <f t="shared" si="21"/>
        <v>17075.123488103807</v>
      </c>
      <c r="U61" s="37">
        <f t="shared" si="21"/>
        <v>17169.2257490265</v>
      </c>
      <c r="V61" s="37">
        <f t="shared" si="21"/>
        <v>17255.252484391123</v>
      </c>
      <c r="W61" s="37">
        <f t="shared" si="21"/>
        <v>17330.117720780378</v>
      </c>
      <c r="X61" s="37">
        <f t="shared" si="21"/>
        <v>17392.810156740841</v>
      </c>
      <c r="Y61" s="37">
        <f t="shared" si="21"/>
        <v>17447.858941524966</v>
      </c>
      <c r="Z61" s="37">
        <f t="shared" si="21"/>
        <v>17490.562390779294</v>
      </c>
      <c r="AA61" s="37">
        <f t="shared" si="21"/>
        <v>17520.933645013542</v>
      </c>
      <c r="AB61" s="37">
        <f t="shared" si="21"/>
        <v>17537.329133258412</v>
      </c>
    </row>
    <row r="62" spans="1:28" x14ac:dyDescent="0.25">
      <c r="A62" s="4" t="s">
        <v>219</v>
      </c>
      <c r="B62" s="37">
        <f t="shared" ref="B62:AB62" si="22">B42*B15*$F$8</f>
        <v>4849.8258324037843</v>
      </c>
      <c r="C62" s="37">
        <f t="shared" si="22"/>
        <v>4947.7506114361777</v>
      </c>
      <c r="D62" s="37">
        <f t="shared" si="22"/>
        <v>5049.0125803698947</v>
      </c>
      <c r="E62" s="37">
        <f t="shared" si="22"/>
        <v>5157.6438620456611</v>
      </c>
      <c r="F62" s="37">
        <f t="shared" si="22"/>
        <v>5275.1289474516634</v>
      </c>
      <c r="G62" s="37">
        <f t="shared" si="22"/>
        <v>5401.3510458974433</v>
      </c>
      <c r="H62" s="37">
        <f t="shared" si="22"/>
        <v>5536.664730070348</v>
      </c>
      <c r="I62" s="37">
        <f t="shared" si="22"/>
        <v>5651.417358943133</v>
      </c>
      <c r="J62" s="37">
        <f t="shared" si="22"/>
        <v>5770.8892909059859</v>
      </c>
      <c r="K62" s="37">
        <f t="shared" si="22"/>
        <v>5893.8474436727256</v>
      </c>
      <c r="L62" s="37">
        <f t="shared" si="22"/>
        <v>6021.7239672926089</v>
      </c>
      <c r="M62" s="37">
        <f t="shared" si="22"/>
        <v>6153.2734918832693</v>
      </c>
      <c r="N62" s="37">
        <f t="shared" si="22"/>
        <v>6287.6592591783901</v>
      </c>
      <c r="O62" s="37">
        <f t="shared" si="22"/>
        <v>6423.7374620314004</v>
      </c>
      <c r="P62" s="37">
        <f t="shared" si="22"/>
        <v>6560.9076107161427</v>
      </c>
      <c r="Q62" s="37">
        <f t="shared" si="22"/>
        <v>6697.9133088408444</v>
      </c>
      <c r="R62" s="37">
        <f t="shared" si="22"/>
        <v>6834.1425484431047</v>
      </c>
      <c r="S62" s="37">
        <f t="shared" si="22"/>
        <v>6961.7478584160399</v>
      </c>
      <c r="T62" s="37">
        <f t="shared" si="22"/>
        <v>7087.242427583943</v>
      </c>
      <c r="U62" s="37">
        <f t="shared" si="22"/>
        <v>7209.1174453912954</v>
      </c>
      <c r="V62" s="37">
        <f t="shared" si="22"/>
        <v>7327.6471934136862</v>
      </c>
      <c r="W62" s="37">
        <f t="shared" si="22"/>
        <v>7442.3731536962823</v>
      </c>
      <c r="X62" s="37">
        <f t="shared" si="22"/>
        <v>7553.9557702397169</v>
      </c>
      <c r="Y62" s="37">
        <f t="shared" si="22"/>
        <v>7661.920238764299</v>
      </c>
      <c r="Z62" s="37">
        <f t="shared" si="22"/>
        <v>7766.5241336259915</v>
      </c>
      <c r="AA62" s="37">
        <f t="shared" si="22"/>
        <v>7867.6994644220749</v>
      </c>
      <c r="AB62" s="37">
        <f t="shared" si="22"/>
        <v>7964.8962512029075</v>
      </c>
    </row>
    <row r="63" spans="1:28" x14ac:dyDescent="0.25">
      <c r="A63" s="4" t="s">
        <v>220</v>
      </c>
      <c r="B63" s="37">
        <f t="shared" ref="B63:AB63" si="23">B43*B15*$F$9</f>
        <v>1669.9144534347902</v>
      </c>
      <c r="C63" s="37">
        <f t="shared" si="23"/>
        <v>1701.2470537880095</v>
      </c>
      <c r="D63" s="37">
        <f t="shared" si="23"/>
        <v>1733.9969342938098</v>
      </c>
      <c r="E63" s="37">
        <f t="shared" si="23"/>
        <v>1769.9463034099992</v>
      </c>
      <c r="F63" s="37">
        <f t="shared" si="23"/>
        <v>1806.16642763804</v>
      </c>
      <c r="G63" s="37">
        <f t="shared" si="23"/>
        <v>1845.2355682398063</v>
      </c>
      <c r="H63" s="37">
        <f t="shared" si="23"/>
        <v>1885.476075403396</v>
      </c>
      <c r="I63" s="37">
        <f t="shared" si="23"/>
        <v>1916.4534425719701</v>
      </c>
      <c r="J63" s="37">
        <f t="shared" si="23"/>
        <v>1947.9267714563337</v>
      </c>
      <c r="K63" s="37">
        <f t="shared" si="23"/>
        <v>1981.9700950770277</v>
      </c>
      <c r="L63" s="37">
        <f t="shared" si="23"/>
        <v>2016.644165559745</v>
      </c>
      <c r="M63" s="37">
        <f t="shared" si="23"/>
        <v>2052.5460957425248</v>
      </c>
      <c r="N63" s="37">
        <f t="shared" si="23"/>
        <v>2088.7541305546365</v>
      </c>
      <c r="O63" s="37">
        <f t="shared" si="23"/>
        <v>2125.421635558876</v>
      </c>
      <c r="P63" s="37">
        <f t="shared" si="23"/>
        <v>2163.0896527322698</v>
      </c>
      <c r="Q63" s="37">
        <f t="shared" si="23"/>
        <v>2201.4534380380378</v>
      </c>
      <c r="R63" s="37">
        <f t="shared" si="23"/>
        <v>2240.0768148601824</v>
      </c>
      <c r="S63" s="37">
        <f t="shared" si="23"/>
        <v>2276.0921675698974</v>
      </c>
      <c r="T63" s="37">
        <f t="shared" si="23"/>
        <v>2312.2188600249406</v>
      </c>
      <c r="U63" s="37">
        <f t="shared" si="23"/>
        <v>2347.8434927062867</v>
      </c>
      <c r="V63" s="37">
        <f t="shared" si="23"/>
        <v>2382.2931059089769</v>
      </c>
      <c r="W63" s="37">
        <f t="shared" si="23"/>
        <v>2417.025641276131</v>
      </c>
      <c r="X63" s="37">
        <f t="shared" si="23"/>
        <v>2450.8686915418493</v>
      </c>
      <c r="Y63" s="37">
        <f t="shared" si="23"/>
        <v>2484.5204439592053</v>
      </c>
      <c r="Z63" s="37">
        <f t="shared" si="23"/>
        <v>2517.0248503534713</v>
      </c>
      <c r="AA63" s="37">
        <f t="shared" si="23"/>
        <v>2548.7591720846826</v>
      </c>
      <c r="AB63" s="37">
        <f t="shared" si="23"/>
        <v>2580.110260078472</v>
      </c>
    </row>
    <row r="64" spans="1:28" x14ac:dyDescent="0.25">
      <c r="A64" s="4" t="s">
        <v>221</v>
      </c>
      <c r="B64" s="37">
        <f t="shared" ref="B64:AB64" si="24">B44*B15*$F$10</f>
        <v>9379.9759533943106</v>
      </c>
      <c r="C64" s="37">
        <f t="shared" si="24"/>
        <v>9678.9303341497871</v>
      </c>
      <c r="D64" s="37">
        <f t="shared" si="24"/>
        <v>9983.2906204655446</v>
      </c>
      <c r="E64" s="37">
        <f t="shared" si="24"/>
        <v>10294.766245753815</v>
      </c>
      <c r="F64" s="37">
        <f t="shared" si="24"/>
        <v>10613.484562011337</v>
      </c>
      <c r="G64" s="37">
        <f t="shared" si="24"/>
        <v>10940.753973634328</v>
      </c>
      <c r="H64" s="37">
        <f t="shared" si="24"/>
        <v>11280.154489754565</v>
      </c>
      <c r="I64" s="37">
        <f t="shared" si="24"/>
        <v>11570.978355136449</v>
      </c>
      <c r="J64" s="37">
        <f t="shared" si="24"/>
        <v>11867.464214255968</v>
      </c>
      <c r="K64" s="37">
        <f t="shared" si="24"/>
        <v>12172.216193694037</v>
      </c>
      <c r="L64" s="37">
        <f t="shared" si="24"/>
        <v>12487.134009633917</v>
      </c>
      <c r="M64" s="37">
        <f t="shared" si="24"/>
        <v>12808.988920309532</v>
      </c>
      <c r="N64" s="37">
        <f t="shared" si="24"/>
        <v>13140.955914196391</v>
      </c>
      <c r="O64" s="37">
        <f t="shared" si="24"/>
        <v>13480.669549823444</v>
      </c>
      <c r="P64" s="37">
        <f t="shared" si="24"/>
        <v>13827.388036992073</v>
      </c>
      <c r="Q64" s="37">
        <f t="shared" si="24"/>
        <v>14181.578981628265</v>
      </c>
      <c r="R64" s="37">
        <f t="shared" si="24"/>
        <v>14540.25002835644</v>
      </c>
      <c r="S64" s="37">
        <f t="shared" si="24"/>
        <v>14888.943275363912</v>
      </c>
      <c r="T64" s="37">
        <f t="shared" si="24"/>
        <v>15240.765646351001</v>
      </c>
      <c r="U64" s="37">
        <f t="shared" si="24"/>
        <v>15594.587900739356</v>
      </c>
      <c r="V64" s="37">
        <f t="shared" si="24"/>
        <v>15948.243343562526</v>
      </c>
      <c r="W64" s="37">
        <f t="shared" si="24"/>
        <v>16299.477384315893</v>
      </c>
      <c r="X64" s="37">
        <f t="shared" si="24"/>
        <v>16650.218550940317</v>
      </c>
      <c r="Y64" s="37">
        <f t="shared" si="24"/>
        <v>16997.0667233612</v>
      </c>
      <c r="Z64" s="37">
        <f t="shared" si="24"/>
        <v>17339.775646937687</v>
      </c>
      <c r="AA64" s="37">
        <f t="shared" si="24"/>
        <v>17674.456923915961</v>
      </c>
      <c r="AB64" s="37">
        <f t="shared" si="24"/>
        <v>18000.674437988404</v>
      </c>
    </row>
    <row r="65" spans="1:28" x14ac:dyDescent="0.25">
      <c r="A65" s="4" t="s">
        <v>222</v>
      </c>
      <c r="B65" s="37">
        <f t="shared" ref="B65:AB65" si="25">B45*B15*$F$11</f>
        <v>99996.673057273525</v>
      </c>
      <c r="C65" s="37">
        <f t="shared" si="25"/>
        <v>101184.46837019673</v>
      </c>
      <c r="D65" s="37">
        <f t="shared" si="25"/>
        <v>102356.52874474751</v>
      </c>
      <c r="E65" s="37">
        <f t="shared" si="25"/>
        <v>103545.98783132766</v>
      </c>
      <c r="F65" s="37">
        <f t="shared" si="25"/>
        <v>104773.2241615884</v>
      </c>
      <c r="G65" s="37">
        <f t="shared" si="25"/>
        <v>106041.45450475778</v>
      </c>
      <c r="H65" s="37">
        <f t="shared" si="25"/>
        <v>107347.96400021641</v>
      </c>
      <c r="I65" s="37">
        <f t="shared" si="25"/>
        <v>108115.05837978914</v>
      </c>
      <c r="J65" s="37">
        <f t="shared" si="25"/>
        <v>108890.19031402069</v>
      </c>
      <c r="K65" s="37">
        <f t="shared" si="25"/>
        <v>109654.44156083062</v>
      </c>
      <c r="L65" s="37">
        <f t="shared" si="25"/>
        <v>110399.34098754026</v>
      </c>
      <c r="M65" s="37">
        <f t="shared" si="25"/>
        <v>111123.5500758767</v>
      </c>
      <c r="N65" s="37">
        <f t="shared" si="25"/>
        <v>111804.76485255735</v>
      </c>
      <c r="O65" s="37">
        <f t="shared" si="25"/>
        <v>112431.3950491287</v>
      </c>
      <c r="P65" s="37">
        <f t="shared" si="25"/>
        <v>112994.07444359318</v>
      </c>
      <c r="Q65" s="37">
        <f t="shared" si="25"/>
        <v>113474.98465399731</v>
      </c>
      <c r="R65" s="37">
        <f t="shared" si="25"/>
        <v>113863.85368809715</v>
      </c>
      <c r="S65" s="37">
        <f t="shared" si="25"/>
        <v>114041.74488813731</v>
      </c>
      <c r="T65" s="37">
        <f t="shared" si="25"/>
        <v>114111.21126648303</v>
      </c>
      <c r="U65" s="37">
        <f t="shared" si="25"/>
        <v>114072.76146730006</v>
      </c>
      <c r="V65" s="37">
        <f t="shared" si="25"/>
        <v>113900.19105794007</v>
      </c>
      <c r="W65" s="37">
        <f t="shared" si="25"/>
        <v>113588.88030172673</v>
      </c>
      <c r="X65" s="37">
        <f t="shared" si="25"/>
        <v>113138.999569962</v>
      </c>
      <c r="Y65" s="37">
        <f t="shared" si="25"/>
        <v>112612.90580736555</v>
      </c>
      <c r="Z65" s="37">
        <f t="shared" si="25"/>
        <v>111960.69439684573</v>
      </c>
      <c r="AA65" s="37">
        <f t="shared" si="25"/>
        <v>111182.33546251364</v>
      </c>
      <c r="AB65" s="37">
        <f t="shared" si="25"/>
        <v>110287.2435357497</v>
      </c>
    </row>
    <row r="67" spans="1:28" x14ac:dyDescent="0.25">
      <c r="A67" s="4" t="s">
        <v>328</v>
      </c>
    </row>
    <row r="68" spans="1:28" x14ac:dyDescent="0.25">
      <c r="A68" s="4" t="s">
        <v>329</v>
      </c>
      <c r="B68" s="40">
        <f t="shared" ref="B68:AB68" si="26">B48+B49</f>
        <v>638.35364257015863</v>
      </c>
      <c r="C68" s="40">
        <f t="shared" si="26"/>
        <v>632.05128031164622</v>
      </c>
      <c r="D68" s="40">
        <f t="shared" si="26"/>
        <v>625.819208833517</v>
      </c>
      <c r="E68" s="40">
        <f t="shared" si="26"/>
        <v>619.66525482998645</v>
      </c>
      <c r="F68" s="40">
        <f t="shared" si="26"/>
        <v>613.48128003416491</v>
      </c>
      <c r="G68" s="40">
        <f t="shared" si="26"/>
        <v>607.3430639716305</v>
      </c>
      <c r="H68" s="40">
        <f t="shared" si="26"/>
        <v>601.21709283009773</v>
      </c>
      <c r="I68" s="40">
        <f t="shared" si="26"/>
        <v>592.03120695225539</v>
      </c>
      <c r="J68" s="40">
        <f t="shared" si="26"/>
        <v>582.9042994674744</v>
      </c>
      <c r="K68" s="40">
        <f t="shared" si="26"/>
        <v>573.77702921031778</v>
      </c>
      <c r="L68" s="40">
        <f t="shared" si="26"/>
        <v>564.68819734428939</v>
      </c>
      <c r="M68" s="40">
        <f t="shared" si="26"/>
        <v>555.60028974592228</v>
      </c>
      <c r="N68" s="40">
        <f t="shared" si="26"/>
        <v>546.58426194492768</v>
      </c>
      <c r="O68" s="40">
        <f t="shared" si="26"/>
        <v>537.49996076412265</v>
      </c>
      <c r="P68" s="40">
        <f t="shared" si="26"/>
        <v>528.34468510987472</v>
      </c>
      <c r="Q68" s="40">
        <f t="shared" si="26"/>
        <v>519.22424917272906</v>
      </c>
      <c r="R68" s="40">
        <f t="shared" si="26"/>
        <v>510.06476952600644</v>
      </c>
      <c r="S68" s="40">
        <f t="shared" si="26"/>
        <v>500.4858306323045</v>
      </c>
      <c r="T68" s="40">
        <f t="shared" si="26"/>
        <v>491.01072591423747</v>
      </c>
      <c r="U68" s="40">
        <f t="shared" si="26"/>
        <v>481.70006604476214</v>
      </c>
      <c r="V68" s="40">
        <f t="shared" si="26"/>
        <v>472.61137004295148</v>
      </c>
      <c r="W68" s="40">
        <f t="shared" si="26"/>
        <v>463.73288667087934</v>
      </c>
      <c r="X68" s="40">
        <f t="shared" si="26"/>
        <v>455.21850880679551</v>
      </c>
      <c r="Y68" s="40">
        <f t="shared" si="26"/>
        <v>446.95905877437212</v>
      </c>
      <c r="Z68" s="40">
        <f t="shared" si="26"/>
        <v>438.94251744644396</v>
      </c>
      <c r="AA68" s="40">
        <f t="shared" si="26"/>
        <v>431.15907771523393</v>
      </c>
      <c r="AB68" s="40">
        <f t="shared" si="26"/>
        <v>423.66379660052456</v>
      </c>
    </row>
    <row r="69" spans="1:28" x14ac:dyDescent="0.25">
      <c r="A69" s="4" t="s">
        <v>330</v>
      </c>
      <c r="B69" s="40">
        <f t="shared" ref="B69:AB69" si="27">B50+B51+B52+B53</f>
        <v>634.14595316340228</v>
      </c>
      <c r="C69" s="40">
        <f t="shared" si="27"/>
        <v>627.52923177638604</v>
      </c>
      <c r="D69" s="40">
        <f t="shared" si="27"/>
        <v>621.02499523883114</v>
      </c>
      <c r="E69" s="40">
        <f t="shared" si="27"/>
        <v>614.57154850039376</v>
      </c>
      <c r="F69" s="40">
        <f t="shared" si="27"/>
        <v>608.09682029576811</v>
      </c>
      <c r="G69" s="40">
        <f t="shared" si="27"/>
        <v>601.69373608055594</v>
      </c>
      <c r="H69" s="40">
        <f t="shared" si="27"/>
        <v>595.24512221302791</v>
      </c>
      <c r="I69" s="40">
        <f t="shared" si="27"/>
        <v>585.82351405583563</v>
      </c>
      <c r="J69" s="40">
        <f t="shared" si="27"/>
        <v>576.44934922554364</v>
      </c>
      <c r="K69" s="40">
        <f t="shared" si="27"/>
        <v>567.11879679231515</v>
      </c>
      <c r="L69" s="40">
        <f t="shared" si="27"/>
        <v>557.81581169820015</v>
      </c>
      <c r="M69" s="40">
        <f t="shared" si="27"/>
        <v>548.55928754932518</v>
      </c>
      <c r="N69" s="40">
        <f t="shared" si="27"/>
        <v>539.35208289495529</v>
      </c>
      <c r="O69" s="40">
        <f t="shared" si="27"/>
        <v>530.10603332573555</v>
      </c>
      <c r="P69" s="40">
        <f t="shared" si="27"/>
        <v>520.81291732089414</v>
      </c>
      <c r="Q69" s="40">
        <f t="shared" si="27"/>
        <v>511.58395045416029</v>
      </c>
      <c r="R69" s="40">
        <f t="shared" si="27"/>
        <v>502.31456553066653</v>
      </c>
      <c r="S69" s="40">
        <f t="shared" si="27"/>
        <v>492.64656232096058</v>
      </c>
      <c r="T69" s="40">
        <f t="shared" si="27"/>
        <v>483.13356908279331</v>
      </c>
      <c r="U69" s="40">
        <f t="shared" si="27"/>
        <v>473.75837450246962</v>
      </c>
      <c r="V69" s="40">
        <f t="shared" si="27"/>
        <v>464.63451168462501</v>
      </c>
      <c r="W69" s="40">
        <f t="shared" si="27"/>
        <v>455.71932933509271</v>
      </c>
      <c r="X69" s="40">
        <f t="shared" si="27"/>
        <v>447.15000690237468</v>
      </c>
      <c r="Y69" s="40">
        <f t="shared" si="27"/>
        <v>438.87957495950286</v>
      </c>
      <c r="Z69" s="40">
        <f t="shared" si="27"/>
        <v>430.81630733060683</v>
      </c>
      <c r="AA69" s="40">
        <f t="shared" si="27"/>
        <v>423.0246854965684</v>
      </c>
      <c r="AB69" s="40">
        <f t="shared" si="27"/>
        <v>415.48847285306272</v>
      </c>
    </row>
    <row r="70" spans="1:28" x14ac:dyDescent="0.25">
      <c r="A70" s="4" t="s">
        <v>331</v>
      </c>
      <c r="B70" s="40">
        <f t="shared" ref="B70:AB70" si="28">B54+B55</f>
        <v>638.41787419314346</v>
      </c>
      <c r="C70" s="40">
        <f t="shared" si="28"/>
        <v>632.10031482041563</v>
      </c>
      <c r="D70" s="40">
        <f t="shared" si="28"/>
        <v>625.85237019074009</v>
      </c>
      <c r="E70" s="40">
        <f t="shared" si="28"/>
        <v>619.68239310011609</v>
      </c>
      <c r="F70" s="40">
        <f t="shared" si="28"/>
        <v>613.48134671349499</v>
      </c>
      <c r="G70" s="40">
        <f t="shared" si="28"/>
        <v>607.32701970368294</v>
      </c>
      <c r="H70" s="40">
        <f t="shared" si="28"/>
        <v>601.18503261256728</v>
      </c>
      <c r="I70" s="40">
        <f t="shared" si="28"/>
        <v>591.98450899873774</v>
      </c>
      <c r="J70" s="40">
        <f t="shared" si="28"/>
        <v>582.84245322534343</v>
      </c>
      <c r="K70" s="40">
        <f t="shared" si="28"/>
        <v>573.7013013729977</v>
      </c>
      <c r="L70" s="40">
        <f t="shared" si="28"/>
        <v>564.59857210956613</v>
      </c>
      <c r="M70" s="40">
        <f t="shared" si="28"/>
        <v>555.49827919017389</v>
      </c>
      <c r="N70" s="40">
        <f t="shared" si="28"/>
        <v>546.47145653172527</v>
      </c>
      <c r="O70" s="40">
        <f t="shared" si="28"/>
        <v>537.37518027969872</v>
      </c>
      <c r="P70" s="40">
        <f t="shared" si="28"/>
        <v>528.21073435025926</v>
      </c>
      <c r="Q70" s="40">
        <f t="shared" si="28"/>
        <v>519.08103098061588</v>
      </c>
      <c r="R70" s="40">
        <f t="shared" si="28"/>
        <v>509.9141447640402</v>
      </c>
      <c r="S70" s="40">
        <f t="shared" si="28"/>
        <v>500.32755789460543</v>
      </c>
      <c r="T70" s="40">
        <f t="shared" si="28"/>
        <v>490.84609843267629</v>
      </c>
      <c r="U70" s="40">
        <f t="shared" si="28"/>
        <v>481.53025773391175</v>
      </c>
      <c r="V70" s="40">
        <f t="shared" si="28"/>
        <v>472.43635062983014</v>
      </c>
      <c r="W70" s="40">
        <f t="shared" si="28"/>
        <v>463.55417836189912</v>
      </c>
      <c r="X70" s="40">
        <f t="shared" si="28"/>
        <v>455.03606922687374</v>
      </c>
      <c r="Y70" s="40">
        <f t="shared" si="28"/>
        <v>446.77302061716091</v>
      </c>
      <c r="Z70" s="40">
        <f t="shared" si="28"/>
        <v>438.75371820477153</v>
      </c>
      <c r="AA70" s="40">
        <f t="shared" si="28"/>
        <v>430.96730612248899</v>
      </c>
      <c r="AB70" s="40">
        <f t="shared" si="28"/>
        <v>423.46830681640904</v>
      </c>
    </row>
    <row r="71" spans="1:28" x14ac:dyDescent="0.25">
      <c r="A71" s="4" t="s">
        <v>332</v>
      </c>
      <c r="B71" s="40">
        <f t="shared" ref="B71:AB71" si="29">B58+B59</f>
        <v>109267.59634758814</v>
      </c>
      <c r="C71" s="40">
        <f t="shared" si="29"/>
        <v>110753.83370776201</v>
      </c>
      <c r="D71" s="40">
        <f t="shared" si="29"/>
        <v>112229.81807310208</v>
      </c>
      <c r="E71" s="40">
        <f t="shared" si="29"/>
        <v>113730.42021284709</v>
      </c>
      <c r="F71" s="40">
        <f t="shared" si="29"/>
        <v>115276.14459951907</v>
      </c>
      <c r="G71" s="40">
        <f t="shared" si="29"/>
        <v>116871.52256470962</v>
      </c>
      <c r="H71" s="40">
        <f t="shared" si="29"/>
        <v>118517.47394263156</v>
      </c>
      <c r="I71" s="40">
        <f t="shared" si="29"/>
        <v>119576.18383067085</v>
      </c>
      <c r="J71" s="40">
        <f t="shared" si="29"/>
        <v>120648.77108096643</v>
      </c>
      <c r="K71" s="40">
        <f t="shared" si="29"/>
        <v>121718.92520628225</v>
      </c>
      <c r="L71" s="40">
        <f t="shared" si="29"/>
        <v>122780.11067964551</v>
      </c>
      <c r="M71" s="40">
        <f t="shared" si="29"/>
        <v>123827.7313769584</v>
      </c>
      <c r="N71" s="40">
        <f t="shared" si="29"/>
        <v>124842.69400784204</v>
      </c>
      <c r="O71" s="40">
        <f t="shared" si="29"/>
        <v>125811.01557011224</v>
      </c>
      <c r="P71" s="40">
        <f t="shared" si="29"/>
        <v>126722.61352943318</v>
      </c>
      <c r="Q71" s="40">
        <f t="shared" si="29"/>
        <v>127560.12089540713</v>
      </c>
      <c r="R71" s="40">
        <f t="shared" si="29"/>
        <v>128310.28474364353</v>
      </c>
      <c r="S71" s="40">
        <f t="shared" si="29"/>
        <v>128839.77564800877</v>
      </c>
      <c r="T71" s="40">
        <f t="shared" si="29"/>
        <v>129264.16455129563</v>
      </c>
      <c r="U71" s="40">
        <f t="shared" si="29"/>
        <v>129582.79500316594</v>
      </c>
      <c r="V71" s="40">
        <f t="shared" si="29"/>
        <v>129767.32779206234</v>
      </c>
      <c r="W71" s="40">
        <f t="shared" si="29"/>
        <v>129810.83222628475</v>
      </c>
      <c r="X71" s="40">
        <f t="shared" si="29"/>
        <v>129715.44157176901</v>
      </c>
      <c r="Y71" s="40">
        <f t="shared" si="29"/>
        <v>129540.00104031056</v>
      </c>
      <c r="Z71" s="40">
        <f t="shared" si="29"/>
        <v>129234.42665817868</v>
      </c>
      <c r="AA71" s="40">
        <f t="shared" si="29"/>
        <v>128794.73463662388</v>
      </c>
      <c r="AB71" s="40">
        <f t="shared" si="29"/>
        <v>128229.87312723088</v>
      </c>
    </row>
    <row r="72" spans="1:28" x14ac:dyDescent="0.25">
      <c r="A72" s="4" t="s">
        <v>333</v>
      </c>
      <c r="B72" s="40">
        <f t="shared" ref="B72:AB72" si="30">B60+B61+B62+B63</f>
        <v>109994.62172439173</v>
      </c>
      <c r="C72" s="40">
        <f t="shared" si="30"/>
        <v>111486.68625566691</v>
      </c>
      <c r="D72" s="40">
        <f t="shared" si="30"/>
        <v>112967.84784078518</v>
      </c>
      <c r="E72" s="40">
        <f t="shared" si="30"/>
        <v>114472.42020901926</v>
      </c>
      <c r="F72" s="40">
        <f t="shared" si="30"/>
        <v>116022.85031837545</v>
      </c>
      <c r="G72" s="40">
        <f t="shared" si="30"/>
        <v>117622.36484812858</v>
      </c>
      <c r="H72" s="40">
        <f t="shared" si="30"/>
        <v>119272.73131158507</v>
      </c>
      <c r="I72" s="40">
        <f t="shared" si="30"/>
        <v>120332.34832548181</v>
      </c>
      <c r="J72" s="40">
        <f t="shared" si="30"/>
        <v>121405.95694642715</v>
      </c>
      <c r="K72" s="40">
        <f t="shared" si="30"/>
        <v>122476.01160823357</v>
      </c>
      <c r="L72" s="40">
        <f t="shared" si="30"/>
        <v>123537.00969570916</v>
      </c>
      <c r="M72" s="40">
        <f t="shared" si="30"/>
        <v>124583.92477318109</v>
      </c>
      <c r="N72" s="40">
        <f t="shared" si="30"/>
        <v>125598.07080608358</v>
      </c>
      <c r="O72" s="40">
        <f t="shared" si="30"/>
        <v>126565.05991704461</v>
      </c>
      <c r="P72" s="40">
        <f t="shared" si="30"/>
        <v>127474.53592848318</v>
      </c>
      <c r="Q72" s="40">
        <f t="shared" si="30"/>
        <v>128309.00499443963</v>
      </c>
      <c r="R72" s="40">
        <f t="shared" si="30"/>
        <v>129055.31190803068</v>
      </c>
      <c r="S72" s="40">
        <f t="shared" si="30"/>
        <v>129579.70997437932</v>
      </c>
      <c r="T72" s="40">
        <f t="shared" si="30"/>
        <v>129997.96000210183</v>
      </c>
      <c r="U72" s="40">
        <f t="shared" si="30"/>
        <v>130309.69781131468</v>
      </c>
      <c r="V72" s="40">
        <f t="shared" si="30"/>
        <v>130486.69369772107</v>
      </c>
      <c r="W72" s="40">
        <f t="shared" si="30"/>
        <v>130521.07855121448</v>
      </c>
      <c r="X72" s="40">
        <f t="shared" si="30"/>
        <v>130415.55912853031</v>
      </c>
      <c r="Y72" s="40">
        <f t="shared" si="30"/>
        <v>130229.13255826943</v>
      </c>
      <c r="Z72" s="40">
        <f t="shared" si="30"/>
        <v>129911.72236786556</v>
      </c>
      <c r="AA72" s="40">
        <f t="shared" si="30"/>
        <v>129459.16621915386</v>
      </c>
      <c r="AB72" s="40">
        <f t="shared" si="30"/>
        <v>128880.15068388295</v>
      </c>
    </row>
    <row r="73" spans="1:28" x14ac:dyDescent="0.25">
      <c r="A73" s="4" t="s">
        <v>334</v>
      </c>
      <c r="B73" s="40">
        <f t="shared" ref="B73:AB73" si="31">B64+B65</f>
        <v>109376.64901066784</v>
      </c>
      <c r="C73" s="40">
        <f t="shared" si="31"/>
        <v>110863.39870434652</v>
      </c>
      <c r="D73" s="40">
        <f t="shared" si="31"/>
        <v>112339.81936521306</v>
      </c>
      <c r="E73" s="40">
        <f t="shared" si="31"/>
        <v>113840.75407708147</v>
      </c>
      <c r="F73" s="40">
        <f t="shared" si="31"/>
        <v>115386.70872359973</v>
      </c>
      <c r="G73" s="40">
        <f t="shared" si="31"/>
        <v>116982.20847839212</v>
      </c>
      <c r="H73" s="40">
        <f t="shared" si="31"/>
        <v>118628.11848997098</v>
      </c>
      <c r="I73" s="40">
        <f t="shared" si="31"/>
        <v>119686.0367349256</v>
      </c>
      <c r="J73" s="40">
        <f t="shared" si="31"/>
        <v>120757.65452827665</v>
      </c>
      <c r="K73" s="40">
        <f t="shared" si="31"/>
        <v>121826.65775452465</v>
      </c>
      <c r="L73" s="40">
        <f t="shared" si="31"/>
        <v>122886.47499717417</v>
      </c>
      <c r="M73" s="40">
        <f t="shared" si="31"/>
        <v>123932.53899618624</v>
      </c>
      <c r="N73" s="40">
        <f t="shared" si="31"/>
        <v>124945.72076675374</v>
      </c>
      <c r="O73" s="40">
        <f t="shared" si="31"/>
        <v>125912.06459895214</v>
      </c>
      <c r="P73" s="40">
        <f t="shared" si="31"/>
        <v>126821.46248058527</v>
      </c>
      <c r="Q73" s="40">
        <f t="shared" si="31"/>
        <v>127656.56363562557</v>
      </c>
      <c r="R73" s="40">
        <f t="shared" si="31"/>
        <v>128404.1037164536</v>
      </c>
      <c r="S73" s="40">
        <f t="shared" si="31"/>
        <v>128930.68816350123</v>
      </c>
      <c r="T73" s="40">
        <f t="shared" si="31"/>
        <v>129351.97691283404</v>
      </c>
      <c r="U73" s="40">
        <f t="shared" si="31"/>
        <v>129667.34936803942</v>
      </c>
      <c r="V73" s="40">
        <f t="shared" si="31"/>
        <v>129848.4344015026</v>
      </c>
      <c r="W73" s="40">
        <f t="shared" si="31"/>
        <v>129888.35768604263</v>
      </c>
      <c r="X73" s="40">
        <f t="shared" si="31"/>
        <v>129789.21812090233</v>
      </c>
      <c r="Y73" s="40">
        <f t="shared" si="31"/>
        <v>129609.97253072675</v>
      </c>
      <c r="Z73" s="40">
        <f t="shared" si="31"/>
        <v>129300.47004378343</v>
      </c>
      <c r="AA73" s="40">
        <f t="shared" si="31"/>
        <v>128856.7923864296</v>
      </c>
      <c r="AB73" s="40">
        <f t="shared" si="31"/>
        <v>128287.91797373811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354.22675780164644</v>
      </c>
      <c r="C2" s="37">
        <f>BDbDT_calcs!C48</f>
        <v>350.40257183906448</v>
      </c>
      <c r="D2" s="37">
        <f>BDbDT_calcs!D48</f>
        <v>346.6028113156724</v>
      </c>
      <c r="E2" s="37">
        <f>BDbDT_calcs!E48</f>
        <v>342.86923840091282</v>
      </c>
      <c r="F2" s="37">
        <f>BDbDT_calcs!F48</f>
        <v>339.12916628422812</v>
      </c>
      <c r="G2" s="37">
        <f>BDbDT_calcs!G48</f>
        <v>335.38303434292516</v>
      </c>
      <c r="H2" s="37">
        <f>BDbDT_calcs!H48</f>
        <v>331.63298203612965</v>
      </c>
      <c r="I2" s="37">
        <f>BDbDT_calcs!I48</f>
        <v>326.35003187723993</v>
      </c>
      <c r="J2" s="37">
        <f>BDbDT_calcs!J48</f>
        <v>320.92788025666022</v>
      </c>
      <c r="K2" s="37">
        <f>BDbDT_calcs!K48</f>
        <v>315.64778127097043</v>
      </c>
      <c r="L2" s="37">
        <f>BDbDT_calcs!L48</f>
        <v>310.25594855213916</v>
      </c>
      <c r="M2" s="37">
        <f>BDbDT_calcs!M48</f>
        <v>305.00453203724578</v>
      </c>
      <c r="N2" s="37">
        <f>BDbDT_calcs!N48</f>
        <v>299.92589297737527</v>
      </c>
      <c r="O2" s="37">
        <f>BDbDT_calcs!O48</f>
        <v>294.52414799361316</v>
      </c>
      <c r="P2" s="37">
        <f>BDbDT_calcs!P48</f>
        <v>289.32904267149655</v>
      </c>
      <c r="Q2" s="37">
        <f>BDbDT_calcs!Q48</f>
        <v>284.02296359904432</v>
      </c>
      <c r="R2" s="37">
        <f>BDbDT_calcs!R48</f>
        <v>278.77881838305922</v>
      </c>
      <c r="S2" s="37">
        <f>BDbDT_calcs!S48</f>
        <v>273.26203802591056</v>
      </c>
      <c r="T2" s="37">
        <f>BDbDT_calcs!T48</f>
        <v>267.84333769004684</v>
      </c>
      <c r="U2" s="37">
        <f>BDbDT_calcs!U48</f>
        <v>262.51780930579633</v>
      </c>
      <c r="V2" s="37">
        <f>BDbDT_calcs!V48</f>
        <v>257.27991438051117</v>
      </c>
      <c r="W2" s="37">
        <f>BDbDT_calcs!W48</f>
        <v>252.15729626484284</v>
      </c>
      <c r="X2" s="37">
        <f>BDbDT_calcs!X48</f>
        <v>247.37543760618126</v>
      </c>
      <c r="Y2" s="37">
        <f>BDbDT_calcs!Y48</f>
        <v>242.66228122377862</v>
      </c>
      <c r="Z2" s="37">
        <f>BDbDT_calcs!Z48</f>
        <v>238.17644854211349</v>
      </c>
      <c r="AA2" s="37">
        <f>BDbDT_calcs!AA48</f>
        <v>233.78057238062115</v>
      </c>
      <c r="AB2" s="37">
        <f>BDbDT_calcs!AB48</f>
        <v>229.43771196702517</v>
      </c>
    </row>
    <row r="3" spans="1:28" x14ac:dyDescent="0.25">
      <c r="A3" s="4" t="s">
        <v>216</v>
      </c>
      <c r="B3" s="37">
        <f>BDbDT_calcs!B49</f>
        <v>284.12688476851218</v>
      </c>
      <c r="C3" s="37">
        <f>BDbDT_calcs!C49</f>
        <v>281.64870847258169</v>
      </c>
      <c r="D3" s="37">
        <f>BDbDT_calcs!D49</f>
        <v>279.2163975178446</v>
      </c>
      <c r="E3" s="37">
        <f>BDbDT_calcs!E49</f>
        <v>276.79601642907363</v>
      </c>
      <c r="F3" s="37">
        <f>BDbDT_calcs!F49</f>
        <v>274.35211374993673</v>
      </c>
      <c r="G3" s="37">
        <f>BDbDT_calcs!G49</f>
        <v>271.96002962870529</v>
      </c>
      <c r="H3" s="37">
        <f>BDbDT_calcs!H49</f>
        <v>269.58411079396808</v>
      </c>
      <c r="I3" s="37">
        <f>BDbDT_calcs!I49</f>
        <v>265.68117507501546</v>
      </c>
      <c r="J3" s="37">
        <f>BDbDT_calcs!J49</f>
        <v>261.97641921081419</v>
      </c>
      <c r="K3" s="37">
        <f>BDbDT_calcs!K49</f>
        <v>258.12924793934741</v>
      </c>
      <c r="L3" s="37">
        <f>BDbDT_calcs!L49</f>
        <v>254.43224879215029</v>
      </c>
      <c r="M3" s="37">
        <f>BDbDT_calcs!M49</f>
        <v>250.59575770867644</v>
      </c>
      <c r="N3" s="37">
        <f>BDbDT_calcs!N49</f>
        <v>246.65836896755238</v>
      </c>
      <c r="O3" s="37">
        <f>BDbDT_calcs!O49</f>
        <v>242.97581277050946</v>
      </c>
      <c r="P3" s="37">
        <f>BDbDT_calcs!P49</f>
        <v>239.01564243837817</v>
      </c>
      <c r="Q3" s="37">
        <f>BDbDT_calcs!Q49</f>
        <v>235.20128557368471</v>
      </c>
      <c r="R3" s="37">
        <f>BDbDT_calcs!R49</f>
        <v>231.28595114294725</v>
      </c>
      <c r="S3" s="37">
        <f>BDbDT_calcs!S49</f>
        <v>227.22379260639394</v>
      </c>
      <c r="T3" s="37">
        <f>BDbDT_calcs!T49</f>
        <v>223.1673882241906</v>
      </c>
      <c r="U3" s="37">
        <f>BDbDT_calcs!U49</f>
        <v>219.1822567389658</v>
      </c>
      <c r="V3" s="37">
        <f>BDbDT_calcs!V49</f>
        <v>215.33145566244031</v>
      </c>
      <c r="W3" s="37">
        <f>BDbDT_calcs!W49</f>
        <v>211.57559040603647</v>
      </c>
      <c r="X3" s="37">
        <f>BDbDT_calcs!X49</f>
        <v>207.84307120061425</v>
      </c>
      <c r="Y3" s="37">
        <f>BDbDT_calcs!Y49</f>
        <v>204.29677755059348</v>
      </c>
      <c r="Z3" s="37">
        <f>BDbDT_calcs!Z49</f>
        <v>200.76606890433044</v>
      </c>
      <c r="AA3" s="37">
        <f>BDbDT_calcs!AA49</f>
        <v>197.37850533461281</v>
      </c>
      <c r="AB3" s="37">
        <f>BDbDT_calcs!AB49</f>
        <v>194.2260846334994</v>
      </c>
    </row>
    <row r="4" spans="1:28" x14ac:dyDescent="0.25">
      <c r="A4" s="4" t="s">
        <v>217</v>
      </c>
      <c r="B4" s="37">
        <f>BDbDT_calcs!B50</f>
        <v>374.02308686920304</v>
      </c>
      <c r="C4" s="37">
        <f>BDbDT_calcs!C50</f>
        <v>370.33961355826489</v>
      </c>
      <c r="D4" s="37">
        <f>BDbDT_calcs!D50</f>
        <v>366.75687613084239</v>
      </c>
      <c r="E4" s="37">
        <f>BDbDT_calcs!E50</f>
        <v>363.16630335555334</v>
      </c>
      <c r="F4" s="37">
        <f>BDbDT_calcs!F50</f>
        <v>359.60797898767157</v>
      </c>
      <c r="G4" s="37">
        <f>BDbDT_calcs!G50</f>
        <v>356.11956882246562</v>
      </c>
      <c r="H4" s="37">
        <f>BDbDT_calcs!H50</f>
        <v>352.55382582063419</v>
      </c>
      <c r="I4" s="37">
        <f>BDbDT_calcs!I50</f>
        <v>347.27414741363589</v>
      </c>
      <c r="J4" s="37">
        <f>BDbDT_calcs!J50</f>
        <v>341.9289361098854</v>
      </c>
      <c r="K4" s="37">
        <f>BDbDT_calcs!K50</f>
        <v>336.54440367774953</v>
      </c>
      <c r="L4" s="37">
        <f>BDbDT_calcs!L50</f>
        <v>331.08591370126857</v>
      </c>
      <c r="M4" s="37">
        <f>BDbDT_calcs!M50</f>
        <v>325.55539493916427</v>
      </c>
      <c r="N4" s="37">
        <f>BDbDT_calcs!N50</f>
        <v>319.95428408705487</v>
      </c>
      <c r="O4" s="37">
        <f>BDbDT_calcs!O50</f>
        <v>314.17754264126717</v>
      </c>
      <c r="P4" s="37">
        <f>BDbDT_calcs!P50</f>
        <v>308.3688291937604</v>
      </c>
      <c r="Q4" s="37">
        <f>BDbDT_calcs!Q50</f>
        <v>302.49239299285034</v>
      </c>
      <c r="R4" s="37">
        <f>BDbDT_calcs!R50</f>
        <v>296.54772811957741</v>
      </c>
      <c r="S4" s="37">
        <f>BDbDT_calcs!S50</f>
        <v>290.32368940637184</v>
      </c>
      <c r="T4" s="37">
        <f>BDbDT_calcs!T50</f>
        <v>284.20897247843129</v>
      </c>
      <c r="U4" s="37">
        <f>BDbDT_calcs!U50</f>
        <v>278.19818133323582</v>
      </c>
      <c r="V4" s="37">
        <f>BDbDT_calcs!V50</f>
        <v>272.31906901907951</v>
      </c>
      <c r="W4" s="37">
        <f>BDbDT_calcs!W50</f>
        <v>266.63194540048812</v>
      </c>
      <c r="X4" s="37">
        <f>BDbDT_calcs!X50</f>
        <v>261.16226380404862</v>
      </c>
      <c r="Y4" s="37">
        <f>BDbDT_calcs!Y50</f>
        <v>255.83691562151188</v>
      </c>
      <c r="Z4" s="37">
        <f>BDbDT_calcs!Z50</f>
        <v>250.68248852129034</v>
      </c>
      <c r="AA4" s="37">
        <f>BDbDT_calcs!AA50</f>
        <v>245.75770936615496</v>
      </c>
      <c r="AB4" s="37">
        <f>BDbDT_calcs!AB50</f>
        <v>240.99004573959701</v>
      </c>
    </row>
    <row r="5" spans="1:28" x14ac:dyDescent="0.25">
      <c r="A5" s="4" t="s">
        <v>218</v>
      </c>
      <c r="B5" s="37">
        <f>BDbDT_calcs!B51</f>
        <v>187.98187536666879</v>
      </c>
      <c r="C5" s="37">
        <f>BDbDT_calcs!C51</f>
        <v>184.84269164458763</v>
      </c>
      <c r="D5" s="37">
        <f>BDbDT_calcs!D51</f>
        <v>181.78325514769486</v>
      </c>
      <c r="E5" s="37">
        <f>BDbDT_calcs!E51</f>
        <v>178.6855097167707</v>
      </c>
      <c r="F5" s="37">
        <f>BDbDT_calcs!F51</f>
        <v>175.55054556241728</v>
      </c>
      <c r="G5" s="37">
        <f>BDbDT_calcs!G51</f>
        <v>172.45755949415562</v>
      </c>
      <c r="H5" s="37">
        <f>BDbDT_calcs!H51</f>
        <v>169.28834645611997</v>
      </c>
      <c r="I5" s="37">
        <f>BDbDT_calcs!I51</f>
        <v>165.33240677165571</v>
      </c>
      <c r="J5" s="37">
        <f>BDbDT_calcs!J51</f>
        <v>161.4543538828319</v>
      </c>
      <c r="K5" s="37">
        <f>BDbDT_calcs!K51</f>
        <v>157.64652442598529</v>
      </c>
      <c r="L5" s="37">
        <f>BDbDT_calcs!L51</f>
        <v>153.9840387229977</v>
      </c>
      <c r="M5" s="37">
        <f>BDbDT_calcs!M51</f>
        <v>150.50170437368971</v>
      </c>
      <c r="N5" s="37">
        <f>BDbDT_calcs!N51</f>
        <v>147.08207749822924</v>
      </c>
      <c r="O5" s="37">
        <f>BDbDT_calcs!O51</f>
        <v>143.83615434145347</v>
      </c>
      <c r="P5" s="37">
        <f>BDbDT_calcs!P51</f>
        <v>140.64807538045329</v>
      </c>
      <c r="Q5" s="37">
        <f>BDbDT_calcs!Q51</f>
        <v>137.5899903344272</v>
      </c>
      <c r="R5" s="37">
        <f>BDbDT_calcs!R51</f>
        <v>134.62164059266354</v>
      </c>
      <c r="S5" s="37">
        <f>BDbDT_calcs!S51</f>
        <v>131.57708181180939</v>
      </c>
      <c r="T5" s="37">
        <f>BDbDT_calcs!T51</f>
        <v>128.62151797586714</v>
      </c>
      <c r="U5" s="37">
        <f>BDbDT_calcs!U51</f>
        <v>125.71559800531197</v>
      </c>
      <c r="V5" s="37">
        <f>BDbDT_calcs!V51</f>
        <v>122.92809315555411</v>
      </c>
      <c r="W5" s="37">
        <f>BDbDT_calcs!W51</f>
        <v>120.14803005937164</v>
      </c>
      <c r="X5" s="37">
        <f>BDbDT_calcs!X51</f>
        <v>117.47937016681092</v>
      </c>
      <c r="Y5" s="37">
        <f>BDbDT_calcs!Y51</f>
        <v>114.95383659356077</v>
      </c>
      <c r="Z5" s="37">
        <f>BDbDT_calcs!Z51</f>
        <v>112.46246259889301</v>
      </c>
      <c r="AA5" s="37">
        <f>BDbDT_calcs!AA51</f>
        <v>110.07234591945455</v>
      </c>
      <c r="AB5" s="37">
        <f>BDbDT_calcs!AB51</f>
        <v>107.7113146797591</v>
      </c>
    </row>
    <row r="6" spans="1:28" x14ac:dyDescent="0.25">
      <c r="A6" s="4" t="s">
        <v>219</v>
      </c>
      <c r="B6" s="37">
        <f>BDbDT_calcs!B52</f>
        <v>34.268340063023956</v>
      </c>
      <c r="C6" s="37">
        <f>BDbDT_calcs!C52</f>
        <v>34.275080004176147</v>
      </c>
      <c r="D6" s="37">
        <f>BDbDT_calcs!D52</f>
        <v>34.28542041056955</v>
      </c>
      <c r="E6" s="37">
        <f>BDbDT_calcs!E52</f>
        <v>34.339347687617206</v>
      </c>
      <c r="F6" s="37">
        <f>BDbDT_calcs!F52</f>
        <v>34.397545451308652</v>
      </c>
      <c r="G6" s="37">
        <f>BDbDT_calcs!G52</f>
        <v>34.460193134826476</v>
      </c>
      <c r="H6" s="37">
        <f>BDbDT_calcs!H52</f>
        <v>34.52765995954686</v>
      </c>
      <c r="I6" s="37">
        <f>BDbDT_calcs!I52</f>
        <v>34.419401378631818</v>
      </c>
      <c r="J6" s="37">
        <f>BDbDT_calcs!J52</f>
        <v>34.316601872695706</v>
      </c>
      <c r="K6" s="37">
        <f>BDbDT_calcs!K52</f>
        <v>34.294562442263363</v>
      </c>
      <c r="L6" s="37">
        <f>BDbDT_calcs!L52</f>
        <v>34.199890915644822</v>
      </c>
      <c r="M6" s="37">
        <f>BDbDT_calcs!M52</f>
        <v>34.109681611147685</v>
      </c>
      <c r="N6" s="37">
        <f>BDbDT_calcs!N52</f>
        <v>34.023968155259773</v>
      </c>
      <c r="O6" s="37">
        <f>BDbDT_calcs!O52</f>
        <v>33.942786800133511</v>
      </c>
      <c r="P6" s="37">
        <f>BDbDT_calcs!P52</f>
        <v>33.82920091311609</v>
      </c>
      <c r="Q6" s="37">
        <f>BDbDT_calcs!Q52</f>
        <v>33.75723943735148</v>
      </c>
      <c r="R6" s="37">
        <f>BDbDT_calcs!R52</f>
        <v>33.616693589191911</v>
      </c>
      <c r="S6" s="37">
        <f>BDbDT_calcs!S52</f>
        <v>33.485257129221459</v>
      </c>
      <c r="T6" s="37">
        <f>BDbDT_calcs!T52</f>
        <v>33.394103403421973</v>
      </c>
      <c r="U6" s="37">
        <f>BDbDT_calcs!U52</f>
        <v>33.235064530415535</v>
      </c>
      <c r="V6" s="37">
        <f>BDbDT_calcs!V52</f>
        <v>33.115543441742588</v>
      </c>
      <c r="W6" s="37">
        <f>BDbDT_calcs!W52</f>
        <v>32.99910869098359</v>
      </c>
      <c r="X6" s="37">
        <f>BDbDT_calcs!X52</f>
        <v>32.850282822914984</v>
      </c>
      <c r="Y6" s="37">
        <f>BDbDT_calcs!Y52</f>
        <v>32.773696390474029</v>
      </c>
      <c r="Z6" s="37">
        <f>BDbDT_calcs!Z52</f>
        <v>32.629407712927794</v>
      </c>
      <c r="AA6" s="37">
        <f>BDbDT_calcs!AA52</f>
        <v>32.486914442467487</v>
      </c>
      <c r="AB6" s="37">
        <f>BDbDT_calcs!AB52</f>
        <v>32.345759839747515</v>
      </c>
    </row>
    <row r="7" spans="1:28" x14ac:dyDescent="0.25">
      <c r="A7" s="4" t="s">
        <v>220</v>
      </c>
      <c r="B7" s="37">
        <f>BDbDT_calcs!B53</f>
        <v>37.872650864506468</v>
      </c>
      <c r="C7" s="37">
        <f>BDbDT_calcs!C53</f>
        <v>38.071846569357326</v>
      </c>
      <c r="D7" s="37">
        <f>BDbDT_calcs!D53</f>
        <v>38.199443549724251</v>
      </c>
      <c r="E7" s="37">
        <f>BDbDT_calcs!E53</f>
        <v>38.380387740452527</v>
      </c>
      <c r="F7" s="37">
        <f>BDbDT_calcs!F53</f>
        <v>38.540750294370618</v>
      </c>
      <c r="G7" s="37">
        <f>BDbDT_calcs!G53</f>
        <v>38.656414629108156</v>
      </c>
      <c r="H7" s="37">
        <f>BDbDT_calcs!H53</f>
        <v>38.87528997672689</v>
      </c>
      <c r="I7" s="37">
        <f>BDbDT_calcs!I53</f>
        <v>38.797558491912277</v>
      </c>
      <c r="J7" s="37">
        <f>BDbDT_calcs!J53</f>
        <v>38.749457360130577</v>
      </c>
      <c r="K7" s="37">
        <f>BDbDT_calcs!K53</f>
        <v>38.633306246316991</v>
      </c>
      <c r="L7" s="37">
        <f>BDbDT_calcs!L53</f>
        <v>38.545968358289031</v>
      </c>
      <c r="M7" s="37">
        <f>BDbDT_calcs!M53</f>
        <v>38.392506625323485</v>
      </c>
      <c r="N7" s="37">
        <f>BDbDT_calcs!N53</f>
        <v>38.29175315441141</v>
      </c>
      <c r="O7" s="37">
        <f>BDbDT_calcs!O53</f>
        <v>38.149549542881516</v>
      </c>
      <c r="P7" s="37">
        <f>BDbDT_calcs!P53</f>
        <v>37.966811833564392</v>
      </c>
      <c r="Q7" s="37">
        <f>BDbDT_calcs!Q53</f>
        <v>37.744327689531303</v>
      </c>
      <c r="R7" s="37">
        <f>BDbDT_calcs!R53</f>
        <v>37.52850322923365</v>
      </c>
      <c r="S7" s="37">
        <f>BDbDT_calcs!S53</f>
        <v>37.260533973557841</v>
      </c>
      <c r="T7" s="37">
        <f>BDbDT_calcs!T53</f>
        <v>36.908975225072872</v>
      </c>
      <c r="U7" s="37">
        <f>BDbDT_calcs!U53</f>
        <v>36.609530633506338</v>
      </c>
      <c r="V7" s="37">
        <f>BDbDT_calcs!V53</f>
        <v>36.271806068248779</v>
      </c>
      <c r="W7" s="37">
        <f>BDbDT_calcs!W53</f>
        <v>35.940245184249356</v>
      </c>
      <c r="X7" s="37">
        <f>BDbDT_calcs!X53</f>
        <v>35.65809010860017</v>
      </c>
      <c r="Y7" s="37">
        <f>BDbDT_calcs!Y53</f>
        <v>35.315126353956188</v>
      </c>
      <c r="Z7" s="37">
        <f>BDbDT_calcs!Z53</f>
        <v>35.041948497495675</v>
      </c>
      <c r="AA7" s="37">
        <f>BDbDT_calcs!AA53</f>
        <v>34.707715768491425</v>
      </c>
      <c r="AB7" s="37">
        <f>BDbDT_calcs!AB53</f>
        <v>34.441352593959067</v>
      </c>
    </row>
    <row r="8" spans="1:28" x14ac:dyDescent="0.25">
      <c r="A8" s="4" t="s">
        <v>221</v>
      </c>
      <c r="B8" s="37">
        <f>BDbDT_calcs!B54</f>
        <v>144.06208819619957</v>
      </c>
      <c r="C8" s="37">
        <f>BDbDT_calcs!C54</f>
        <v>144.18824490000631</v>
      </c>
      <c r="D8" s="37">
        <f>BDbDT_calcs!D54</f>
        <v>144.40345040931399</v>
      </c>
      <c r="E8" s="37">
        <f>BDbDT_calcs!E54</f>
        <v>144.67227641509871</v>
      </c>
      <c r="F8" s="37">
        <f>BDbDT_calcs!F54</f>
        <v>145.06998469396541</v>
      </c>
      <c r="G8" s="37">
        <f>BDbDT_calcs!G54</f>
        <v>145.33782934071752</v>
      </c>
      <c r="H8" s="37">
        <f>BDbDT_calcs!H54</f>
        <v>145.58913105935326</v>
      </c>
      <c r="I8" s="37">
        <f>BDbDT_calcs!I54</f>
        <v>145.06324072087898</v>
      </c>
      <c r="J8" s="37">
        <f>BDbDT_calcs!J54</f>
        <v>144.4888158059093</v>
      </c>
      <c r="K8" s="37">
        <f>BDbDT_calcs!K54</f>
        <v>143.86250402968284</v>
      </c>
      <c r="L8" s="37">
        <f>BDbDT_calcs!L54</f>
        <v>143.15037699028622</v>
      </c>
      <c r="M8" s="37">
        <f>BDbDT_calcs!M54</f>
        <v>142.3548543066868</v>
      </c>
      <c r="N8" s="37">
        <f>BDbDT_calcs!N54</f>
        <v>141.47810168120606</v>
      </c>
      <c r="O8" s="37">
        <f>BDbDT_calcs!O54</f>
        <v>140.52217483053394</v>
      </c>
      <c r="P8" s="37">
        <f>BDbDT_calcs!P54</f>
        <v>139.38443148318626</v>
      </c>
      <c r="Q8" s="37">
        <f>BDbDT_calcs!Q54</f>
        <v>138.17200457062393</v>
      </c>
      <c r="R8" s="37">
        <f>BDbDT_calcs!R54</f>
        <v>136.78287698555721</v>
      </c>
      <c r="S8" s="37">
        <f>BDbDT_calcs!S54</f>
        <v>135.29448606053649</v>
      </c>
      <c r="T8" s="37">
        <f>BDbDT_calcs!T54</f>
        <v>133.70162385068392</v>
      </c>
      <c r="U8" s="37">
        <f>BDbDT_calcs!U54</f>
        <v>132.00528710583009</v>
      </c>
      <c r="V8" s="37">
        <f>BDbDT_calcs!V54</f>
        <v>130.33961758230257</v>
      </c>
      <c r="W8" s="37">
        <f>BDbDT_calcs!W54</f>
        <v>128.53624182130449</v>
      </c>
      <c r="X8" s="37">
        <f>BDbDT_calcs!X54</f>
        <v>126.92574819149189</v>
      </c>
      <c r="Y8" s="37">
        <f>BDbDT_calcs!Y54</f>
        <v>125.30666775261902</v>
      </c>
      <c r="Z8" s="37">
        <f>BDbDT_calcs!Z54</f>
        <v>123.71004831932291</v>
      </c>
      <c r="AA8" s="37">
        <f>BDbDT_calcs!AA54</f>
        <v>122.16614212064555</v>
      </c>
      <c r="AB8" s="37">
        <f>BDbDT_calcs!AB54</f>
        <v>120.70448375974995</v>
      </c>
    </row>
    <row r="9" spans="1:28" x14ac:dyDescent="0.25">
      <c r="A9" s="4" t="s">
        <v>222</v>
      </c>
      <c r="B9" s="37">
        <f>BDbDT_calcs!B55</f>
        <v>494.35578599694395</v>
      </c>
      <c r="C9" s="37">
        <f>BDbDT_calcs!C55</f>
        <v>487.91206992040929</v>
      </c>
      <c r="D9" s="37">
        <f>BDbDT_calcs!D55</f>
        <v>481.44891978142607</v>
      </c>
      <c r="E9" s="37">
        <f>BDbDT_calcs!E55</f>
        <v>475.01011668501735</v>
      </c>
      <c r="F9" s="37">
        <f>BDbDT_calcs!F55</f>
        <v>468.41136201952958</v>
      </c>
      <c r="G9" s="37">
        <f>BDbDT_calcs!G55</f>
        <v>461.98919036296536</v>
      </c>
      <c r="H9" s="37">
        <f>BDbDT_calcs!H55</f>
        <v>455.59590155321399</v>
      </c>
      <c r="I9" s="37">
        <f>BDbDT_calcs!I55</f>
        <v>446.9212682778587</v>
      </c>
      <c r="J9" s="37">
        <f>BDbDT_calcs!J55</f>
        <v>438.35363741943416</v>
      </c>
      <c r="K9" s="37">
        <f>BDbDT_calcs!K55</f>
        <v>429.83879734331492</v>
      </c>
      <c r="L9" s="37">
        <f>BDbDT_calcs!L55</f>
        <v>421.44819511927989</v>
      </c>
      <c r="M9" s="37">
        <f>BDbDT_calcs!M55</f>
        <v>413.14342488348706</v>
      </c>
      <c r="N9" s="37">
        <f>BDbDT_calcs!N55</f>
        <v>404.99335485051921</v>
      </c>
      <c r="O9" s="37">
        <f>BDbDT_calcs!O55</f>
        <v>396.85300544916475</v>
      </c>
      <c r="P9" s="37">
        <f>BDbDT_calcs!P55</f>
        <v>388.82630286707297</v>
      </c>
      <c r="Q9" s="37">
        <f>BDbDT_calcs!Q55</f>
        <v>380.90902640999201</v>
      </c>
      <c r="R9" s="37">
        <f>BDbDT_calcs!R55</f>
        <v>373.13126777848299</v>
      </c>
      <c r="S9" s="37">
        <f>BDbDT_calcs!S55</f>
        <v>365.03307183406895</v>
      </c>
      <c r="T9" s="37">
        <f>BDbDT_calcs!T55</f>
        <v>357.14447458199237</v>
      </c>
      <c r="U9" s="37">
        <f>BDbDT_calcs!U55</f>
        <v>349.52497062808163</v>
      </c>
      <c r="V9" s="37">
        <f>BDbDT_calcs!V55</f>
        <v>342.09673304752755</v>
      </c>
      <c r="W9" s="37">
        <f>BDbDT_calcs!W55</f>
        <v>335.01793654059463</v>
      </c>
      <c r="X9" s="37">
        <f>BDbDT_calcs!X55</f>
        <v>328.11032103538184</v>
      </c>
      <c r="Y9" s="37">
        <f>BDbDT_calcs!Y55</f>
        <v>321.46635286454188</v>
      </c>
      <c r="Z9" s="37">
        <f>BDbDT_calcs!Z55</f>
        <v>315.04366988544859</v>
      </c>
      <c r="AA9" s="37">
        <f>BDbDT_calcs!AA55</f>
        <v>308.80116400184346</v>
      </c>
      <c r="AB9" s="37">
        <f>BDbDT_calcs!AB55</f>
        <v>302.76382305665908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56171.081849345814</v>
      </c>
      <c r="C2" s="37">
        <f>BDbDT_calcs!C58</f>
        <v>57006.85935369027</v>
      </c>
      <c r="D2" s="37">
        <f>BDbDT_calcs!D58</f>
        <v>57834.912498991114</v>
      </c>
      <c r="E2" s="37">
        <f>BDbDT_calcs!E58</f>
        <v>58660.877582165391</v>
      </c>
      <c r="F2" s="37">
        <f>BDbDT_calcs!F58</f>
        <v>59489.843541770555</v>
      </c>
      <c r="G2" s="37">
        <f>BDbDT_calcs!G58</f>
        <v>60323.603107328847</v>
      </c>
      <c r="H2" s="37">
        <f>BDbDT_calcs!H58</f>
        <v>61158.069756886529</v>
      </c>
      <c r="I2" s="37">
        <f>BDbDT_calcs!I58</f>
        <v>61665.513759790018</v>
      </c>
      <c r="J2" s="37">
        <f>BDbDT_calcs!J58</f>
        <v>62153.943398403208</v>
      </c>
      <c r="K2" s="37">
        <f>BDbDT_calcs!K58</f>
        <v>62622.603500333804</v>
      </c>
      <c r="L2" s="37">
        <f>BDbDT_calcs!L58</f>
        <v>63066.566288091359</v>
      </c>
      <c r="M2" s="37">
        <f>BDbDT_calcs!M58</f>
        <v>63485.212341062797</v>
      </c>
      <c r="N2" s="37">
        <f>BDbDT_calcs!N58</f>
        <v>63872.533917189008</v>
      </c>
      <c r="O2" s="37">
        <f>BDbDT_calcs!O58</f>
        <v>64226.691447755613</v>
      </c>
      <c r="P2" s="37">
        <f>BDbDT_calcs!P58</f>
        <v>64540.074919904364</v>
      </c>
      <c r="Q2" s="37">
        <f>BDbDT_calcs!Q58</f>
        <v>64812.097069604722</v>
      </c>
      <c r="R2" s="37">
        <f>BDbDT_calcs!R58</f>
        <v>65033.702053557208</v>
      </c>
      <c r="S2" s="37">
        <f>BDbDT_calcs!S58</f>
        <v>65143.656860135809</v>
      </c>
      <c r="T2" s="37">
        <f>BDbDT_calcs!T58</f>
        <v>65201.308681237548</v>
      </c>
      <c r="U2" s="37">
        <f>BDbDT_calcs!U58</f>
        <v>65210.997047855293</v>
      </c>
      <c r="V2" s="37">
        <f>BDbDT_calcs!V58</f>
        <v>65157.907053406045</v>
      </c>
      <c r="W2" s="37">
        <f>BDbDT_calcs!W58</f>
        <v>65046.857178040009</v>
      </c>
      <c r="X2" s="37">
        <f>BDbDT_calcs!X58</f>
        <v>64875.192786564861</v>
      </c>
      <c r="Y2" s="37">
        <f>BDbDT_calcs!Y58</f>
        <v>64670.467543495281</v>
      </c>
      <c r="Z2" s="37">
        <f>BDbDT_calcs!Z58</f>
        <v>64409.651419675494</v>
      </c>
      <c r="AA2" s="37">
        <f>BDbDT_calcs!AA58</f>
        <v>64097.53298756868</v>
      </c>
      <c r="AB2" s="37">
        <f>BDbDT_calcs!AB58</f>
        <v>63740.652268294645</v>
      </c>
    </row>
    <row r="3" spans="1:28" x14ac:dyDescent="0.25">
      <c r="A3" s="4" t="s">
        <v>216</v>
      </c>
      <c r="B3" s="37">
        <f>BDbDT_calcs!B59</f>
        <v>53096.514498242337</v>
      </c>
      <c r="C3" s="37">
        <f>BDbDT_calcs!C59</f>
        <v>53746.974354071732</v>
      </c>
      <c r="D3" s="37">
        <f>BDbDT_calcs!D59</f>
        <v>54394.90557411097</v>
      </c>
      <c r="E3" s="37">
        <f>BDbDT_calcs!E59</f>
        <v>55069.542630681695</v>
      </c>
      <c r="F3" s="37">
        <f>BDbDT_calcs!F59</f>
        <v>55786.301057748518</v>
      </c>
      <c r="G3" s="37">
        <f>BDbDT_calcs!G59</f>
        <v>56547.919457380784</v>
      </c>
      <c r="H3" s="37">
        <f>BDbDT_calcs!H59</f>
        <v>57359.404185745043</v>
      </c>
      <c r="I3" s="37">
        <f>BDbDT_calcs!I59</f>
        <v>57910.670070880835</v>
      </c>
      <c r="J3" s="37">
        <f>BDbDT_calcs!J59</f>
        <v>58494.82768256322</v>
      </c>
      <c r="K3" s="37">
        <f>BDbDT_calcs!K59</f>
        <v>59096.321705948445</v>
      </c>
      <c r="L3" s="37">
        <f>BDbDT_calcs!L59</f>
        <v>59713.544391554155</v>
      </c>
      <c r="M3" s="37">
        <f>BDbDT_calcs!M59</f>
        <v>60342.519035895602</v>
      </c>
      <c r="N3" s="37">
        <f>BDbDT_calcs!N59</f>
        <v>60970.160090653037</v>
      </c>
      <c r="O3" s="37">
        <f>BDbDT_calcs!O59</f>
        <v>61584.324122356637</v>
      </c>
      <c r="P3" s="37">
        <f>BDbDT_calcs!P59</f>
        <v>62182.53860952882</v>
      </c>
      <c r="Q3" s="37">
        <f>BDbDT_calcs!Q59</f>
        <v>62748.023825802404</v>
      </c>
      <c r="R3" s="37">
        <f>BDbDT_calcs!R59</f>
        <v>63276.582690086318</v>
      </c>
      <c r="S3" s="37">
        <f>BDbDT_calcs!S59</f>
        <v>63696.118787872969</v>
      </c>
      <c r="T3" s="37">
        <f>BDbDT_calcs!T59</f>
        <v>64062.855870058076</v>
      </c>
      <c r="U3" s="37">
        <f>BDbDT_calcs!U59</f>
        <v>64371.797955310649</v>
      </c>
      <c r="V3" s="37">
        <f>BDbDT_calcs!V59</f>
        <v>64609.420738656292</v>
      </c>
      <c r="W3" s="37">
        <f>BDbDT_calcs!W59</f>
        <v>64763.975048244749</v>
      </c>
      <c r="X3" s="37">
        <f>BDbDT_calcs!X59</f>
        <v>64840.248785204145</v>
      </c>
      <c r="Y3" s="37">
        <f>BDbDT_calcs!Y59</f>
        <v>64869.533496815275</v>
      </c>
      <c r="Z3" s="37">
        <f>BDbDT_calcs!Z59</f>
        <v>64824.775238503185</v>
      </c>
      <c r="AA3" s="37">
        <f>BDbDT_calcs!AA59</f>
        <v>64697.201649055198</v>
      </c>
      <c r="AB3" s="37">
        <f>BDbDT_calcs!AB59</f>
        <v>64489.220858936227</v>
      </c>
    </row>
    <row r="4" spans="1:28" x14ac:dyDescent="0.25">
      <c r="A4" s="4" t="s">
        <v>217</v>
      </c>
      <c r="B4" s="37">
        <f>BDbDT_calcs!B60</f>
        <v>88941.688413198106</v>
      </c>
      <c r="C4" s="37">
        <f>BDbDT_calcs!C60</f>
        <v>90133.582641025379</v>
      </c>
      <c r="D4" s="37">
        <f>BDbDT_calcs!D60</f>
        <v>91309.833566436486</v>
      </c>
      <c r="E4" s="37">
        <f>BDbDT_calcs!E60</f>
        <v>92497.551709934094</v>
      </c>
      <c r="F4" s="37">
        <f>BDbDT_calcs!F60</f>
        <v>93715.690578268273</v>
      </c>
      <c r="G4" s="37">
        <f>BDbDT_calcs!G60</f>
        <v>94964.595482876102</v>
      </c>
      <c r="H4" s="37">
        <f>BDbDT_calcs!H60</f>
        <v>96247.716309210911</v>
      </c>
      <c r="I4" s="37">
        <f>BDbDT_calcs!I60</f>
        <v>97045.479361003818</v>
      </c>
      <c r="J4" s="37">
        <f>BDbDT_calcs!J60</f>
        <v>97847.776598722819</v>
      </c>
      <c r="K4" s="37">
        <f>BDbDT_calcs!K60</f>
        <v>98637.286840045941</v>
      </c>
      <c r="L4" s="37">
        <f>BDbDT_calcs!L60</f>
        <v>99409.034076219556</v>
      </c>
      <c r="M4" s="37">
        <f>BDbDT_calcs!M60</f>
        <v>100159.50116214482</v>
      </c>
      <c r="N4" s="37">
        <f>BDbDT_calcs!N60</f>
        <v>100871.02053750643</v>
      </c>
      <c r="O4" s="37">
        <f>BDbDT_calcs!O60</f>
        <v>101534.34949322847</v>
      </c>
      <c r="P4" s="37">
        <f>BDbDT_calcs!P60</f>
        <v>102137.36101463479</v>
      </c>
      <c r="Q4" s="37">
        <f>BDbDT_calcs!Q60</f>
        <v>102667.48520989623</v>
      </c>
      <c r="R4" s="37">
        <f>BDbDT_calcs!R60</f>
        <v>103112.96784762811</v>
      </c>
      <c r="S4" s="37">
        <f>BDbDT_calcs!S60</f>
        <v>103367.00097628369</v>
      </c>
      <c r="T4" s="37">
        <f>BDbDT_calcs!T60</f>
        <v>103523.37522638914</v>
      </c>
      <c r="U4" s="37">
        <f>BDbDT_calcs!U60</f>
        <v>103583.51112419058</v>
      </c>
      <c r="V4" s="37">
        <f>BDbDT_calcs!V60</f>
        <v>103521.50091400729</v>
      </c>
      <c r="W4" s="37">
        <f>BDbDT_calcs!W60</f>
        <v>103331.56203546167</v>
      </c>
      <c r="X4" s="37">
        <f>BDbDT_calcs!X60</f>
        <v>103017.9245100079</v>
      </c>
      <c r="Y4" s="37">
        <f>BDbDT_calcs!Y60</f>
        <v>102634.83293402096</v>
      </c>
      <c r="Z4" s="37">
        <f>BDbDT_calcs!Z60</f>
        <v>102137.61099310681</v>
      </c>
      <c r="AA4" s="37">
        <f>BDbDT_calcs!AA60</f>
        <v>101521.77393763357</v>
      </c>
      <c r="AB4" s="37">
        <f>BDbDT_calcs!AB60</f>
        <v>100797.81503934317</v>
      </c>
    </row>
    <row r="5" spans="1:28" x14ac:dyDescent="0.25">
      <c r="A5" s="4" t="s">
        <v>218</v>
      </c>
      <c r="B5" s="37">
        <f>BDbDT_calcs!B61</f>
        <v>14533.193025355045</v>
      </c>
      <c r="C5" s="37">
        <f>BDbDT_calcs!C61</f>
        <v>14704.105949417339</v>
      </c>
      <c r="D5" s="37">
        <f>BDbDT_calcs!D61</f>
        <v>14875.004759684996</v>
      </c>
      <c r="E5" s="37">
        <f>BDbDT_calcs!E61</f>
        <v>15047.278333629496</v>
      </c>
      <c r="F5" s="37">
        <f>BDbDT_calcs!F61</f>
        <v>15225.864365017469</v>
      </c>
      <c r="G5" s="37">
        <f>BDbDT_calcs!G61</f>
        <v>15411.182751115215</v>
      </c>
      <c r="H5" s="37">
        <f>BDbDT_calcs!H61</f>
        <v>15602.874196900417</v>
      </c>
      <c r="I5" s="37">
        <f>BDbDT_calcs!I61</f>
        <v>15718.998162962891</v>
      </c>
      <c r="J5" s="37">
        <f>BDbDT_calcs!J61</f>
        <v>15839.364285342013</v>
      </c>
      <c r="K5" s="37">
        <f>BDbDT_calcs!K61</f>
        <v>15962.907229437867</v>
      </c>
      <c r="L5" s="37">
        <f>BDbDT_calcs!L61</f>
        <v>16089.607486637247</v>
      </c>
      <c r="M5" s="37">
        <f>BDbDT_calcs!M61</f>
        <v>16218.604023410473</v>
      </c>
      <c r="N5" s="37">
        <f>BDbDT_calcs!N61</f>
        <v>16350.63687884413</v>
      </c>
      <c r="O5" s="37">
        <f>BDbDT_calcs!O61</f>
        <v>16481.551326225857</v>
      </c>
      <c r="P5" s="37">
        <f>BDbDT_calcs!P61</f>
        <v>16613.177650399968</v>
      </c>
      <c r="Q5" s="37">
        <f>BDbDT_calcs!Q61</f>
        <v>16742.153037664521</v>
      </c>
      <c r="R5" s="37">
        <f>BDbDT_calcs!R61</f>
        <v>16868.12469709928</v>
      </c>
      <c r="S5" s="37">
        <f>BDbDT_calcs!S61</f>
        <v>16974.868972109703</v>
      </c>
      <c r="T5" s="37">
        <f>BDbDT_calcs!T61</f>
        <v>17075.123488103807</v>
      </c>
      <c r="U5" s="37">
        <f>BDbDT_calcs!U61</f>
        <v>17169.2257490265</v>
      </c>
      <c r="V5" s="37">
        <f>BDbDT_calcs!V61</f>
        <v>17255.252484391123</v>
      </c>
      <c r="W5" s="37">
        <f>BDbDT_calcs!W61</f>
        <v>17330.117720780378</v>
      </c>
      <c r="X5" s="37">
        <f>BDbDT_calcs!X61</f>
        <v>17392.810156740841</v>
      </c>
      <c r="Y5" s="37">
        <f>BDbDT_calcs!Y61</f>
        <v>17447.858941524966</v>
      </c>
      <c r="Z5" s="37">
        <f>BDbDT_calcs!Z61</f>
        <v>17490.562390779294</v>
      </c>
      <c r="AA5" s="37">
        <f>BDbDT_calcs!AA61</f>
        <v>17520.933645013542</v>
      </c>
      <c r="AB5" s="37">
        <f>BDbDT_calcs!AB61</f>
        <v>17537.329133258412</v>
      </c>
    </row>
    <row r="6" spans="1:28" x14ac:dyDescent="0.25">
      <c r="A6" s="4" t="s">
        <v>219</v>
      </c>
      <c r="B6" s="37">
        <f>BDbDT_calcs!B62</f>
        <v>4849.8258324037843</v>
      </c>
      <c r="C6" s="37">
        <f>BDbDT_calcs!C62</f>
        <v>4947.7506114361777</v>
      </c>
      <c r="D6" s="37">
        <f>BDbDT_calcs!D62</f>
        <v>5049.0125803698947</v>
      </c>
      <c r="E6" s="37">
        <f>BDbDT_calcs!E62</f>
        <v>5157.6438620456611</v>
      </c>
      <c r="F6" s="37">
        <f>BDbDT_calcs!F62</f>
        <v>5275.1289474516634</v>
      </c>
      <c r="G6" s="37">
        <f>BDbDT_calcs!G62</f>
        <v>5401.3510458974433</v>
      </c>
      <c r="H6" s="37">
        <f>BDbDT_calcs!H62</f>
        <v>5536.664730070348</v>
      </c>
      <c r="I6" s="37">
        <f>BDbDT_calcs!I62</f>
        <v>5651.417358943133</v>
      </c>
      <c r="J6" s="37">
        <f>BDbDT_calcs!J62</f>
        <v>5770.8892909059859</v>
      </c>
      <c r="K6" s="37">
        <f>BDbDT_calcs!K62</f>
        <v>5893.8474436727256</v>
      </c>
      <c r="L6" s="37">
        <f>BDbDT_calcs!L62</f>
        <v>6021.7239672926089</v>
      </c>
      <c r="M6" s="37">
        <f>BDbDT_calcs!M62</f>
        <v>6153.2734918832693</v>
      </c>
      <c r="N6" s="37">
        <f>BDbDT_calcs!N62</f>
        <v>6287.6592591783901</v>
      </c>
      <c r="O6" s="37">
        <f>BDbDT_calcs!O62</f>
        <v>6423.7374620314004</v>
      </c>
      <c r="P6" s="37">
        <f>BDbDT_calcs!P62</f>
        <v>6560.9076107161427</v>
      </c>
      <c r="Q6" s="37">
        <f>BDbDT_calcs!Q62</f>
        <v>6697.9133088408444</v>
      </c>
      <c r="R6" s="37">
        <f>BDbDT_calcs!R62</f>
        <v>6834.1425484431047</v>
      </c>
      <c r="S6" s="37">
        <f>BDbDT_calcs!S62</f>
        <v>6961.7478584160399</v>
      </c>
      <c r="T6" s="37">
        <f>BDbDT_calcs!T62</f>
        <v>7087.242427583943</v>
      </c>
      <c r="U6" s="37">
        <f>BDbDT_calcs!U62</f>
        <v>7209.1174453912954</v>
      </c>
      <c r="V6" s="37">
        <f>BDbDT_calcs!V62</f>
        <v>7327.6471934136862</v>
      </c>
      <c r="W6" s="37">
        <f>BDbDT_calcs!W62</f>
        <v>7442.3731536962823</v>
      </c>
      <c r="X6" s="37">
        <f>BDbDT_calcs!X62</f>
        <v>7553.9557702397169</v>
      </c>
      <c r="Y6" s="37">
        <f>BDbDT_calcs!Y62</f>
        <v>7661.920238764299</v>
      </c>
      <c r="Z6" s="37">
        <f>BDbDT_calcs!Z62</f>
        <v>7766.5241336259915</v>
      </c>
      <c r="AA6" s="37">
        <f>BDbDT_calcs!AA62</f>
        <v>7867.6994644220749</v>
      </c>
      <c r="AB6" s="37">
        <f>BDbDT_calcs!AB62</f>
        <v>7964.8962512029075</v>
      </c>
    </row>
    <row r="7" spans="1:28" x14ac:dyDescent="0.25">
      <c r="A7" s="4" t="s">
        <v>220</v>
      </c>
      <c r="B7" s="37">
        <f>BDbDT_calcs!B63</f>
        <v>1669.9144534347902</v>
      </c>
      <c r="C7" s="37">
        <f>BDbDT_calcs!C63</f>
        <v>1701.2470537880095</v>
      </c>
      <c r="D7" s="37">
        <f>BDbDT_calcs!D63</f>
        <v>1733.9969342938098</v>
      </c>
      <c r="E7" s="37">
        <f>BDbDT_calcs!E63</f>
        <v>1769.9463034099992</v>
      </c>
      <c r="F7" s="37">
        <f>BDbDT_calcs!F63</f>
        <v>1806.16642763804</v>
      </c>
      <c r="G7" s="37">
        <f>BDbDT_calcs!G63</f>
        <v>1845.2355682398063</v>
      </c>
      <c r="H7" s="37">
        <f>BDbDT_calcs!H63</f>
        <v>1885.476075403396</v>
      </c>
      <c r="I7" s="37">
        <f>BDbDT_calcs!I63</f>
        <v>1916.4534425719701</v>
      </c>
      <c r="J7" s="37">
        <f>BDbDT_calcs!J63</f>
        <v>1947.9267714563337</v>
      </c>
      <c r="K7" s="37">
        <f>BDbDT_calcs!K63</f>
        <v>1981.9700950770277</v>
      </c>
      <c r="L7" s="37">
        <f>BDbDT_calcs!L63</f>
        <v>2016.644165559745</v>
      </c>
      <c r="M7" s="37">
        <f>BDbDT_calcs!M63</f>
        <v>2052.5460957425248</v>
      </c>
      <c r="N7" s="37">
        <f>BDbDT_calcs!N63</f>
        <v>2088.7541305546365</v>
      </c>
      <c r="O7" s="37">
        <f>BDbDT_calcs!O63</f>
        <v>2125.421635558876</v>
      </c>
      <c r="P7" s="37">
        <f>BDbDT_calcs!P63</f>
        <v>2163.0896527322698</v>
      </c>
      <c r="Q7" s="37">
        <f>BDbDT_calcs!Q63</f>
        <v>2201.4534380380378</v>
      </c>
      <c r="R7" s="37">
        <f>BDbDT_calcs!R63</f>
        <v>2240.0768148601824</v>
      </c>
      <c r="S7" s="37">
        <f>BDbDT_calcs!S63</f>
        <v>2276.0921675698974</v>
      </c>
      <c r="T7" s="37">
        <f>BDbDT_calcs!T63</f>
        <v>2312.2188600249406</v>
      </c>
      <c r="U7" s="37">
        <f>BDbDT_calcs!U63</f>
        <v>2347.8434927062867</v>
      </c>
      <c r="V7" s="37">
        <f>BDbDT_calcs!V63</f>
        <v>2382.2931059089769</v>
      </c>
      <c r="W7" s="37">
        <f>BDbDT_calcs!W63</f>
        <v>2417.025641276131</v>
      </c>
      <c r="X7" s="37">
        <f>BDbDT_calcs!X63</f>
        <v>2450.8686915418493</v>
      </c>
      <c r="Y7" s="37">
        <f>BDbDT_calcs!Y63</f>
        <v>2484.5204439592053</v>
      </c>
      <c r="Z7" s="37">
        <f>BDbDT_calcs!Z63</f>
        <v>2517.0248503534713</v>
      </c>
      <c r="AA7" s="37">
        <f>BDbDT_calcs!AA63</f>
        <v>2548.7591720846826</v>
      </c>
      <c r="AB7" s="37">
        <f>BDbDT_calcs!AB63</f>
        <v>2580.110260078472</v>
      </c>
    </row>
    <row r="8" spans="1:28" x14ac:dyDescent="0.25">
      <c r="A8" s="4" t="s">
        <v>221</v>
      </c>
      <c r="B8" s="37">
        <f>BDbDT_calcs!B64</f>
        <v>9379.9759533943106</v>
      </c>
      <c r="C8" s="37">
        <f>BDbDT_calcs!C64</f>
        <v>9678.9303341497871</v>
      </c>
      <c r="D8" s="37">
        <f>BDbDT_calcs!D64</f>
        <v>9983.2906204655446</v>
      </c>
      <c r="E8" s="37">
        <f>BDbDT_calcs!E64</f>
        <v>10294.766245753815</v>
      </c>
      <c r="F8" s="37">
        <f>BDbDT_calcs!F64</f>
        <v>10613.484562011337</v>
      </c>
      <c r="G8" s="37">
        <f>BDbDT_calcs!G64</f>
        <v>10940.753973634328</v>
      </c>
      <c r="H8" s="37">
        <f>BDbDT_calcs!H64</f>
        <v>11280.154489754565</v>
      </c>
      <c r="I8" s="37">
        <f>BDbDT_calcs!I64</f>
        <v>11570.978355136449</v>
      </c>
      <c r="J8" s="37">
        <f>BDbDT_calcs!J64</f>
        <v>11867.464214255968</v>
      </c>
      <c r="K8" s="37">
        <f>BDbDT_calcs!K64</f>
        <v>12172.216193694037</v>
      </c>
      <c r="L8" s="37">
        <f>BDbDT_calcs!L64</f>
        <v>12487.134009633917</v>
      </c>
      <c r="M8" s="37">
        <f>BDbDT_calcs!M64</f>
        <v>12808.988920309532</v>
      </c>
      <c r="N8" s="37">
        <f>BDbDT_calcs!N64</f>
        <v>13140.955914196391</v>
      </c>
      <c r="O8" s="37">
        <f>BDbDT_calcs!O64</f>
        <v>13480.669549823444</v>
      </c>
      <c r="P8" s="37">
        <f>BDbDT_calcs!P64</f>
        <v>13827.388036992073</v>
      </c>
      <c r="Q8" s="37">
        <f>BDbDT_calcs!Q64</f>
        <v>14181.578981628265</v>
      </c>
      <c r="R8" s="37">
        <f>BDbDT_calcs!R64</f>
        <v>14540.25002835644</v>
      </c>
      <c r="S8" s="37">
        <f>BDbDT_calcs!S64</f>
        <v>14888.943275363912</v>
      </c>
      <c r="T8" s="37">
        <f>BDbDT_calcs!T64</f>
        <v>15240.765646351001</v>
      </c>
      <c r="U8" s="37">
        <f>BDbDT_calcs!U64</f>
        <v>15594.587900739356</v>
      </c>
      <c r="V8" s="37">
        <f>BDbDT_calcs!V64</f>
        <v>15948.243343562526</v>
      </c>
      <c r="W8" s="37">
        <f>BDbDT_calcs!W64</f>
        <v>16299.477384315893</v>
      </c>
      <c r="X8" s="37">
        <f>BDbDT_calcs!X64</f>
        <v>16650.218550940317</v>
      </c>
      <c r="Y8" s="37">
        <f>BDbDT_calcs!Y64</f>
        <v>16997.0667233612</v>
      </c>
      <c r="Z8" s="37">
        <f>BDbDT_calcs!Z64</f>
        <v>17339.775646937687</v>
      </c>
      <c r="AA8" s="37">
        <f>BDbDT_calcs!AA64</f>
        <v>17674.456923915961</v>
      </c>
      <c r="AB8" s="37">
        <f>BDbDT_calcs!AB64</f>
        <v>18000.674437988404</v>
      </c>
    </row>
    <row r="9" spans="1:28" x14ac:dyDescent="0.25">
      <c r="A9" s="4" t="s">
        <v>222</v>
      </c>
      <c r="B9" s="37">
        <f>BDbDT_calcs!B65</f>
        <v>99996.673057273525</v>
      </c>
      <c r="C9" s="37">
        <f>BDbDT_calcs!C65</f>
        <v>101184.46837019673</v>
      </c>
      <c r="D9" s="37">
        <f>BDbDT_calcs!D65</f>
        <v>102356.52874474751</v>
      </c>
      <c r="E9" s="37">
        <f>BDbDT_calcs!E65</f>
        <v>103545.98783132766</v>
      </c>
      <c r="F9" s="37">
        <f>BDbDT_calcs!F65</f>
        <v>104773.2241615884</v>
      </c>
      <c r="G9" s="37">
        <f>BDbDT_calcs!G65</f>
        <v>106041.45450475778</v>
      </c>
      <c r="H9" s="37">
        <f>BDbDT_calcs!H65</f>
        <v>107347.96400021641</v>
      </c>
      <c r="I9" s="37">
        <f>BDbDT_calcs!I65</f>
        <v>108115.05837978914</v>
      </c>
      <c r="J9" s="37">
        <f>BDbDT_calcs!J65</f>
        <v>108890.19031402069</v>
      </c>
      <c r="K9" s="37">
        <f>BDbDT_calcs!K65</f>
        <v>109654.44156083062</v>
      </c>
      <c r="L9" s="37">
        <f>BDbDT_calcs!L65</f>
        <v>110399.34098754026</v>
      </c>
      <c r="M9" s="37">
        <f>BDbDT_calcs!M65</f>
        <v>111123.5500758767</v>
      </c>
      <c r="N9" s="37">
        <f>BDbDT_calcs!N65</f>
        <v>111804.76485255735</v>
      </c>
      <c r="O9" s="37">
        <f>BDbDT_calcs!O65</f>
        <v>112431.3950491287</v>
      </c>
      <c r="P9" s="37">
        <f>BDbDT_calcs!P65</f>
        <v>112994.07444359318</v>
      </c>
      <c r="Q9" s="37">
        <f>BDbDT_calcs!Q65</f>
        <v>113474.98465399731</v>
      </c>
      <c r="R9" s="37">
        <f>BDbDT_calcs!R65</f>
        <v>113863.85368809715</v>
      </c>
      <c r="S9" s="37">
        <f>BDbDT_calcs!S65</f>
        <v>114041.74488813731</v>
      </c>
      <c r="T9" s="37">
        <f>BDbDT_calcs!T65</f>
        <v>114111.21126648303</v>
      </c>
      <c r="U9" s="37">
        <f>BDbDT_calcs!U65</f>
        <v>114072.76146730006</v>
      </c>
      <c r="V9" s="37">
        <f>BDbDT_calcs!V65</f>
        <v>113900.19105794007</v>
      </c>
      <c r="W9" s="37">
        <f>BDbDT_calcs!W65</f>
        <v>113588.88030172673</v>
      </c>
      <c r="X9" s="37">
        <f>BDbDT_calcs!X65</f>
        <v>113138.999569962</v>
      </c>
      <c r="Y9" s="37">
        <f>BDbDT_calcs!Y65</f>
        <v>112612.90580736555</v>
      </c>
      <c r="Z9" s="37">
        <f>BDbDT_calcs!Z65</f>
        <v>111960.69439684573</v>
      </c>
      <c r="AA9" s="37">
        <f>BDbDT_calcs!AA65</f>
        <v>111182.33546251364</v>
      </c>
      <c r="AB9" s="37">
        <f>BDbDT_calcs!AB65</f>
        <v>110287.2435357497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2026-08-17T20:28:43Z</dcterms:modified>
</cp:coreProperties>
</file>