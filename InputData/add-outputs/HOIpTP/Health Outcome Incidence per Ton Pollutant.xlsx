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L\add-outputs\HOIpTP\"/>
    </mc:Choice>
  </mc:AlternateContent>
  <xr:revisionPtr revIDLastSave="0" documentId="8_{F5D87B1A-49B3-49A5-B3DA-519F7F91195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J15" i="19"/>
  <c r="B15" i="19"/>
  <c r="X15" i="19" s="1"/>
  <c r="B14" i="19"/>
  <c r="AA14" i="19" s="1"/>
  <c r="Y13" i="19"/>
  <c r="P13" i="19"/>
  <c r="B13" i="19"/>
  <c r="J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AA8" i="19"/>
  <c r="W8" i="19"/>
  <c r="Q8" i="19"/>
  <c r="K8" i="19"/>
  <c r="F8" i="19"/>
  <c r="B8" i="19"/>
  <c r="L8" i="19" s="1"/>
  <c r="U7" i="19"/>
  <c r="L7" i="19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J3" i="19"/>
  <c r="B3" i="19"/>
  <c r="AB2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R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Y14" i="18"/>
  <c r="U14" i="18"/>
  <c r="R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F8" i="18"/>
  <c r="B8" i="18"/>
  <c r="W8" i="18" s="1"/>
  <c r="AB7" i="18"/>
  <c r="AA7" i="18"/>
  <c r="H7" i="18"/>
  <c r="D7" i="18"/>
  <c r="B7" i="18"/>
  <c r="G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I3" i="18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A17" i="17"/>
  <c r="Y17" i="17"/>
  <c r="X17" i="17"/>
  <c r="R17" i="17"/>
  <c r="E17" i="17"/>
  <c r="B17" i="17"/>
  <c r="AB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F8" i="17"/>
  <c r="D8" i="17"/>
  <c r="C8" i="17"/>
  <c r="B8" i="17"/>
  <c r="AB8" i="17" s="1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B16" i="16"/>
  <c r="AA15" i="16"/>
  <c r="X15" i="16"/>
  <c r="B15" i="16"/>
  <c r="Y15" i="16" s="1"/>
  <c r="G14" i="16"/>
  <c r="B14" i="16"/>
  <c r="AB14" i="16" s="1"/>
  <c r="X13" i="16"/>
  <c r="W13" i="16"/>
  <c r="J13" i="16"/>
  <c r="D13" i="16"/>
  <c r="B13" i="16"/>
  <c r="Y12" i="16"/>
  <c r="W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S7" i="16"/>
  <c r="C7" i="16"/>
  <c r="B7" i="16"/>
  <c r="W6" i="16"/>
  <c r="T6" i="16"/>
  <c r="Q6" i="16"/>
  <c r="N6" i="16"/>
  <c r="M6" i="16"/>
  <c r="L6" i="16"/>
  <c r="J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AA2" i="16"/>
  <c r="T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S15" i="15"/>
  <c r="B15" i="15"/>
  <c r="O14" i="15"/>
  <c r="N14" i="15"/>
  <c r="M14" i="15"/>
  <c r="D14" i="15"/>
  <c r="B14" i="15"/>
  <c r="AB14" i="15" s="1"/>
  <c r="W13" i="15"/>
  <c r="V13" i="15"/>
  <c r="T13" i="15"/>
  <c r="S13" i="15"/>
  <c r="R13" i="15"/>
  <c r="Q13" i="15"/>
  <c r="O13" i="15"/>
  <c r="N13" i="15"/>
  <c r="L13" i="15"/>
  <c r="K13" i="15"/>
  <c r="J13" i="15"/>
  <c r="H13" i="15"/>
  <c r="G13" i="15"/>
  <c r="F13" i="15"/>
  <c r="D13" i="15"/>
  <c r="B13" i="15"/>
  <c r="P13" i="15" s="1"/>
  <c r="X12" i="15"/>
  <c r="W12" i="15"/>
  <c r="T12" i="15"/>
  <c r="S12" i="15"/>
  <c r="R12" i="15"/>
  <c r="Q12" i="15"/>
  <c r="P12" i="15"/>
  <c r="N12" i="15"/>
  <c r="L12" i="15"/>
  <c r="J12" i="15"/>
  <c r="I12" i="15"/>
  <c r="H12" i="15"/>
  <c r="D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Z8" i="15"/>
  <c r="R8" i="15"/>
  <c r="J8" i="15"/>
  <c r="D8" i="15"/>
  <c r="B8" i="15"/>
  <c r="AA7" i="15"/>
  <c r="Y7" i="15"/>
  <c r="O7" i="15"/>
  <c r="N7" i="15"/>
  <c r="M7" i="15"/>
  <c r="L7" i="15"/>
  <c r="J7" i="15"/>
  <c r="H7" i="15"/>
  <c r="F7" i="15"/>
  <c r="E7" i="15"/>
  <c r="D7" i="15"/>
  <c r="B7" i="15"/>
  <c r="AB7" i="15" s="1"/>
  <c r="AA6" i="15"/>
  <c r="V6" i="15"/>
  <c r="U6" i="15"/>
  <c r="T6" i="15"/>
  <c r="S6" i="15"/>
  <c r="R6" i="15"/>
  <c r="Q6" i="15"/>
  <c r="P6" i="15"/>
  <c r="O6" i="15"/>
  <c r="M6" i="15"/>
  <c r="L6" i="15"/>
  <c r="K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W3" i="15"/>
  <c r="U3" i="15"/>
  <c r="N3" i="15"/>
  <c r="I3" i="15"/>
  <c r="C3" i="15"/>
  <c r="B3" i="15"/>
  <c r="Q3" i="15" s="1"/>
  <c r="B2" i="15"/>
  <c r="L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B17" i="14"/>
  <c r="M17" i="14" s="1"/>
  <c r="H16" i="14"/>
  <c r="B16" i="14"/>
  <c r="K15" i="14"/>
  <c r="H15" i="14"/>
  <c r="C15" i="14"/>
  <c r="B15" i="14"/>
  <c r="AB14" i="14"/>
  <c r="S14" i="14"/>
  <c r="R14" i="14"/>
  <c r="B14" i="14"/>
  <c r="Y14" i="14" s="1"/>
  <c r="G13" i="14"/>
  <c r="B13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W7" i="14"/>
  <c r="S7" i="14"/>
  <c r="R7" i="14"/>
  <c r="I7" i="14"/>
  <c r="D7" i="14"/>
  <c r="C7" i="14"/>
  <c r="B7" i="14"/>
  <c r="Q6" i="14"/>
  <c r="P6" i="14"/>
  <c r="N6" i="14"/>
  <c r="G6" i="14"/>
  <c r="E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W3" i="14"/>
  <c r="V3" i="14"/>
  <c r="T3" i="14"/>
  <c r="N3" i="14"/>
  <c r="M3" i="14"/>
  <c r="K3" i="14"/>
  <c r="I3" i="14"/>
  <c r="B3" i="14"/>
  <c r="Y3" i="14" s="1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E17" i="13"/>
  <c r="C17" i="13"/>
  <c r="B17" i="13"/>
  <c r="F17" i="13" s="1"/>
  <c r="U16" i="13"/>
  <c r="T16" i="13"/>
  <c r="H16" i="13"/>
  <c r="G16" i="13"/>
  <c r="B16" i="13"/>
  <c r="AA16" i="13" s="1"/>
  <c r="AA15" i="13"/>
  <c r="Z15" i="13"/>
  <c r="R15" i="13"/>
  <c r="P15" i="13"/>
  <c r="O15" i="13"/>
  <c r="M15" i="13"/>
  <c r="C15" i="13"/>
  <c r="B15" i="13"/>
  <c r="Y15" i="13" s="1"/>
  <c r="L14" i="13"/>
  <c r="F14" i="13"/>
  <c r="B14" i="13"/>
  <c r="Y13" i="13"/>
  <c r="X13" i="13"/>
  <c r="O13" i="13"/>
  <c r="H13" i="13"/>
  <c r="G13" i="13"/>
  <c r="B13" i="13"/>
  <c r="W12" i="13"/>
  <c r="R12" i="13"/>
  <c r="O12" i="13"/>
  <c r="L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AB7" i="13"/>
  <c r="AA7" i="13"/>
  <c r="Z7" i="13"/>
  <c r="X7" i="13"/>
  <c r="W7" i="13"/>
  <c r="U7" i="13"/>
  <c r="S7" i="13"/>
  <c r="R7" i="13"/>
  <c r="N7" i="13"/>
  <c r="M7" i="13"/>
  <c r="L7" i="13"/>
  <c r="I7" i="13"/>
  <c r="G7" i="13"/>
  <c r="F7" i="13"/>
  <c r="E7" i="13"/>
  <c r="D7" i="13"/>
  <c r="C7" i="13"/>
  <c r="B7" i="13"/>
  <c r="Y7" i="13" s="1"/>
  <c r="B6" i="13"/>
  <c r="Z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W3" i="13"/>
  <c r="V3" i="13"/>
  <c r="N3" i="13"/>
  <c r="M3" i="13"/>
  <c r="K3" i="13"/>
  <c r="J3" i="13"/>
  <c r="I3" i="13"/>
  <c r="F3" i="13"/>
  <c r="E3" i="13"/>
  <c r="C3" i="13"/>
  <c r="B3" i="13"/>
  <c r="AA3" i="13" s="1"/>
  <c r="AB2" i="13"/>
  <c r="Y2" i="13"/>
  <c r="X2" i="13"/>
  <c r="V2" i="13"/>
  <c r="R2" i="13"/>
  <c r="O2" i="13"/>
  <c r="M2" i="13"/>
  <c r="L2" i="13"/>
  <c r="I2" i="13"/>
  <c r="H2" i="13"/>
  <c r="G2" i="13"/>
  <c r="F2" i="13"/>
  <c r="E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B17" i="12"/>
  <c r="AB16" i="12"/>
  <c r="AA16" i="12"/>
  <c r="Z16" i="12"/>
  <c r="J16" i="12"/>
  <c r="C16" i="12"/>
  <c r="B16" i="12"/>
  <c r="AB15" i="12"/>
  <c r="Z15" i="12"/>
  <c r="O15" i="12"/>
  <c r="M15" i="12"/>
  <c r="B15" i="12"/>
  <c r="AB14" i="12"/>
  <c r="X14" i="12"/>
  <c r="W14" i="12"/>
  <c r="V14" i="12"/>
  <c r="R14" i="12"/>
  <c r="Q14" i="12"/>
  <c r="K14" i="12"/>
  <c r="B14" i="12"/>
  <c r="L14" i="12" s="1"/>
  <c r="B13" i="12"/>
  <c r="H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AA8" i="12"/>
  <c r="Z8" i="12"/>
  <c r="Y8" i="12"/>
  <c r="W8" i="12"/>
  <c r="V8" i="12"/>
  <c r="S8" i="12"/>
  <c r="R8" i="12"/>
  <c r="Q8" i="12"/>
  <c r="P8" i="12"/>
  <c r="M8" i="12"/>
  <c r="J8" i="12"/>
  <c r="I8" i="12"/>
  <c r="H8" i="12"/>
  <c r="G8" i="12"/>
  <c r="F8" i="12"/>
  <c r="D8" i="12"/>
  <c r="C8" i="12"/>
  <c r="B8" i="12"/>
  <c r="X8" i="12" s="1"/>
  <c r="AB7" i="12"/>
  <c r="AA7" i="12"/>
  <c r="F7" i="12"/>
  <c r="E7" i="12"/>
  <c r="B7" i="12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P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B17" i="11"/>
  <c r="J17" i="11" s="1"/>
  <c r="AB16" i="11"/>
  <c r="Y16" i="11"/>
  <c r="W16" i="11"/>
  <c r="V16" i="11"/>
  <c r="D16" i="11"/>
  <c r="B16" i="11"/>
  <c r="AA16" i="11" s="1"/>
  <c r="W15" i="11"/>
  <c r="R15" i="11"/>
  <c r="B15" i="11"/>
  <c r="R14" i="11"/>
  <c r="Q14" i="11"/>
  <c r="M14" i="11"/>
  <c r="L14" i="11"/>
  <c r="G14" i="11"/>
  <c r="F14" i="11"/>
  <c r="E14" i="11"/>
  <c r="B14" i="11"/>
  <c r="AB13" i="11"/>
  <c r="AA13" i="11"/>
  <c r="Z13" i="11"/>
  <c r="Y13" i="11"/>
  <c r="X13" i="11"/>
  <c r="V13" i="11"/>
  <c r="U13" i="11"/>
  <c r="R13" i="11"/>
  <c r="Q13" i="11"/>
  <c r="M13" i="11"/>
  <c r="K13" i="11"/>
  <c r="J13" i="11"/>
  <c r="B13" i="11"/>
  <c r="L13" i="11" s="1"/>
  <c r="AB12" i="11"/>
  <c r="Z12" i="11"/>
  <c r="T12" i="11"/>
  <c r="P12" i="11"/>
  <c r="O12" i="11"/>
  <c r="K12" i="11"/>
  <c r="J12" i="11"/>
  <c r="G12" i="11"/>
  <c r="F12" i="11"/>
  <c r="E12" i="11"/>
  <c r="B12" i="11"/>
  <c r="X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I8" i="11" s="1"/>
  <c r="B7" i="11"/>
  <c r="AA7" i="11" s="1"/>
  <c r="X6" i="11"/>
  <c r="T6" i="11"/>
  <c r="Q6" i="11"/>
  <c r="P6" i="11"/>
  <c r="L6" i="11"/>
  <c r="K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Q3" i="11"/>
  <c r="P3" i="11"/>
  <c r="L3" i="11"/>
  <c r="K3" i="11"/>
  <c r="I3" i="11"/>
  <c r="H3" i="11"/>
  <c r="E3" i="11"/>
  <c r="D3" i="11"/>
  <c r="C3" i="11"/>
  <c r="B3" i="11"/>
  <c r="U3" i="11" s="1"/>
  <c r="Q2" i="11"/>
  <c r="B2" i="11"/>
  <c r="G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Y15" i="10"/>
  <c r="W15" i="10"/>
  <c r="V15" i="10"/>
  <c r="U15" i="10"/>
  <c r="T15" i="10"/>
  <c r="R15" i="10"/>
  <c r="Q15" i="10"/>
  <c r="P15" i="10"/>
  <c r="O15" i="10"/>
  <c r="M15" i="10"/>
  <c r="L15" i="10"/>
  <c r="K15" i="10"/>
  <c r="H15" i="10"/>
  <c r="C15" i="10"/>
  <c r="B15" i="10"/>
  <c r="AA14" i="10"/>
  <c r="Z14" i="10"/>
  <c r="Y14" i="10"/>
  <c r="W14" i="10"/>
  <c r="V14" i="10"/>
  <c r="U14" i="10"/>
  <c r="T14" i="10"/>
  <c r="S14" i="10"/>
  <c r="R14" i="10"/>
  <c r="P14" i="10"/>
  <c r="O14" i="10"/>
  <c r="N14" i="10"/>
  <c r="L14" i="10"/>
  <c r="J14" i="10"/>
  <c r="I14" i="10"/>
  <c r="G14" i="10"/>
  <c r="F14" i="10"/>
  <c r="D14" i="10"/>
  <c r="B14" i="10"/>
  <c r="B13" i="10"/>
  <c r="AA12" i="10"/>
  <c r="Z12" i="10"/>
  <c r="G12" i="10"/>
  <c r="B12" i="10"/>
  <c r="AB12" i="10" s="1"/>
  <c r="C11" i="10"/>
  <c r="B11" i="10"/>
  <c r="B10" i="10"/>
  <c r="B9" i="10"/>
  <c r="AB8" i="10"/>
  <c r="N8" i="10"/>
  <c r="K8" i="10"/>
  <c r="B8" i="10"/>
  <c r="B7" i="10"/>
  <c r="X7" i="10" s="1"/>
  <c r="AA6" i="10"/>
  <c r="R6" i="10"/>
  <c r="L6" i="10"/>
  <c r="H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Y2" i="10"/>
  <c r="X2" i="10"/>
  <c r="U2" i="10"/>
  <c r="P2" i="10"/>
  <c r="M2" i="10"/>
  <c r="L2" i="10"/>
  <c r="K2" i="10"/>
  <c r="J2" i="10"/>
  <c r="H2" i="10"/>
  <c r="G2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U17" i="9"/>
  <c r="T17" i="9"/>
  <c r="S17" i="9"/>
  <c r="R17" i="9"/>
  <c r="Q17" i="9"/>
  <c r="P17" i="9"/>
  <c r="M17" i="9"/>
  <c r="F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AA14" i="9"/>
  <c r="Z14" i="9"/>
  <c r="Y14" i="9"/>
  <c r="W14" i="9"/>
  <c r="V14" i="9"/>
  <c r="U14" i="9"/>
  <c r="T14" i="9"/>
  <c r="S14" i="9"/>
  <c r="R14" i="9"/>
  <c r="P14" i="9"/>
  <c r="O14" i="9"/>
  <c r="N14" i="9"/>
  <c r="L14" i="9"/>
  <c r="J14" i="9"/>
  <c r="I14" i="9"/>
  <c r="D14" i="9"/>
  <c r="B14" i="9"/>
  <c r="AA13" i="9"/>
  <c r="Z13" i="9"/>
  <c r="Y13" i="9"/>
  <c r="X13" i="9"/>
  <c r="W13" i="9"/>
  <c r="S13" i="9"/>
  <c r="M13" i="9"/>
  <c r="D13" i="9"/>
  <c r="C13" i="9"/>
  <c r="B13" i="9"/>
  <c r="Q13" i="9" s="1"/>
  <c r="AB12" i="9"/>
  <c r="Z12" i="9"/>
  <c r="Y12" i="9"/>
  <c r="W12" i="9"/>
  <c r="U12" i="9"/>
  <c r="O12" i="9"/>
  <c r="J12" i="9"/>
  <c r="B12" i="9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B8" i="9"/>
  <c r="AB7" i="9"/>
  <c r="W7" i="9"/>
  <c r="U7" i="9"/>
  <c r="T7" i="9"/>
  <c r="R7" i="9"/>
  <c r="P7" i="9"/>
  <c r="N7" i="9"/>
  <c r="M7" i="9"/>
  <c r="L7" i="9"/>
  <c r="J7" i="9"/>
  <c r="I7" i="9"/>
  <c r="B7" i="9"/>
  <c r="X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P15" i="8"/>
  <c r="O15" i="8"/>
  <c r="M15" i="8"/>
  <c r="L15" i="8"/>
  <c r="J15" i="8"/>
  <c r="H15" i="8"/>
  <c r="G15" i="8"/>
  <c r="F15" i="8"/>
  <c r="E15" i="8"/>
  <c r="B15" i="8"/>
  <c r="AA14" i="8"/>
  <c r="Y14" i="8"/>
  <c r="W14" i="8"/>
  <c r="O14" i="8"/>
  <c r="N14" i="8"/>
  <c r="K14" i="8"/>
  <c r="J14" i="8"/>
  <c r="I14" i="8"/>
  <c r="H14" i="8"/>
  <c r="F14" i="8"/>
  <c r="B14" i="8"/>
  <c r="AB14" i="8" s="1"/>
  <c r="B13" i="8"/>
  <c r="C13" i="8" s="1"/>
  <c r="AB12" i="8"/>
  <c r="AA12" i="8"/>
  <c r="Y12" i="8"/>
  <c r="X12" i="8"/>
  <c r="V12" i="8"/>
  <c r="U12" i="8"/>
  <c r="S12" i="8"/>
  <c r="R12" i="8"/>
  <c r="Q12" i="8"/>
  <c r="O12" i="8"/>
  <c r="N12" i="8"/>
  <c r="H12" i="8"/>
  <c r="E12" i="8"/>
  <c r="D12" i="8"/>
  <c r="C12" i="8"/>
  <c r="B12" i="8"/>
  <c r="Z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L8" i="8"/>
  <c r="H8" i="8"/>
  <c r="B8" i="8"/>
  <c r="M8" i="8" s="1"/>
  <c r="Z7" i="8"/>
  <c r="Y7" i="8"/>
  <c r="B7" i="8"/>
  <c r="Q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H3" i="8"/>
  <c r="G3" i="8"/>
  <c r="D3" i="8"/>
  <c r="C3" i="8"/>
  <c r="B3" i="8"/>
  <c r="J3" i="8" s="1"/>
  <c r="AA2" i="8"/>
  <c r="Z2" i="8"/>
  <c r="W2" i="8"/>
  <c r="V2" i="8"/>
  <c r="U2" i="8"/>
  <c r="T2" i="8"/>
  <c r="S2" i="8"/>
  <c r="R2" i="8"/>
  <c r="M2" i="8"/>
  <c r="L2" i="8"/>
  <c r="K2" i="8"/>
  <c r="I2" i="8"/>
  <c r="G2" i="8"/>
  <c r="F2" i="8"/>
  <c r="C2" i="8"/>
  <c r="B2" i="8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Z17" i="7"/>
  <c r="V17" i="7"/>
  <c r="U17" i="7"/>
  <c r="T17" i="7"/>
  <c r="L17" i="7"/>
  <c r="B17" i="7"/>
  <c r="AA17" i="7" s="1"/>
  <c r="N16" i="7"/>
  <c r="M16" i="7"/>
  <c r="L16" i="7"/>
  <c r="J16" i="7"/>
  <c r="H16" i="7"/>
  <c r="G16" i="7"/>
  <c r="B16" i="7"/>
  <c r="AA16" i="7" s="1"/>
  <c r="AB15" i="7"/>
  <c r="Z15" i="7"/>
  <c r="T15" i="7"/>
  <c r="S15" i="7"/>
  <c r="Q15" i="7"/>
  <c r="P15" i="7"/>
  <c r="J15" i="7"/>
  <c r="I15" i="7"/>
  <c r="H15" i="7"/>
  <c r="G15" i="7"/>
  <c r="E15" i="7"/>
  <c r="D15" i="7"/>
  <c r="C15" i="7"/>
  <c r="B15" i="7"/>
  <c r="AA15" i="7" s="1"/>
  <c r="R14" i="7"/>
  <c r="Q14" i="7"/>
  <c r="O14" i="7"/>
  <c r="N14" i="7"/>
  <c r="M14" i="7"/>
  <c r="B14" i="7"/>
  <c r="I14" i="7" s="1"/>
  <c r="B13" i="7"/>
  <c r="H13" i="7" s="1"/>
  <c r="AB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T8" i="7"/>
  <c r="R8" i="7"/>
  <c r="Q8" i="7"/>
  <c r="P8" i="7"/>
  <c r="N8" i="7"/>
  <c r="B8" i="7"/>
  <c r="K8" i="7" s="1"/>
  <c r="AB7" i="7"/>
  <c r="AA7" i="7"/>
  <c r="Y7" i="7"/>
  <c r="W7" i="7"/>
  <c r="V7" i="7"/>
  <c r="U7" i="7"/>
  <c r="S7" i="7"/>
  <c r="R7" i="7"/>
  <c r="P7" i="7"/>
  <c r="N7" i="7"/>
  <c r="M7" i="7"/>
  <c r="K7" i="7"/>
  <c r="J7" i="7"/>
  <c r="B7" i="7"/>
  <c r="Z7" i="7" s="1"/>
  <c r="B6" i="7"/>
  <c r="AB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Z3" i="7"/>
  <c r="V3" i="7"/>
  <c r="T3" i="7"/>
  <c r="S3" i="7"/>
  <c r="P3" i="7"/>
  <c r="O3" i="7"/>
  <c r="N3" i="7"/>
  <c r="M3" i="7"/>
  <c r="L3" i="7"/>
  <c r="K3" i="7"/>
  <c r="J3" i="7"/>
  <c r="B3" i="7"/>
  <c r="N2" i="7"/>
  <c r="M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Z17" i="6"/>
  <c r="X17" i="6"/>
  <c r="T17" i="6"/>
  <c r="S17" i="6"/>
  <c r="R17" i="6"/>
  <c r="B17" i="6"/>
  <c r="D17" i="6" s="1"/>
  <c r="E16" i="6"/>
  <c r="D16" i="6"/>
  <c r="C16" i="6"/>
  <c r="B16" i="6"/>
  <c r="Z15" i="6"/>
  <c r="Y15" i="6"/>
  <c r="W15" i="6"/>
  <c r="U15" i="6"/>
  <c r="T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D15" i="6"/>
  <c r="B15" i="6"/>
  <c r="AB14" i="6"/>
  <c r="Y14" i="6"/>
  <c r="X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F14" i="6"/>
  <c r="E14" i="6"/>
  <c r="D14" i="6"/>
  <c r="C14" i="6"/>
  <c r="B14" i="6"/>
  <c r="R13" i="6"/>
  <c r="Q13" i="6"/>
  <c r="O13" i="6"/>
  <c r="N13" i="6"/>
  <c r="M13" i="6"/>
  <c r="K13" i="6"/>
  <c r="I13" i="6"/>
  <c r="B13" i="6"/>
  <c r="G13" i="6" s="1"/>
  <c r="W12" i="6"/>
  <c r="V12" i="6"/>
  <c r="U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B8" i="6"/>
  <c r="AB8" i="6" s="1"/>
  <c r="B7" i="6"/>
  <c r="J7" i="6" s="1"/>
  <c r="AB6" i="6"/>
  <c r="AA6" i="6"/>
  <c r="I6" i="6"/>
  <c r="E6" i="6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X17" i="5"/>
  <c r="W17" i="5"/>
  <c r="U17" i="5"/>
  <c r="T17" i="5"/>
  <c r="S17" i="5"/>
  <c r="R17" i="5"/>
  <c r="Q17" i="5"/>
  <c r="B17" i="5"/>
  <c r="V17" i="5" s="1"/>
  <c r="B16" i="5"/>
  <c r="AA15" i="5"/>
  <c r="Z15" i="5"/>
  <c r="Y15" i="5"/>
  <c r="W15" i="5"/>
  <c r="U15" i="5"/>
  <c r="T15" i="5"/>
  <c r="S15" i="5"/>
  <c r="R15" i="5"/>
  <c r="Q15" i="5"/>
  <c r="P15" i="5"/>
  <c r="N15" i="5"/>
  <c r="M15" i="5"/>
  <c r="L15" i="5"/>
  <c r="K15" i="5"/>
  <c r="G15" i="5"/>
  <c r="B15" i="5"/>
  <c r="C15" i="5" s="1"/>
  <c r="B14" i="5"/>
  <c r="D14" i="5" s="1"/>
  <c r="Z13" i="5"/>
  <c r="Y13" i="5"/>
  <c r="X13" i="5"/>
  <c r="R13" i="5"/>
  <c r="M13" i="5"/>
  <c r="I13" i="5"/>
  <c r="H13" i="5"/>
  <c r="G13" i="5"/>
  <c r="F13" i="5"/>
  <c r="B13" i="5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W6" i="5"/>
  <c r="R6" i="5"/>
  <c r="M6" i="5"/>
  <c r="K6" i="5"/>
  <c r="J6" i="5"/>
  <c r="I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S3" i="5"/>
  <c r="Q3" i="5"/>
  <c r="N3" i="5"/>
  <c r="M3" i="5"/>
  <c r="B3" i="5"/>
  <c r="W3" i="5" s="1"/>
  <c r="B2" i="5"/>
  <c r="C2" i="5" s="1"/>
  <c r="B2" i="1"/>
  <c r="E13" i="7" l="1"/>
  <c r="E7" i="11"/>
  <c r="F2" i="15"/>
  <c r="F7" i="11"/>
  <c r="O7" i="11"/>
  <c r="G6" i="13"/>
  <c r="Q2" i="14"/>
  <c r="G2" i="14"/>
  <c r="E2" i="14"/>
  <c r="AB2" i="14"/>
  <c r="AA2" i="14"/>
  <c r="Y2" i="14"/>
  <c r="U2" i="14"/>
  <c r="Z2" i="14"/>
  <c r="X2" i="14"/>
  <c r="R2" i="14"/>
  <c r="P2" i="14"/>
  <c r="O2" i="14"/>
  <c r="M2" i="14"/>
  <c r="L2" i="14"/>
  <c r="F2" i="14"/>
  <c r="M2" i="15"/>
  <c r="W2" i="18"/>
  <c r="Z2" i="18"/>
  <c r="X2" i="18"/>
  <c r="S2" i="18"/>
  <c r="R2" i="18"/>
  <c r="O2" i="18"/>
  <c r="N2" i="18"/>
  <c r="M2" i="18"/>
  <c r="L2" i="18"/>
  <c r="J2" i="18"/>
  <c r="G2" i="18"/>
  <c r="F2" i="18"/>
  <c r="D2" i="18"/>
  <c r="Y2" i="18"/>
  <c r="V2" i="18"/>
  <c r="U2" i="18"/>
  <c r="P2" i="18"/>
  <c r="E2" i="5"/>
  <c r="O15" i="5"/>
  <c r="P13" i="6"/>
  <c r="AA17" i="6"/>
  <c r="H6" i="7"/>
  <c r="Q7" i="7"/>
  <c r="U8" i="7"/>
  <c r="I13" i="7"/>
  <c r="S14" i="7"/>
  <c r="L14" i="8"/>
  <c r="P7" i="11"/>
  <c r="M6" i="13"/>
  <c r="V2" i="14"/>
  <c r="N2" i="15"/>
  <c r="K2" i="18"/>
  <c r="F13" i="7"/>
  <c r="F13" i="8"/>
  <c r="V13" i="8"/>
  <c r="S13" i="8"/>
  <c r="P13" i="8"/>
  <c r="R13" i="8"/>
  <c r="Q13" i="8"/>
  <c r="O13" i="8"/>
  <c r="N13" i="8"/>
  <c r="E13" i="8"/>
  <c r="AB17" i="6"/>
  <c r="I6" i="7"/>
  <c r="V8" i="7"/>
  <c r="J13" i="7"/>
  <c r="T14" i="7"/>
  <c r="G13" i="8"/>
  <c r="S7" i="11"/>
  <c r="O6" i="13"/>
  <c r="E2" i="15"/>
  <c r="N6" i="7"/>
  <c r="W8" i="7"/>
  <c r="K13" i="7"/>
  <c r="F13" i="10"/>
  <c r="AA13" i="10"/>
  <c r="Z13" i="10"/>
  <c r="Y13" i="10"/>
  <c r="H13" i="10"/>
  <c r="T7" i="11"/>
  <c r="U3" i="12"/>
  <c r="M3" i="12"/>
  <c r="K3" i="12"/>
  <c r="J3" i="12"/>
  <c r="G3" i="12"/>
  <c r="AA3" i="12"/>
  <c r="Z3" i="12"/>
  <c r="Y3" i="12"/>
  <c r="L3" i="12"/>
  <c r="I3" i="12"/>
  <c r="R12" i="7"/>
  <c r="N12" i="7"/>
  <c r="L12" i="7"/>
  <c r="K12" i="7"/>
  <c r="J12" i="7"/>
  <c r="AB14" i="7"/>
  <c r="H13" i="8"/>
  <c r="N7" i="5"/>
  <c r="P6" i="6"/>
  <c r="O6" i="6"/>
  <c r="N6" i="6"/>
  <c r="M6" i="6"/>
  <c r="X12" i="6"/>
  <c r="R12" i="6"/>
  <c r="N12" i="6"/>
  <c r="O12" i="6"/>
  <c r="L12" i="6"/>
  <c r="K12" i="6"/>
  <c r="O6" i="7"/>
  <c r="Y8" i="7"/>
  <c r="C12" i="7"/>
  <c r="M13" i="7"/>
  <c r="X15" i="7"/>
  <c r="U15" i="7"/>
  <c r="R15" i="7"/>
  <c r="Y15" i="7"/>
  <c r="W15" i="7"/>
  <c r="V15" i="7"/>
  <c r="I13" i="8"/>
  <c r="V14" i="8"/>
  <c r="D13" i="10"/>
  <c r="Z7" i="11"/>
  <c r="F3" i="12"/>
  <c r="Y2" i="7"/>
  <c r="O2" i="7"/>
  <c r="L2" i="7"/>
  <c r="Q6" i="7"/>
  <c r="Z8" i="7"/>
  <c r="E12" i="7"/>
  <c r="N13" i="7"/>
  <c r="J13" i="8"/>
  <c r="M13" i="10"/>
  <c r="N3" i="12"/>
  <c r="U7" i="5"/>
  <c r="O14" i="5"/>
  <c r="W8" i="9"/>
  <c r="G8" i="9"/>
  <c r="X8" i="9"/>
  <c r="S8" i="9"/>
  <c r="O8" i="9"/>
  <c r="N8" i="9"/>
  <c r="L8" i="9"/>
  <c r="M8" i="9"/>
  <c r="K8" i="9"/>
  <c r="I8" i="9"/>
  <c r="Y8" i="9"/>
  <c r="P13" i="10"/>
  <c r="Q6" i="17"/>
  <c r="M6" i="17"/>
  <c r="L6" i="17"/>
  <c r="G6" i="17"/>
  <c r="E6" i="17"/>
  <c r="C6" i="17"/>
  <c r="AA8" i="7"/>
  <c r="F12" i="7"/>
  <c r="T13" i="7"/>
  <c r="X7" i="5"/>
  <c r="V14" i="5"/>
  <c r="J6" i="6"/>
  <c r="P12" i="6"/>
  <c r="C17" i="6"/>
  <c r="H2" i="7"/>
  <c r="S6" i="7"/>
  <c r="C8" i="9"/>
  <c r="T3" i="12"/>
  <c r="V7" i="17"/>
  <c r="T7" i="17"/>
  <c r="R7" i="17"/>
  <c r="K7" i="17"/>
  <c r="J7" i="17"/>
  <c r="G7" i="17"/>
  <c r="F7" i="17"/>
  <c r="E7" i="17"/>
  <c r="D7" i="17"/>
  <c r="Z7" i="17"/>
  <c r="Y7" i="17"/>
  <c r="X7" i="17"/>
  <c r="W7" i="17"/>
  <c r="U7" i="17"/>
  <c r="S7" i="17"/>
  <c r="P7" i="17"/>
  <c r="O7" i="17"/>
  <c r="V7" i="5"/>
  <c r="AB8" i="11"/>
  <c r="E8" i="11"/>
  <c r="S8" i="11"/>
  <c r="P8" i="11"/>
  <c r="T8" i="11"/>
  <c r="X8" i="11"/>
  <c r="R8" i="11"/>
  <c r="Q8" i="11"/>
  <c r="K8" i="11"/>
  <c r="D8" i="11"/>
  <c r="C8" i="11"/>
  <c r="AB8" i="7"/>
  <c r="G12" i="7"/>
  <c r="W13" i="7"/>
  <c r="L13" i="8"/>
  <c r="Y7" i="5"/>
  <c r="W14" i="5"/>
  <c r="V15" i="5"/>
  <c r="K6" i="6"/>
  <c r="S12" i="6"/>
  <c r="I2" i="7"/>
  <c r="U6" i="7"/>
  <c r="H12" i="7"/>
  <c r="X13" i="7"/>
  <c r="F15" i="7"/>
  <c r="M13" i="8"/>
  <c r="E8" i="9"/>
  <c r="I2" i="11"/>
  <c r="J8" i="11"/>
  <c r="H7" i="17"/>
  <c r="AB6" i="13"/>
  <c r="AA6" i="13"/>
  <c r="P6" i="13"/>
  <c r="K6" i="13"/>
  <c r="J6" i="13"/>
  <c r="H6" i="13"/>
  <c r="N17" i="6"/>
  <c r="P17" i="6"/>
  <c r="L17" i="6"/>
  <c r="W17" i="6"/>
  <c r="U17" i="6"/>
  <c r="V17" i="6"/>
  <c r="R6" i="7"/>
  <c r="K13" i="8"/>
  <c r="T17" i="12"/>
  <c r="G17" i="12"/>
  <c r="O17" i="12"/>
  <c r="Z7" i="5"/>
  <c r="Y14" i="5"/>
  <c r="L6" i="6"/>
  <c r="T12" i="6"/>
  <c r="E17" i="6"/>
  <c r="K2" i="7"/>
  <c r="V6" i="7"/>
  <c r="M12" i="7"/>
  <c r="AA13" i="7"/>
  <c r="T13" i="8"/>
  <c r="F8" i="9"/>
  <c r="N2" i="11"/>
  <c r="N8" i="11"/>
  <c r="X15" i="14"/>
  <c r="T15" i="14"/>
  <c r="R15" i="14"/>
  <c r="P15" i="14"/>
  <c r="L15" i="14"/>
  <c r="J15" i="14"/>
  <c r="I15" i="14"/>
  <c r="G15" i="14"/>
  <c r="AA15" i="14"/>
  <c r="D15" i="14"/>
  <c r="AB15" i="14"/>
  <c r="Z15" i="14"/>
  <c r="Y15" i="14"/>
  <c r="V15" i="14"/>
  <c r="U15" i="14"/>
  <c r="S15" i="14"/>
  <c r="Q15" i="14"/>
  <c r="O15" i="14"/>
  <c r="N15" i="14"/>
  <c r="F15" i="14"/>
  <c r="E15" i="14"/>
  <c r="AB17" i="7"/>
  <c r="J17" i="7"/>
  <c r="G17" i="7"/>
  <c r="S17" i="7"/>
  <c r="M17" i="7"/>
  <c r="Q17" i="7"/>
  <c r="U13" i="8"/>
  <c r="P8" i="9"/>
  <c r="O8" i="11"/>
  <c r="U14" i="13"/>
  <c r="H14" i="13"/>
  <c r="E14" i="13"/>
  <c r="Y14" i="13"/>
  <c r="V14" i="13"/>
  <c r="T14" i="13"/>
  <c r="R14" i="13"/>
  <c r="O14" i="13"/>
  <c r="AA14" i="13"/>
  <c r="W14" i="13"/>
  <c r="S14" i="13"/>
  <c r="Q14" i="13"/>
  <c r="P14" i="13"/>
  <c r="K14" i="13"/>
  <c r="J14" i="13"/>
  <c r="X6" i="7"/>
  <c r="P12" i="7"/>
  <c r="W13" i="8"/>
  <c r="D2" i="5"/>
  <c r="Z6" i="7"/>
  <c r="S12" i="7"/>
  <c r="X13" i="8"/>
  <c r="Z13" i="7"/>
  <c r="V13" i="7"/>
  <c r="R13" i="7"/>
  <c r="S13" i="7"/>
  <c r="O13" i="7"/>
  <c r="Q13" i="7"/>
  <c r="F6" i="7"/>
  <c r="F2" i="5"/>
  <c r="AA7" i="5"/>
  <c r="W6" i="7"/>
  <c r="O12" i="7"/>
  <c r="AB7" i="5"/>
  <c r="AA14" i="5"/>
  <c r="H17" i="6"/>
  <c r="P2" i="7"/>
  <c r="F8" i="7"/>
  <c r="D14" i="7"/>
  <c r="D17" i="7"/>
  <c r="R8" i="9"/>
  <c r="Y12" i="6"/>
  <c r="J17" i="6"/>
  <c r="Q2" i="7"/>
  <c r="G8" i="7"/>
  <c r="T12" i="7"/>
  <c r="F14" i="7"/>
  <c r="K15" i="7"/>
  <c r="E17" i="7"/>
  <c r="P7" i="8"/>
  <c r="AA13" i="8"/>
  <c r="T8" i="9"/>
  <c r="M14" i="13"/>
  <c r="M15" i="14"/>
  <c r="F17" i="6"/>
  <c r="AB13" i="7"/>
  <c r="G17" i="6"/>
  <c r="K17" i="6"/>
  <c r="R2" i="7"/>
  <c r="G7" i="7"/>
  <c r="O7" i="7"/>
  <c r="L7" i="7"/>
  <c r="E7" i="7"/>
  <c r="D7" i="7"/>
  <c r="C7" i="7"/>
  <c r="H8" i="7"/>
  <c r="V12" i="7"/>
  <c r="H14" i="7"/>
  <c r="L15" i="7"/>
  <c r="F17" i="7"/>
  <c r="AB13" i="8"/>
  <c r="U8" i="9"/>
  <c r="N14" i="13"/>
  <c r="W15" i="14"/>
  <c r="X2" i="15"/>
  <c r="K2" i="15"/>
  <c r="I2" i="15"/>
  <c r="G2" i="15"/>
  <c r="AB2" i="15"/>
  <c r="C2" i="15"/>
  <c r="Z2" i="15"/>
  <c r="Y2" i="15"/>
  <c r="V2" i="15"/>
  <c r="U2" i="15"/>
  <c r="Q2" i="15"/>
  <c r="AA2" i="15"/>
  <c r="S2" i="15"/>
  <c r="R2" i="15"/>
  <c r="P2" i="15"/>
  <c r="O2" i="15"/>
  <c r="J2" i="15"/>
  <c r="H2" i="15"/>
  <c r="D2" i="15"/>
  <c r="C2" i="6"/>
  <c r="AB2" i="6"/>
  <c r="AA2" i="6"/>
  <c r="Z2" i="6"/>
  <c r="G7" i="8"/>
  <c r="W7" i="8"/>
  <c r="O7" i="8"/>
  <c r="M7" i="8"/>
  <c r="K7" i="8"/>
  <c r="Q8" i="9"/>
  <c r="AB14" i="5"/>
  <c r="O17" i="5"/>
  <c r="K17" i="5"/>
  <c r="J17" i="5"/>
  <c r="D17" i="5"/>
  <c r="D8" i="6"/>
  <c r="M17" i="6"/>
  <c r="S2" i="7"/>
  <c r="F7" i="7"/>
  <c r="J8" i="7"/>
  <c r="W12" i="7"/>
  <c r="M15" i="7"/>
  <c r="H17" i="7"/>
  <c r="S7" i="8"/>
  <c r="X14" i="8"/>
  <c r="Z14" i="8"/>
  <c r="C14" i="8"/>
  <c r="S14" i="8"/>
  <c r="P14" i="8"/>
  <c r="M14" i="8"/>
  <c r="U14" i="8"/>
  <c r="T14" i="8"/>
  <c r="Q14" i="8"/>
  <c r="R14" i="8"/>
  <c r="G14" i="8"/>
  <c r="AB8" i="9"/>
  <c r="Z14" i="7"/>
  <c r="Y14" i="7"/>
  <c r="U14" i="7"/>
  <c r="AA14" i="7"/>
  <c r="V14" i="7"/>
  <c r="X14" i="7"/>
  <c r="C17" i="7"/>
  <c r="J7" i="8"/>
  <c r="X15" i="5"/>
  <c r="J15" i="5"/>
  <c r="I15" i="5"/>
  <c r="H15" i="5"/>
  <c r="AB15" i="5"/>
  <c r="G12" i="5"/>
  <c r="C8" i="6"/>
  <c r="AB12" i="6"/>
  <c r="D15" i="5"/>
  <c r="AB13" i="5"/>
  <c r="K13" i="5"/>
  <c r="J13" i="5"/>
  <c r="E15" i="5"/>
  <c r="L17" i="5"/>
  <c r="E8" i="6"/>
  <c r="O17" i="6"/>
  <c r="Z2" i="7"/>
  <c r="H7" i="7"/>
  <c r="X12" i="7"/>
  <c r="J14" i="7"/>
  <c r="N15" i="7"/>
  <c r="I17" i="7"/>
  <c r="D14" i="8"/>
  <c r="AA15" i="9"/>
  <c r="M15" i="9"/>
  <c r="Z15" i="9"/>
  <c r="Y15" i="9"/>
  <c r="Q7" i="11"/>
  <c r="H7" i="11"/>
  <c r="AB7" i="11"/>
  <c r="D7" i="11"/>
  <c r="W7" i="11"/>
  <c r="U7" i="11"/>
  <c r="R7" i="11"/>
  <c r="N7" i="11"/>
  <c r="M7" i="11"/>
  <c r="L7" i="11"/>
  <c r="J7" i="11"/>
  <c r="K7" i="11"/>
  <c r="I7" i="11"/>
  <c r="G7" i="11"/>
  <c r="C7" i="11"/>
  <c r="X7" i="11"/>
  <c r="V7" i="11"/>
  <c r="AA6" i="7"/>
  <c r="P6" i="7"/>
  <c r="K6" i="7"/>
  <c r="I7" i="5"/>
  <c r="Z14" i="5"/>
  <c r="X8" i="7"/>
  <c r="L8" i="7"/>
  <c r="I8" i="7"/>
  <c r="E8" i="7"/>
  <c r="D8" i="7"/>
  <c r="C8" i="7"/>
  <c r="T2" i="6"/>
  <c r="AB13" i="6"/>
  <c r="Y13" i="6"/>
  <c r="S13" i="6"/>
  <c r="V13" i="6"/>
  <c r="T13" i="6"/>
  <c r="AB6" i="5"/>
  <c r="Z6" i="5"/>
  <c r="X6" i="5"/>
  <c r="T7" i="8"/>
  <c r="E6" i="5"/>
  <c r="D13" i="5"/>
  <c r="F15" i="5"/>
  <c r="P17" i="5"/>
  <c r="G8" i="6"/>
  <c r="H13" i="6"/>
  <c r="Q17" i="6"/>
  <c r="X3" i="7"/>
  <c r="AB3" i="7"/>
  <c r="U3" i="7"/>
  <c r="H3" i="7"/>
  <c r="F3" i="7"/>
  <c r="G3" i="7"/>
  <c r="I7" i="7"/>
  <c r="M8" i="7"/>
  <c r="Y12" i="7"/>
  <c r="L14" i="7"/>
  <c r="O15" i="7"/>
  <c r="K17" i="7"/>
  <c r="U7" i="8"/>
  <c r="E14" i="8"/>
  <c r="K15" i="9"/>
  <c r="X15" i="12"/>
  <c r="P15" i="12"/>
  <c r="N15" i="12"/>
  <c r="L15" i="12"/>
  <c r="H15" i="12"/>
  <c r="F15" i="12"/>
  <c r="E15" i="12"/>
  <c r="AA15" i="12"/>
  <c r="C15" i="12"/>
  <c r="W15" i="12"/>
  <c r="Y15" i="12"/>
  <c r="V15" i="12"/>
  <c r="S15" i="12"/>
  <c r="T15" i="12"/>
  <c r="R15" i="12"/>
  <c r="Q15" i="12"/>
  <c r="K15" i="12"/>
  <c r="J15" i="12"/>
  <c r="I15" i="12"/>
  <c r="G15" i="12"/>
  <c r="D15" i="12"/>
  <c r="U6" i="14"/>
  <c r="Z6" i="14"/>
  <c r="W6" i="14"/>
  <c r="S6" i="14"/>
  <c r="O6" i="14"/>
  <c r="M6" i="14"/>
  <c r="L6" i="14"/>
  <c r="J6" i="14"/>
  <c r="F6" i="14"/>
  <c r="S14" i="11"/>
  <c r="AA14" i="11"/>
  <c r="U14" i="11"/>
  <c r="P14" i="11"/>
  <c r="N14" i="11"/>
  <c r="K14" i="11"/>
  <c r="H14" i="11"/>
  <c r="AB12" i="13"/>
  <c r="X12" i="13"/>
  <c r="V12" i="13"/>
  <c r="T12" i="13"/>
  <c r="M12" i="13"/>
  <c r="J12" i="13"/>
  <c r="I12" i="13"/>
  <c r="D12" i="13"/>
  <c r="V15" i="13"/>
  <c r="P3" i="14"/>
  <c r="H6" i="14"/>
  <c r="Z15" i="8"/>
  <c r="U15" i="8"/>
  <c r="N15" i="8"/>
  <c r="K15" i="8"/>
  <c r="Q7" i="9"/>
  <c r="L12" i="11"/>
  <c r="C14" i="11"/>
  <c r="H12" i="13"/>
  <c r="S3" i="14"/>
  <c r="K6" i="14"/>
  <c r="AA7" i="19"/>
  <c r="R7" i="19"/>
  <c r="M7" i="19"/>
  <c r="H7" i="19"/>
  <c r="G7" i="19"/>
  <c r="F7" i="19"/>
  <c r="C7" i="19"/>
  <c r="J17" i="16"/>
  <c r="G17" i="16"/>
  <c r="C17" i="16"/>
  <c r="AB17" i="16"/>
  <c r="Z17" i="16"/>
  <c r="Y17" i="16"/>
  <c r="Y6" i="10"/>
  <c r="J6" i="10"/>
  <c r="E6" i="10"/>
  <c r="U12" i="11"/>
  <c r="I14" i="11"/>
  <c r="S12" i="13"/>
  <c r="R6" i="14"/>
  <c r="P7" i="15"/>
  <c r="D17" i="16"/>
  <c r="O2" i="8"/>
  <c r="H2" i="8"/>
  <c r="D2" i="8"/>
  <c r="I15" i="8"/>
  <c r="C6" i="10"/>
  <c r="J14" i="11"/>
  <c r="U12" i="13"/>
  <c r="T6" i="14"/>
  <c r="S7" i="15"/>
  <c r="AB2" i="16"/>
  <c r="Y2" i="16"/>
  <c r="X2" i="16"/>
  <c r="W2" i="16"/>
  <c r="U2" i="16"/>
  <c r="Q2" i="16"/>
  <c r="P2" i="16"/>
  <c r="K2" i="16"/>
  <c r="D2" i="16"/>
  <c r="H17" i="16"/>
  <c r="X6" i="14"/>
  <c r="G15" i="15"/>
  <c r="C15" i="15"/>
  <c r="AA15" i="15"/>
  <c r="X15" i="15"/>
  <c r="V15" i="15"/>
  <c r="U15" i="15"/>
  <c r="T15" i="15"/>
  <c r="R17" i="16"/>
  <c r="X17" i="18"/>
  <c r="U17" i="18"/>
  <c r="S17" i="18"/>
  <c r="Q17" i="18"/>
  <c r="P17" i="18"/>
  <c r="O17" i="18"/>
  <c r="L17" i="18"/>
  <c r="J17" i="18"/>
  <c r="G17" i="18"/>
  <c r="E17" i="18"/>
  <c r="D17" i="18"/>
  <c r="C17" i="18"/>
  <c r="AB17" i="18"/>
  <c r="AA17" i="18"/>
  <c r="Y17" i="18"/>
  <c r="W17" i="18"/>
  <c r="Y7" i="12"/>
  <c r="W7" i="12"/>
  <c r="V7" i="12"/>
  <c r="P7" i="12"/>
  <c r="I7" i="12"/>
  <c r="W13" i="13"/>
  <c r="Z13" i="13"/>
  <c r="U13" i="13"/>
  <c r="S13" i="13"/>
  <c r="R13" i="13"/>
  <c r="P13" i="13"/>
  <c r="M13" i="13"/>
  <c r="AA6" i="14"/>
  <c r="E15" i="15"/>
  <c r="U17" i="16"/>
  <c r="Z3" i="18"/>
  <c r="D3" i="18"/>
  <c r="Y3" i="18"/>
  <c r="V3" i="18"/>
  <c r="S3" i="18"/>
  <c r="R3" i="18"/>
  <c r="Q3" i="18"/>
  <c r="N3" i="18"/>
  <c r="M3" i="18"/>
  <c r="K3" i="18"/>
  <c r="J3" i="18"/>
  <c r="I17" i="18"/>
  <c r="O6" i="10"/>
  <c r="O14" i="11"/>
  <c r="D7" i="12"/>
  <c r="F13" i="13"/>
  <c r="Z7" i="14"/>
  <c r="AB7" i="14"/>
  <c r="X7" i="14"/>
  <c r="V7" i="14"/>
  <c r="O7" i="14"/>
  <c r="M7" i="14"/>
  <c r="L7" i="14"/>
  <c r="J7" i="14"/>
  <c r="G7" i="14"/>
  <c r="F12" i="14"/>
  <c r="E12" i="14"/>
  <c r="I15" i="15"/>
  <c r="V17" i="16"/>
  <c r="E3" i="18"/>
  <c r="M17" i="18"/>
  <c r="X15" i="13"/>
  <c r="H15" i="13"/>
  <c r="F15" i="13"/>
  <c r="AB15" i="13"/>
  <c r="D15" i="13"/>
  <c r="W15" i="13"/>
  <c r="T15" i="13"/>
  <c r="S15" i="13"/>
  <c r="Q15" i="13"/>
  <c r="N15" i="13"/>
  <c r="AB13" i="14"/>
  <c r="S13" i="14"/>
  <c r="Q13" i="14"/>
  <c r="E13" i="14"/>
  <c r="P3" i="15"/>
  <c r="J3" i="15"/>
  <c r="G3" i="15"/>
  <c r="E3" i="15"/>
  <c r="AA3" i="15"/>
  <c r="Z3" i="15"/>
  <c r="Y3" i="15"/>
  <c r="X3" i="15"/>
  <c r="T3" i="15"/>
  <c r="G8" i="15"/>
  <c r="E8" i="15"/>
  <c r="C8" i="15"/>
  <c r="AA8" i="15"/>
  <c r="Y8" i="15"/>
  <c r="X8" i="15"/>
  <c r="W8" i="15"/>
  <c r="T8" i="15"/>
  <c r="O8" i="15"/>
  <c r="N8" i="15"/>
  <c r="K15" i="15"/>
  <c r="Z7" i="16"/>
  <c r="AB7" i="16"/>
  <c r="X7" i="16"/>
  <c r="U7" i="16"/>
  <c r="R7" i="16"/>
  <c r="P7" i="16"/>
  <c r="M7" i="16"/>
  <c r="L7" i="16"/>
  <c r="J7" i="16"/>
  <c r="I7" i="16"/>
  <c r="G7" i="16"/>
  <c r="F7" i="16"/>
  <c r="E7" i="16"/>
  <c r="D7" i="16"/>
  <c r="H3" i="18"/>
  <c r="N17" i="18"/>
  <c r="Z2" i="17"/>
  <c r="W2" i="17"/>
  <c r="J2" i="17"/>
  <c r="I2" i="17"/>
  <c r="G2" i="17"/>
  <c r="F2" i="17"/>
  <c r="C15" i="18"/>
  <c r="AB15" i="18"/>
  <c r="AA15" i="18"/>
  <c r="Y15" i="18"/>
  <c r="X15" i="18"/>
  <c r="W15" i="18"/>
  <c r="S15" i="18"/>
  <c r="M15" i="18"/>
  <c r="K15" i="18"/>
  <c r="J15" i="18"/>
  <c r="E15" i="18"/>
  <c r="AA12" i="9"/>
  <c r="X12" i="9"/>
  <c r="S12" i="9"/>
  <c r="X14" i="9"/>
  <c r="Q14" i="9"/>
  <c r="M14" i="9"/>
  <c r="K14" i="9"/>
  <c r="H14" i="9"/>
  <c r="AB14" i="9"/>
  <c r="E14" i="9"/>
  <c r="T14" i="11"/>
  <c r="G7" i="12"/>
  <c r="K13" i="13"/>
  <c r="E15" i="13"/>
  <c r="E7" i="14"/>
  <c r="K13" i="14"/>
  <c r="D3" i="15"/>
  <c r="F8" i="15"/>
  <c r="Y15" i="15"/>
  <c r="H7" i="16"/>
  <c r="L2" i="17"/>
  <c r="P3" i="18"/>
  <c r="D15" i="18"/>
  <c r="T17" i="18"/>
  <c r="O3" i="19"/>
  <c r="I3" i="19"/>
  <c r="H3" i="19"/>
  <c r="G3" i="19"/>
  <c r="E3" i="19"/>
  <c r="D3" i="19"/>
  <c r="AB3" i="19"/>
  <c r="C3" i="19"/>
  <c r="Y3" i="19"/>
  <c r="W3" i="19"/>
  <c r="U3" i="19"/>
  <c r="T3" i="19"/>
  <c r="S3" i="19"/>
  <c r="R3" i="19"/>
  <c r="P3" i="19"/>
  <c r="N3" i="19"/>
  <c r="M3" i="19"/>
  <c r="K3" i="19"/>
  <c r="Y7" i="9"/>
  <c r="F7" i="9"/>
  <c r="AA7" i="9"/>
  <c r="V7" i="9"/>
  <c r="S7" i="9"/>
  <c r="C12" i="9"/>
  <c r="C14" i="9"/>
  <c r="Z17" i="9"/>
  <c r="O17" i="9"/>
  <c r="G17" i="9"/>
  <c r="E17" i="9"/>
  <c r="X15" i="10"/>
  <c r="N15" i="10"/>
  <c r="I15" i="10"/>
  <c r="G15" i="10"/>
  <c r="D15" i="10"/>
  <c r="Z15" i="10"/>
  <c r="V14" i="11"/>
  <c r="J7" i="12"/>
  <c r="AB12" i="12"/>
  <c r="C12" i="12"/>
  <c r="N13" i="13"/>
  <c r="G15" i="13"/>
  <c r="H7" i="14"/>
  <c r="N13" i="14"/>
  <c r="F3" i="15"/>
  <c r="H8" i="15"/>
  <c r="O7" i="16"/>
  <c r="W3" i="18"/>
  <c r="Q15" i="18"/>
  <c r="V17" i="18"/>
  <c r="F3" i="19"/>
  <c r="Q8" i="10"/>
  <c r="Z8" i="10"/>
  <c r="I15" i="13"/>
  <c r="R13" i="14"/>
  <c r="Z15" i="18"/>
  <c r="L3" i="14"/>
  <c r="J3" i="14"/>
  <c r="G3" i="14"/>
  <c r="C3" i="14"/>
  <c r="AB3" i="14"/>
  <c r="Z3" i="14"/>
  <c r="X3" i="14"/>
  <c r="U3" i="14"/>
  <c r="X15" i="6"/>
  <c r="V15" i="6"/>
  <c r="S15" i="6"/>
  <c r="P2" i="8"/>
  <c r="F3" i="9"/>
  <c r="D7" i="9"/>
  <c r="E12" i="9"/>
  <c r="F14" i="9"/>
  <c r="J17" i="9"/>
  <c r="C8" i="10"/>
  <c r="X14" i="10"/>
  <c r="Q14" i="10"/>
  <c r="M14" i="10"/>
  <c r="K14" i="10"/>
  <c r="H14" i="10"/>
  <c r="AB14" i="10"/>
  <c r="E14" i="10"/>
  <c r="E15" i="10"/>
  <c r="X14" i="11"/>
  <c r="S7" i="12"/>
  <c r="Z12" i="12"/>
  <c r="Q13" i="13"/>
  <c r="J15" i="13"/>
  <c r="D3" i="14"/>
  <c r="K7" i="14"/>
  <c r="X13" i="14"/>
  <c r="K3" i="15"/>
  <c r="K8" i="15"/>
  <c r="T7" i="16"/>
  <c r="Q3" i="19"/>
  <c r="N2" i="8"/>
  <c r="C3" i="9"/>
  <c r="C7" i="9"/>
  <c r="D12" i="9"/>
  <c r="W14" i="11"/>
  <c r="K7" i="12"/>
  <c r="AA15" i="6"/>
  <c r="L3" i="5"/>
  <c r="U14" i="6"/>
  <c r="AA14" i="6"/>
  <c r="W14" i="6"/>
  <c r="C15" i="6"/>
  <c r="AB15" i="6"/>
  <c r="Q2" i="8"/>
  <c r="G3" i="9"/>
  <c r="G7" i="9"/>
  <c r="H12" i="9"/>
  <c r="G14" i="9"/>
  <c r="K17" i="9"/>
  <c r="W2" i="10"/>
  <c r="C2" i="10"/>
  <c r="Z2" i="10"/>
  <c r="V2" i="10"/>
  <c r="N2" i="10"/>
  <c r="G8" i="10"/>
  <c r="C14" i="10"/>
  <c r="F15" i="10"/>
  <c r="AB14" i="11"/>
  <c r="X7" i="12"/>
  <c r="AA12" i="12"/>
  <c r="T13" i="13"/>
  <c r="K15" i="13"/>
  <c r="E3" i="14"/>
  <c r="N7" i="14"/>
  <c r="L3" i="15"/>
  <c r="L8" i="15"/>
  <c r="V7" i="16"/>
  <c r="V3" i="19"/>
  <c r="O3" i="9"/>
  <c r="I8" i="10"/>
  <c r="M12" i="11"/>
  <c r="I12" i="11"/>
  <c r="C12" i="11"/>
  <c r="Y12" i="11"/>
  <c r="Z7" i="12"/>
  <c r="V13" i="13"/>
  <c r="L15" i="13"/>
  <c r="F3" i="14"/>
  <c r="P7" i="14"/>
  <c r="M3" i="15"/>
  <c r="X7" i="15"/>
  <c r="K7" i="15"/>
  <c r="I7" i="15"/>
  <c r="G7" i="15"/>
  <c r="Z7" i="15"/>
  <c r="C7" i="15"/>
  <c r="W7" i="15"/>
  <c r="V7" i="15"/>
  <c r="U7" i="15"/>
  <c r="T7" i="15"/>
  <c r="R7" i="15"/>
  <c r="Q7" i="15"/>
  <c r="M8" i="15"/>
  <c r="Y7" i="16"/>
  <c r="Z3" i="19"/>
  <c r="AB8" i="18"/>
  <c r="Y12" i="18"/>
  <c r="H2" i="19"/>
  <c r="N6" i="19"/>
  <c r="M8" i="19"/>
  <c r="C12" i="19"/>
  <c r="K13" i="19"/>
  <c r="T14" i="19"/>
  <c r="Q12" i="17"/>
  <c r="C8" i="18"/>
  <c r="Z12" i="18"/>
  <c r="M2" i="19"/>
  <c r="O6" i="19"/>
  <c r="N8" i="19"/>
  <c r="E12" i="19"/>
  <c r="L13" i="19"/>
  <c r="U14" i="19"/>
  <c r="T12" i="8"/>
  <c r="J3" i="11"/>
  <c r="J6" i="11"/>
  <c r="Y14" i="12"/>
  <c r="J2" i="13"/>
  <c r="L3" i="13"/>
  <c r="V12" i="15"/>
  <c r="C14" i="16"/>
  <c r="D8" i="18"/>
  <c r="N2" i="19"/>
  <c r="R6" i="19"/>
  <c r="O8" i="19"/>
  <c r="F12" i="19"/>
  <c r="M13" i="19"/>
  <c r="V14" i="19"/>
  <c r="F14" i="16"/>
  <c r="E8" i="18"/>
  <c r="O2" i="19"/>
  <c r="W6" i="19"/>
  <c r="P8" i="19"/>
  <c r="G12" i="19"/>
  <c r="O13" i="19"/>
  <c r="AB14" i="19"/>
  <c r="E3" i="8"/>
  <c r="W12" i="8"/>
  <c r="M3" i="11"/>
  <c r="O6" i="11"/>
  <c r="U8" i="12"/>
  <c r="N2" i="13"/>
  <c r="P3" i="13"/>
  <c r="W6" i="15"/>
  <c r="Z12" i="15"/>
  <c r="Z13" i="15"/>
  <c r="F6" i="16"/>
  <c r="J14" i="16"/>
  <c r="H8" i="17"/>
  <c r="U12" i="17"/>
  <c r="H15" i="17"/>
  <c r="L17" i="17"/>
  <c r="I6" i="18"/>
  <c r="G8" i="18"/>
  <c r="H13" i="18"/>
  <c r="R2" i="19"/>
  <c r="R8" i="19"/>
  <c r="I12" i="19"/>
  <c r="Q13" i="19"/>
  <c r="C15" i="19"/>
  <c r="X6" i="15"/>
  <c r="AA12" i="15"/>
  <c r="AA13" i="15"/>
  <c r="G6" i="16"/>
  <c r="Y14" i="16"/>
  <c r="J8" i="17"/>
  <c r="V12" i="17"/>
  <c r="I15" i="17"/>
  <c r="M17" i="17"/>
  <c r="J6" i="18"/>
  <c r="J8" i="18"/>
  <c r="P13" i="18"/>
  <c r="S2" i="19"/>
  <c r="S8" i="19"/>
  <c r="J12" i="19"/>
  <c r="T13" i="19"/>
  <c r="E15" i="19"/>
  <c r="P2" i="13"/>
  <c r="C17" i="14"/>
  <c r="AB13" i="15"/>
  <c r="H6" i="16"/>
  <c r="N8" i="17"/>
  <c r="W12" i="17"/>
  <c r="N15" i="17"/>
  <c r="O17" i="17"/>
  <c r="K6" i="18"/>
  <c r="K8" i="18"/>
  <c r="U2" i="19"/>
  <c r="T8" i="19"/>
  <c r="L12" i="19"/>
  <c r="V13" i="19"/>
  <c r="F15" i="19"/>
  <c r="I3" i="8"/>
  <c r="R3" i="11"/>
  <c r="R6" i="11"/>
  <c r="C17" i="11"/>
  <c r="Q2" i="13"/>
  <c r="AB3" i="13"/>
  <c r="AB6" i="15"/>
  <c r="C12" i="15"/>
  <c r="C13" i="15"/>
  <c r="I6" i="16"/>
  <c r="K15" i="16"/>
  <c r="O8" i="17"/>
  <c r="Y12" i="17"/>
  <c r="Q17" i="17"/>
  <c r="O6" i="18"/>
  <c r="M8" i="18"/>
  <c r="V2" i="19"/>
  <c r="V8" i="19"/>
  <c r="P12" i="19"/>
  <c r="W13" i="19"/>
  <c r="G15" i="19"/>
  <c r="U6" i="11"/>
  <c r="U2" i="13"/>
  <c r="G12" i="15"/>
  <c r="E13" i="15"/>
  <c r="E14" i="15"/>
  <c r="K6" i="16"/>
  <c r="Q8" i="17"/>
  <c r="AB12" i="17"/>
  <c r="U17" i="17"/>
  <c r="Q6" i="18"/>
  <c r="O8" i="18"/>
  <c r="L14" i="18"/>
  <c r="X2" i="19"/>
  <c r="Y8" i="19"/>
  <c r="R12" i="19"/>
  <c r="Z13" i="19"/>
  <c r="L15" i="19"/>
  <c r="C17" i="19"/>
  <c r="W17" i="17"/>
  <c r="W6" i="18"/>
  <c r="P8" i="18"/>
  <c r="Q14" i="18"/>
  <c r="Z2" i="19"/>
  <c r="Z8" i="19"/>
  <c r="T12" i="19"/>
  <c r="AA13" i="19"/>
  <c r="M15" i="19"/>
  <c r="E17" i="19"/>
  <c r="O15" i="19"/>
  <c r="F17" i="19"/>
  <c r="AB8" i="19"/>
  <c r="V12" i="19"/>
  <c r="F14" i="19"/>
  <c r="P15" i="19"/>
  <c r="G17" i="19"/>
  <c r="Z2" i="13"/>
  <c r="H7" i="13"/>
  <c r="J6" i="15"/>
  <c r="K12" i="15"/>
  <c r="I13" i="15"/>
  <c r="O6" i="16"/>
  <c r="K12" i="16"/>
  <c r="U8" i="17"/>
  <c r="E12" i="17"/>
  <c r="N13" i="17"/>
  <c r="Z17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M12" i="15"/>
  <c r="S6" i="16"/>
  <c r="X12" i="16"/>
  <c r="C7" i="18"/>
  <c r="E8" i="19"/>
  <c r="AB12" i="19"/>
  <c r="J14" i="19"/>
  <c r="Y15" i="19"/>
  <c r="Q17" i="19"/>
  <c r="K14" i="19"/>
  <c r="AA15" i="19"/>
  <c r="R17" i="19"/>
  <c r="D2" i="13"/>
  <c r="D3" i="13"/>
  <c r="N6" i="15"/>
  <c r="O12" i="15"/>
  <c r="M13" i="15"/>
  <c r="V6" i="16"/>
  <c r="AA8" i="17"/>
  <c r="I12" i="17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<sst xmlns="http://schemas.openxmlformats.org/spreadsheetml/2006/main" count="3113" uniqueCount="587">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</sst>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70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IL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4.545078668358811E-2</v>
      </c>
      <c r="C2" s="7">
        <f>$B2 * IFERROR(VLOOKUP("transport|PM25|Premature mortality", US_national_yearly!$D:$AM, 11, FALSE) / VLOOKUP("transport|PM25|Premature mortality", US_national_yearly!$D:$AM, 10, FALSE), 1)</f>
        <v>4.6014276833695807E-2</v>
      </c>
      <c r="D2" s="7">
        <f>$B2 * IFERROR(VLOOKUP("transport|PM25|Premature mortality", US_national_yearly!$D:$AM, 12, FALSE) / VLOOKUP("transport|PM25|Premature mortality", US_national_yearly!$D:$AM, 10, FALSE), 1)</f>
        <v>4.6577766983803497E-2</v>
      </c>
      <c r="E2" s="7">
        <f>$B2 * IFERROR(VLOOKUP("transport|PM25|Premature mortality", US_national_yearly!$D:$AM, 13, FALSE) / VLOOKUP("transport|PM25|Premature mortality", US_national_yearly!$D:$AM, 10, FALSE), 1)</f>
        <v>4.7141257133911187E-2</v>
      </c>
      <c r="F2" s="7">
        <f>$B2 * IFERROR(VLOOKUP("transport|PM25|Premature mortality", US_national_yearly!$D:$AM, 14, FALSE) / VLOOKUP("transport|PM25|Premature mortality", US_national_yearly!$D:$AM, 10, FALSE), 1)</f>
        <v>4.7704747284018877E-2</v>
      </c>
      <c r="G2" s="7">
        <f>$B2 * IFERROR(VLOOKUP("transport|PM25|Premature mortality", US_national_yearly!$D:$AM, 15, FALSE) / VLOOKUP("transport|PM25|Premature mortality", US_national_yearly!$D:$AM, 10, FALSE), 1)</f>
        <v>4.8802140101611491E-2</v>
      </c>
      <c r="H2" s="7">
        <f>$B2 * IFERROR(VLOOKUP("transport|PM25|Premature mortality", US_national_yearly!$D:$AM, 16, FALSE) / VLOOKUP("transport|PM25|Premature mortality", US_national_yearly!$D:$AM, 10, FALSE), 1)</f>
        <v>4.9899532919204112E-2</v>
      </c>
      <c r="I2" s="7">
        <f>$B2 * IFERROR(VLOOKUP("transport|PM25|Premature mortality", US_national_yearly!$D:$AM, 17, FALSE) / VLOOKUP("transport|PM25|Premature mortality", US_national_yearly!$D:$AM, 10, FALSE), 1)</f>
        <v>5.0620346716698218E-2</v>
      </c>
      <c r="J2" s="7">
        <f>$B2 * IFERROR(VLOOKUP("transport|PM25|Premature mortality", US_national_yearly!$D:$AM, 18, FALSE) / VLOOKUP("transport|PM25|Premature mortality", US_national_yearly!$D:$AM, 10, FALSE), 1)</f>
        <v>5.1341160514192352E-2</v>
      </c>
      <c r="K2" s="7">
        <f>$B2 * IFERROR(VLOOKUP("transport|PM25|Premature mortality", US_national_yearly!$D:$AM, 19, FALSE) / VLOOKUP("transport|PM25|Premature mortality", US_national_yearly!$D:$AM, 10, FALSE), 1)</f>
        <v>5.2061974311686472E-2</v>
      </c>
      <c r="L2" s="7">
        <f>$B2 * IFERROR(VLOOKUP("transport|PM25|Premature mortality", US_national_yearly!$D:$AM, 20, FALSE) / VLOOKUP("transport|PM25|Premature mortality", US_national_yearly!$D:$AM, 10, FALSE), 1)</f>
        <v>5.2782788109180599E-2</v>
      </c>
      <c r="M2" s="7">
        <f>$B2 * IFERROR(VLOOKUP("transport|PM25|Premature mortality", US_national_yearly!$D:$AM, 21, FALSE) / VLOOKUP("transport|PM25|Premature mortality", US_national_yearly!$D:$AM, 10, FALSE), 1)</f>
        <v>5.3503601906674719E-2</v>
      </c>
      <c r="N2" s="7">
        <f>$B2 * IFERROR(VLOOKUP("transport|PM25|Premature mortality", US_national_yearly!$D:$AM, 22, FALSE) / VLOOKUP("transport|PM25|Premature mortality", US_national_yearly!$D:$AM, 10, FALSE), 1)</f>
        <v>5.4063267944927169E-2</v>
      </c>
      <c r="O2" s="7">
        <f>$B2 * IFERROR(VLOOKUP("transport|PM25|Premature mortality", US_national_yearly!$D:$AM, 23, FALSE) / VLOOKUP("transport|PM25|Premature mortality", US_national_yearly!$D:$AM, 10, FALSE), 1)</f>
        <v>5.462293398317962E-2</v>
      </c>
      <c r="P2" s="7">
        <f>$B2 * IFERROR(VLOOKUP("transport|PM25|Premature mortality", US_national_yearly!$D:$AM, 24, FALSE) / VLOOKUP("transport|PM25|Premature mortality", US_national_yearly!$D:$AM, 10, FALSE), 1)</f>
        <v>5.518260002143207E-2</v>
      </c>
      <c r="Q2" s="7">
        <f>$B2 * IFERROR(VLOOKUP("transport|PM25|Premature mortality", US_national_yearly!$D:$AM, 25, FALSE) / VLOOKUP("transport|PM25|Premature mortality", US_national_yearly!$D:$AM, 10, FALSE), 1)</f>
        <v>5.574226605968452E-2</v>
      </c>
      <c r="R2" s="7">
        <f>$B2 * IFERROR(VLOOKUP("transport|PM25|Premature mortality", US_national_yearly!$D:$AM, 26, FALSE) / VLOOKUP("transport|PM25|Premature mortality", US_national_yearly!$D:$AM, 10, FALSE), 1)</f>
        <v>5.6301932097936977E-2</v>
      </c>
      <c r="S2" s="7">
        <f>$B2 * IFERROR(VLOOKUP("transport|PM25|Premature mortality", US_national_yearly!$D:$AM, 27, FALSE) / VLOOKUP("transport|PM25|Premature mortality", US_national_yearly!$D:$AM, 10, FALSE), 1)</f>
        <v>5.6598426536770899E-2</v>
      </c>
      <c r="T2" s="7">
        <f>$B2 * IFERROR(VLOOKUP("transport|PM25|Premature mortality", US_national_yearly!$D:$AM, 28, FALSE) / VLOOKUP("transport|PM25|Premature mortality", US_national_yearly!$D:$AM, 10, FALSE), 1)</f>
        <v>5.6894920975604814E-2</v>
      </c>
      <c r="U2" s="7">
        <f>$B2 * IFERROR(VLOOKUP("transport|PM25|Premature mortality", US_national_yearly!$D:$AM, 29, FALSE) / VLOOKUP("transport|PM25|Premature mortality", US_national_yearly!$D:$AM, 10, FALSE), 1)</f>
        <v>5.7191415414438722E-2</v>
      </c>
      <c r="V2" s="7">
        <f>$B2 * IFERROR(VLOOKUP("transport|PM25|Premature mortality", US_national_yearly!$D:$AM, 30, FALSE) / VLOOKUP("transport|PM25|Premature mortality", US_national_yearly!$D:$AM, 10, FALSE), 1)</f>
        <v>5.7487909853272637E-2</v>
      </c>
      <c r="W2" s="7">
        <f>$B2 * IFERROR(VLOOKUP("transport|PM25|Premature mortality", US_national_yearly!$D:$AM, 31, FALSE) / VLOOKUP("transport|PM25|Premature mortality", US_national_yearly!$D:$AM, 10, FALSE), 1)</f>
        <v>5.7784404292106552E-2</v>
      </c>
      <c r="X2" s="7">
        <f>$B2 * IFERROR(VLOOKUP("transport|PM25|Premature mortality", US_national_yearly!$D:$AM, 32, FALSE) / VLOOKUP("transport|PM25|Premature mortality", US_national_yearly!$D:$AM, 10, FALSE), 1)</f>
        <v>5.7836248638280026E-2</v>
      </c>
      <c r="Y2" s="7">
        <f>$B2 * IFERROR(VLOOKUP("transport|PM25|Premature mortality", US_national_yearly!$D:$AM, 33, FALSE) / VLOOKUP("transport|PM25|Premature mortality", US_national_yearly!$D:$AM, 10, FALSE), 1)</f>
        <v>5.7888092984453521E-2</v>
      </c>
      <c r="Z2" s="7">
        <f>$B2 * IFERROR(VLOOKUP("transport|PM25|Premature mortality", US_national_yearly!$D:$AM, 34, FALSE) / VLOOKUP("transport|PM25|Premature mortality", US_national_yearly!$D:$AM, 10, FALSE), 1)</f>
        <v>5.7939937330626995E-2</v>
      </c>
      <c r="AA2" s="7">
        <f>$B2 * IFERROR(VLOOKUP("transport|PM25|Premature mortality", US_national_yearly!$D:$AM, 35, FALSE) / VLOOKUP("transport|PM25|Premature mortality", US_national_yearly!$D:$AM, 10, FALSE), 1)</f>
        <v>5.7991781676800483E-2</v>
      </c>
      <c r="AB2" s="7">
        <f>$B2 * IFERROR(VLOOKUP("transport|PM25|Premature mortality", US_national_yearly!$D:$AM, 36, FALSE) / VLOOKUP("transport|PM25|Premature mortality", US_national_yearly!$D:$AM, 10, FALSE), 1)</f>
        <v>5.8043626022973964E-2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1.2930989436111086E-4</v>
      </c>
      <c r="C3" s="7">
        <f>$B3 * IFERROR(VLOOKUP("transport|PM25|Infant mortality", US_national_yearly!$D:$AM, 11, FALSE) / VLOOKUP("transport|PM25|Infant mortality", US_national_yearly!$D:$AM, 10, FALSE), 1)</f>
        <v>1.2818243007840164E-4</v>
      </c>
      <c r="D3" s="7">
        <f>$B3 * IFERROR(VLOOKUP("transport|PM25|Infant mortality", US_national_yearly!$D:$AM, 12, FALSE) / VLOOKUP("transport|PM25|Infant mortality", US_national_yearly!$D:$AM, 10, FALSE), 1)</f>
        <v>1.270549657956924E-4</v>
      </c>
      <c r="E3" s="7">
        <f>$B3 * IFERROR(VLOOKUP("transport|PM25|Infant mortality", US_national_yearly!$D:$AM, 13, FALSE) / VLOOKUP("transport|PM25|Infant mortality", US_national_yearly!$D:$AM, 10, FALSE), 1)</f>
        <v>1.2592750151298318E-4</v>
      </c>
      <c r="F3" s="7">
        <f>$B3 * IFERROR(VLOOKUP("transport|PM25|Infant mortality", US_national_yearly!$D:$AM, 14, FALSE) / VLOOKUP("transport|PM25|Infant mortality", US_national_yearly!$D:$AM, 10, FALSE), 1)</f>
        <v>1.248000372302739E-4</v>
      </c>
      <c r="G3" s="7">
        <f>$B3 * IFERROR(VLOOKUP("transport|PM25|Infant mortality", US_national_yearly!$D:$AM, 15, FALSE) / VLOOKUP("transport|PM25|Infant mortality", US_national_yearly!$D:$AM, 10, FALSE), 1)</f>
        <v>8.2998700556242947E-5</v>
      </c>
      <c r="H3" s="7">
        <f>$B3 * IFERROR(VLOOKUP("transport|PM25|Infant mortality", US_national_yearly!$D:$AM, 16, FALSE) / VLOOKUP("transport|PM25|Infant mortality", US_national_yearly!$D:$AM, 10, FALSE), 1)</f>
        <v>4.1197363882211959E-5</v>
      </c>
      <c r="I3" s="7">
        <f>$B3 * IFERROR(VLOOKUP("transport|PM25|Infant mortality", US_national_yearly!$D:$AM, 17, FALSE) / VLOOKUP("transport|PM25|Infant mortality", US_national_yearly!$D:$AM, 10, FALSE), 1)</f>
        <v>4.0928071057265451E-5</v>
      </c>
      <c r="J3" s="7">
        <f>$B3 * IFERROR(VLOOKUP("transport|PM25|Infant mortality", US_national_yearly!$D:$AM, 18, FALSE) / VLOOKUP("transport|PM25|Infant mortality", US_national_yearly!$D:$AM, 10, FALSE), 1)</f>
        <v>4.0658778232318936E-5</v>
      </c>
      <c r="K3" s="7">
        <f>$B3 * IFERROR(VLOOKUP("transport|PM25|Infant mortality", US_national_yearly!$D:$AM, 19, FALSE) / VLOOKUP("transport|PM25|Infant mortality", US_national_yearly!$D:$AM, 10, FALSE), 1)</f>
        <v>4.0389485407372421E-5</v>
      </c>
      <c r="L3" s="7">
        <f>$B3 * IFERROR(VLOOKUP("transport|PM25|Infant mortality", US_national_yearly!$D:$AM, 20, FALSE) / VLOOKUP("transport|PM25|Infant mortality", US_national_yearly!$D:$AM, 10, FALSE), 1)</f>
        <v>4.0120192582425913E-5</v>
      </c>
      <c r="M3" s="7">
        <f>$B3 * IFERROR(VLOOKUP("transport|PM25|Infant mortality", US_national_yearly!$D:$AM, 21, FALSE) / VLOOKUP("transport|PM25|Infant mortality", US_national_yearly!$D:$AM, 10, FALSE), 1)</f>
        <v>3.9850899757479405E-5</v>
      </c>
      <c r="N3" s="7">
        <f>$B3 * IFERROR(VLOOKUP("transport|PM25|Infant mortality", US_national_yearly!$D:$AM, 22, FALSE) / VLOOKUP("transport|PM25|Infant mortality", US_national_yearly!$D:$AM, 10, FALSE), 1)</f>
        <v>3.9681754049785538E-5</v>
      </c>
      <c r="O3" s="7">
        <f>$B3 * IFERROR(VLOOKUP("transport|PM25|Infant mortality", US_national_yearly!$D:$AM, 23, FALSE) / VLOOKUP("transport|PM25|Infant mortality", US_national_yearly!$D:$AM, 10, FALSE), 1)</f>
        <v>3.9512608342091685E-5</v>
      </c>
      <c r="P3" s="7">
        <f>$B3 * IFERROR(VLOOKUP("transport|PM25|Infant mortality", US_national_yearly!$D:$AM, 24, FALSE) / VLOOKUP("transport|PM25|Infant mortality", US_national_yearly!$D:$AM, 10, FALSE), 1)</f>
        <v>3.9343462634397811E-5</v>
      </c>
      <c r="Q3" s="7">
        <f>$B3 * IFERROR(VLOOKUP("transport|PM25|Infant mortality", US_national_yearly!$D:$AM, 25, FALSE) / VLOOKUP("transport|PM25|Infant mortality", US_national_yearly!$D:$AM, 10, FALSE), 1)</f>
        <v>3.9174316926703957E-5</v>
      </c>
      <c r="R3" s="7">
        <f>$B3 * IFERROR(VLOOKUP("transport|PM25|Infant mortality", US_national_yearly!$D:$AM, 26, FALSE) / VLOOKUP("transport|PM25|Infant mortality", US_national_yearly!$D:$AM, 10, FALSE), 1)</f>
        <v>3.900517121901009E-5</v>
      </c>
      <c r="S3" s="7">
        <f>$B3 * IFERROR(VLOOKUP("transport|PM25|Infant mortality", US_national_yearly!$D:$AM, 27, FALSE) / VLOOKUP("transport|PM25|Infant mortality", US_national_yearly!$D:$AM, 10, FALSE), 1)</f>
        <v>3.8794327635915294E-5</v>
      </c>
      <c r="T3" s="7">
        <f>$B3 * IFERROR(VLOOKUP("transport|PM25|Infant mortality", US_national_yearly!$D:$AM, 28, FALSE) / VLOOKUP("transport|PM25|Infant mortality", US_national_yearly!$D:$AM, 10, FALSE), 1)</f>
        <v>3.8583484052820497E-5</v>
      </c>
      <c r="U3" s="7">
        <f>$B3 * IFERROR(VLOOKUP("transport|PM25|Infant mortality", US_national_yearly!$D:$AM, 29, FALSE) / VLOOKUP("transport|PM25|Infant mortality", US_national_yearly!$D:$AM, 10, FALSE), 1)</f>
        <v>3.8372640469725701E-5</v>
      </c>
      <c r="V3" s="7">
        <f>$B3 * IFERROR(VLOOKUP("transport|PM25|Infant mortality", US_national_yearly!$D:$AM, 30, FALSE) / VLOOKUP("transport|PM25|Infant mortality", US_national_yearly!$D:$AM, 10, FALSE), 1)</f>
        <v>3.8161796886630904E-5</v>
      </c>
      <c r="W3" s="7">
        <f>$B3 * IFERROR(VLOOKUP("transport|PM25|Infant mortality", US_national_yearly!$D:$AM, 31, FALSE) / VLOOKUP("transport|PM25|Infant mortality", US_national_yearly!$D:$AM, 10, FALSE), 1)</f>
        <v>3.7950953303536101E-5</v>
      </c>
      <c r="X3" s="7">
        <f>$B3 * IFERROR(VLOOKUP("transport|PM25|Infant mortality", US_national_yearly!$D:$AM, 32, FALSE) / VLOOKUP("transport|PM25|Infant mortality", US_national_yearly!$D:$AM, 10, FALSE), 1)</f>
        <v>3.7723637420701716E-5</v>
      </c>
      <c r="Y3" s="7">
        <f>$B3 * IFERROR(VLOOKUP("transport|PM25|Infant mortality", US_national_yearly!$D:$AM, 33, FALSE) / VLOOKUP("transport|PM25|Infant mortality", US_national_yearly!$D:$AM, 10, FALSE), 1)</f>
        <v>3.749632153786731E-5</v>
      </c>
      <c r="Z3" s="7">
        <f>$B3 * IFERROR(VLOOKUP("transport|PM25|Infant mortality", US_national_yearly!$D:$AM, 34, FALSE) / VLOOKUP("transport|PM25|Infant mortality", US_national_yearly!$D:$AM, 10, FALSE), 1)</f>
        <v>3.7269005655032925E-5</v>
      </c>
      <c r="AA3" s="7">
        <f>$B3 * IFERROR(VLOOKUP("transport|PM25|Infant mortality", US_national_yearly!$D:$AM, 35, FALSE) / VLOOKUP("transport|PM25|Infant mortality", US_national_yearly!$D:$AM, 10, FALSE), 1)</f>
        <v>3.7041689772198526E-5</v>
      </c>
      <c r="AB3" s="7">
        <f>$B3 * IFERROR(VLOOKUP("transport|PM25|Infant mortality", US_national_yearly!$D:$AM, 36, FALSE) / VLOOKUP("transport|PM25|Infant mortality", US_national_yearly!$D:$AM, 10, FALSE), 1)</f>
        <v>3.6814373889364141E-5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0.12923991450408104</v>
      </c>
      <c r="C6" s="7">
        <f>$B6 * IFERROR(VLOOKUP("transport|PM25|Asthma symptoms cough", US_national_yearly!$D:$AM, 11, FALSE) / VLOOKUP("transport|PM25|Asthma symptoms cough", US_national_yearly!$D:$AM, 10, FALSE), 1)</f>
        <v>0.12923991450408104</v>
      </c>
      <c r="D6" s="7">
        <f>$B6 * IFERROR(VLOOKUP("transport|PM25|Asthma symptoms cough", US_national_yearly!$D:$AM, 12, FALSE) / VLOOKUP("transport|PM25|Asthma symptoms cough", US_national_yearly!$D:$AM, 10, FALSE), 1)</f>
        <v>0.12923991450408104</v>
      </c>
      <c r="E6" s="7">
        <f>$B6 * IFERROR(VLOOKUP("transport|PM25|Asthma symptoms cough", US_national_yearly!$D:$AM, 13, FALSE) / VLOOKUP("transport|PM25|Asthma symptoms cough", US_national_yearly!$D:$AM, 10, FALSE), 1)</f>
        <v>0.12923991450408104</v>
      </c>
      <c r="F6" s="7">
        <f>$B6 * IFERROR(VLOOKUP("transport|PM25|Asthma symptoms cough", US_national_yearly!$D:$AM, 14, FALSE) / VLOOKUP("transport|PM25|Asthma symptoms cough", US_national_yearly!$D:$AM, 10, FALSE), 1)</f>
        <v>0.12923991450408104</v>
      </c>
      <c r="G6" s="7">
        <f>$B6 * IFERROR(VLOOKUP("transport|PM25|Asthma symptoms cough", US_national_yearly!$D:$AM, 15, FALSE) / VLOOKUP("transport|PM25|Asthma symptoms cough", US_national_yearly!$D:$AM, 10, FALSE), 1)</f>
        <v>0.12923991450408104</v>
      </c>
      <c r="H6" s="7">
        <f>$B6 * IFERROR(VLOOKUP("transport|PM25|Asthma symptoms cough", US_national_yearly!$D:$AM, 16, FALSE) / VLOOKUP("transport|PM25|Asthma symptoms cough", US_national_yearly!$D:$AM, 10, FALSE), 1)</f>
        <v>0.12923991450408104</v>
      </c>
      <c r="I6" s="7">
        <f>$B6 * IFERROR(VLOOKUP("transport|PM25|Asthma symptoms cough", US_national_yearly!$D:$AM, 17, FALSE) / VLOOKUP("transport|PM25|Asthma symptoms cough", US_national_yearly!$D:$AM, 10, FALSE), 1)</f>
        <v>0.12923991450408104</v>
      </c>
      <c r="J6" s="7">
        <f>$B6 * IFERROR(VLOOKUP("transport|PM25|Asthma symptoms cough", US_national_yearly!$D:$AM, 18, FALSE) / VLOOKUP("transport|PM25|Asthma symptoms cough", US_national_yearly!$D:$AM, 10, FALSE), 1)</f>
        <v>0.12923991450408104</v>
      </c>
      <c r="K6" s="7">
        <f>$B6 * IFERROR(VLOOKUP("transport|PM25|Asthma symptoms cough", US_national_yearly!$D:$AM, 19, FALSE) / VLOOKUP("transport|PM25|Asthma symptoms cough", US_national_yearly!$D:$AM, 10, FALSE), 1)</f>
        <v>0.12923991450408104</v>
      </c>
      <c r="L6" s="7">
        <f>$B6 * IFERROR(VLOOKUP("transport|PM25|Asthma symptoms cough", US_national_yearly!$D:$AM, 20, FALSE) / VLOOKUP("transport|PM25|Asthma symptoms cough", US_national_yearly!$D:$AM, 10, FALSE), 1)</f>
        <v>0.12923991450408104</v>
      </c>
      <c r="M6" s="7">
        <f>$B6 * IFERROR(VLOOKUP("transport|PM25|Asthma symptoms cough", US_national_yearly!$D:$AM, 21, FALSE) / VLOOKUP("transport|PM25|Asthma symptoms cough", US_national_yearly!$D:$AM, 10, FALSE), 1)</f>
        <v>0.12923991450408104</v>
      </c>
      <c r="N6" s="7">
        <f>$B6 * IFERROR(VLOOKUP("transport|PM25|Asthma symptoms cough", US_national_yearly!$D:$AM, 22, FALSE) / VLOOKUP("transport|PM25|Asthma symptoms cough", US_national_yearly!$D:$AM, 10, FALSE), 1)</f>
        <v>0.12923991450408104</v>
      </c>
      <c r="O6" s="7">
        <f>$B6 * IFERROR(VLOOKUP("transport|PM25|Asthma symptoms cough", US_national_yearly!$D:$AM, 23, FALSE) / VLOOKUP("transport|PM25|Asthma symptoms cough", US_national_yearly!$D:$AM, 10, FALSE), 1)</f>
        <v>0.12923991450408104</v>
      </c>
      <c r="P6" s="7">
        <f>$B6 * IFERROR(VLOOKUP("transport|PM25|Asthma symptoms cough", US_national_yearly!$D:$AM, 24, FALSE) / VLOOKUP("transport|PM25|Asthma symptoms cough", US_national_yearly!$D:$AM, 10, FALSE), 1)</f>
        <v>0.12923991450408104</v>
      </c>
      <c r="Q6" s="7">
        <f>$B6 * IFERROR(VLOOKUP("transport|PM25|Asthma symptoms cough", US_national_yearly!$D:$AM, 25, FALSE) / VLOOKUP("transport|PM25|Asthma symptoms cough", US_national_yearly!$D:$AM, 10, FALSE), 1)</f>
        <v>0.12923991450408104</v>
      </c>
      <c r="R6" s="7">
        <f>$B6 * IFERROR(VLOOKUP("transport|PM25|Asthma symptoms cough", US_national_yearly!$D:$AM, 26, FALSE) / VLOOKUP("transport|PM25|Asthma symptoms cough", US_national_yearly!$D:$AM, 10, FALSE), 1)</f>
        <v>0.12923991450408104</v>
      </c>
      <c r="S6" s="7">
        <f>$B6 * IFERROR(VLOOKUP("transport|PM25|Asthma symptoms cough", US_national_yearly!$D:$AM, 27, FALSE) / VLOOKUP("transport|PM25|Asthma symptoms cough", US_national_yearly!$D:$AM, 10, FALSE), 1)</f>
        <v>0.12923991450408104</v>
      </c>
      <c r="T6" s="7">
        <f>$B6 * IFERROR(VLOOKUP("transport|PM25|Asthma symptoms cough", US_national_yearly!$D:$AM, 28, FALSE) / VLOOKUP("transport|PM25|Asthma symptoms cough", US_national_yearly!$D:$AM, 10, FALSE), 1)</f>
        <v>0.12923991450408104</v>
      </c>
      <c r="U6" s="7">
        <f>$B6 * IFERROR(VLOOKUP("transport|PM25|Asthma symptoms cough", US_national_yearly!$D:$AM, 29, FALSE) / VLOOKUP("transport|PM25|Asthma symptoms cough", US_national_yearly!$D:$AM, 10, FALSE), 1)</f>
        <v>0.12923991450408104</v>
      </c>
      <c r="V6" s="7">
        <f>$B6 * IFERROR(VLOOKUP("transport|PM25|Asthma symptoms cough", US_national_yearly!$D:$AM, 30, FALSE) / VLOOKUP("transport|PM25|Asthma symptoms cough", US_national_yearly!$D:$AM, 10, FALSE), 1)</f>
        <v>0.12923991450408104</v>
      </c>
      <c r="W6" s="7">
        <f>$B6 * IFERROR(VLOOKUP("transport|PM25|Asthma symptoms cough", US_national_yearly!$D:$AM, 31, FALSE) / VLOOKUP("transport|PM25|Asthma symptoms cough", US_national_yearly!$D:$AM, 10, FALSE), 1)</f>
        <v>0.12923991450408104</v>
      </c>
      <c r="X6" s="7">
        <f>$B6 * IFERROR(VLOOKUP("transport|PM25|Asthma symptoms cough", US_national_yearly!$D:$AM, 32, FALSE) / VLOOKUP("transport|PM25|Asthma symptoms cough", US_national_yearly!$D:$AM, 10, FALSE), 1)</f>
        <v>0.12923991450408104</v>
      </c>
      <c r="Y6" s="7">
        <f>$B6 * IFERROR(VLOOKUP("transport|PM25|Asthma symptoms cough", US_national_yearly!$D:$AM, 33, FALSE) / VLOOKUP("transport|PM25|Asthma symptoms cough", US_national_yearly!$D:$AM, 10, FALSE), 1)</f>
        <v>0.12923991450408104</v>
      </c>
      <c r="Z6" s="7">
        <f>$B6 * IFERROR(VLOOKUP("transport|PM25|Asthma symptoms cough", US_national_yearly!$D:$AM, 34, FALSE) / VLOOKUP("transport|PM25|Asthma symptoms cough", US_national_yearly!$D:$AM, 10, FALSE), 1)</f>
        <v>0.12923991450408104</v>
      </c>
      <c r="AA6" s="7">
        <f>$B6 * IFERROR(VLOOKUP("transport|PM25|Asthma symptoms cough", US_national_yearly!$D:$AM, 35, FALSE) / VLOOKUP("transport|PM25|Asthma symptoms cough", US_national_yearly!$D:$AM, 10, FALSE), 1)</f>
        <v>0.12923991450408104</v>
      </c>
      <c r="AB6" s="7">
        <f>$B6 * IFERROR(VLOOKUP("transport|PM25|Asthma symptoms cough", US_national_yearly!$D:$AM, 36, FALSE) / VLOOKUP("transport|PM25|Asthma symptoms cough", US_national_yearly!$D:$AM, 10, FALSE), 1)</f>
        <v>0.12923991450408104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0.17403321352216025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0.17403321352216025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0.17403321352216025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0.17403321352216025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0.17403321352216025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0.17403321352216025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0.17403321352216025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0.17403321352216025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0.17403321352216025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0.17403321352216025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0.17403321352216025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0.17403321352216025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0.17403321352216025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0.17403321352216025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0.17403321352216025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0.17403321352216025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0.17403321352216025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0.17403321352216025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0.17403321352216025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0.17403321352216025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0.17403321352216025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0.17403321352216025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0.17403321352216025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0.17403321352216025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0.17403321352216025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0.17403321352216025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0.17403321352216025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0.26591851338730571</v>
      </c>
      <c r="C8" s="7">
        <f>$B8 * IFERROR(VLOOKUP("transport|PM25|Asthma symptoms wheeze", US_national_yearly!$D:$AM, 11, FALSE) / VLOOKUP("transport|PM25|Asthma symptoms wheeze", US_national_yearly!$D:$AM, 10, FALSE), 1)</f>
        <v>0.26591851338730571</v>
      </c>
      <c r="D8" s="7">
        <f>$B8 * IFERROR(VLOOKUP("transport|PM25|Asthma symptoms wheeze", US_national_yearly!$D:$AM, 12, FALSE) / VLOOKUP("transport|PM25|Asthma symptoms wheeze", US_national_yearly!$D:$AM, 10, FALSE), 1)</f>
        <v>0.26591851338730571</v>
      </c>
      <c r="E8" s="7">
        <f>$B8 * IFERROR(VLOOKUP("transport|PM25|Asthma symptoms wheeze", US_national_yearly!$D:$AM, 13, FALSE) / VLOOKUP("transport|PM25|Asthma symptoms wheeze", US_national_yearly!$D:$AM, 10, FALSE), 1)</f>
        <v>0.26591851338730571</v>
      </c>
      <c r="F8" s="7">
        <f>$B8 * IFERROR(VLOOKUP("transport|PM25|Asthma symptoms wheeze", US_national_yearly!$D:$AM, 14, FALSE) / VLOOKUP("transport|PM25|Asthma symptoms wheeze", US_national_yearly!$D:$AM, 10, FALSE), 1)</f>
        <v>0.26591851338730571</v>
      </c>
      <c r="G8" s="7">
        <f>$B8 * IFERROR(VLOOKUP("transport|PM25|Asthma symptoms wheeze", US_national_yearly!$D:$AM, 15, FALSE) / VLOOKUP("transport|PM25|Asthma symptoms wheeze", US_national_yearly!$D:$AM, 10, FALSE), 1)</f>
        <v>0.26591851338730571</v>
      </c>
      <c r="H8" s="7">
        <f>$B8 * IFERROR(VLOOKUP("transport|PM25|Asthma symptoms wheeze", US_national_yearly!$D:$AM, 16, FALSE) / VLOOKUP("transport|PM25|Asthma symptoms wheeze", US_national_yearly!$D:$AM, 10, FALSE), 1)</f>
        <v>0.26591851338730571</v>
      </c>
      <c r="I8" s="7">
        <f>$B8 * IFERROR(VLOOKUP("transport|PM25|Asthma symptoms wheeze", US_national_yearly!$D:$AM, 17, FALSE) / VLOOKUP("transport|PM25|Asthma symptoms wheeze", US_national_yearly!$D:$AM, 10, FALSE), 1)</f>
        <v>0.26591851338730571</v>
      </c>
      <c r="J8" s="7">
        <f>$B8 * IFERROR(VLOOKUP("transport|PM25|Asthma symptoms wheeze", US_national_yearly!$D:$AM, 18, FALSE) / VLOOKUP("transport|PM25|Asthma symptoms wheeze", US_national_yearly!$D:$AM, 10, FALSE), 1)</f>
        <v>0.26591851338730571</v>
      </c>
      <c r="K8" s="7">
        <f>$B8 * IFERROR(VLOOKUP("transport|PM25|Asthma symptoms wheeze", US_national_yearly!$D:$AM, 19, FALSE) / VLOOKUP("transport|PM25|Asthma symptoms wheeze", US_national_yearly!$D:$AM, 10, FALSE), 1)</f>
        <v>0.26591851338730571</v>
      </c>
      <c r="L8" s="7">
        <f>$B8 * IFERROR(VLOOKUP("transport|PM25|Asthma symptoms wheeze", US_national_yearly!$D:$AM, 20, FALSE) / VLOOKUP("transport|PM25|Asthma symptoms wheeze", US_national_yearly!$D:$AM, 10, FALSE), 1)</f>
        <v>0.26591851338730571</v>
      </c>
      <c r="M8" s="7">
        <f>$B8 * IFERROR(VLOOKUP("transport|PM25|Asthma symptoms wheeze", US_national_yearly!$D:$AM, 21, FALSE) / VLOOKUP("transport|PM25|Asthma symptoms wheeze", US_national_yearly!$D:$AM, 10, FALSE), 1)</f>
        <v>0.26591851338730571</v>
      </c>
      <c r="N8" s="7">
        <f>$B8 * IFERROR(VLOOKUP("transport|PM25|Asthma symptoms wheeze", US_national_yearly!$D:$AM, 22, FALSE) / VLOOKUP("transport|PM25|Asthma symptoms wheeze", US_national_yearly!$D:$AM, 10, FALSE), 1)</f>
        <v>0.26591851338730571</v>
      </c>
      <c r="O8" s="7">
        <f>$B8 * IFERROR(VLOOKUP("transport|PM25|Asthma symptoms wheeze", US_national_yearly!$D:$AM, 23, FALSE) / VLOOKUP("transport|PM25|Asthma symptoms wheeze", US_national_yearly!$D:$AM, 10, FALSE), 1)</f>
        <v>0.26591851338730571</v>
      </c>
      <c r="P8" s="7">
        <f>$B8 * IFERROR(VLOOKUP("transport|PM25|Asthma symptoms wheeze", US_national_yearly!$D:$AM, 24, FALSE) / VLOOKUP("transport|PM25|Asthma symptoms wheeze", US_national_yearly!$D:$AM, 10, FALSE), 1)</f>
        <v>0.26591851338730571</v>
      </c>
      <c r="Q8" s="7">
        <f>$B8 * IFERROR(VLOOKUP("transport|PM25|Asthma symptoms wheeze", US_national_yearly!$D:$AM, 25, FALSE) / VLOOKUP("transport|PM25|Asthma symptoms wheeze", US_national_yearly!$D:$AM, 10, FALSE), 1)</f>
        <v>0.26591851338730571</v>
      </c>
      <c r="R8" s="7">
        <f>$B8 * IFERROR(VLOOKUP("transport|PM25|Asthma symptoms wheeze", US_national_yearly!$D:$AM, 26, FALSE) / VLOOKUP("transport|PM25|Asthma symptoms wheeze", US_national_yearly!$D:$AM, 10, FALSE), 1)</f>
        <v>0.26591851338730571</v>
      </c>
      <c r="S8" s="7">
        <f>$B8 * IFERROR(VLOOKUP("transport|PM25|Asthma symptoms wheeze", US_national_yearly!$D:$AM, 27, FALSE) / VLOOKUP("transport|PM25|Asthma symptoms wheeze", US_national_yearly!$D:$AM, 10, FALSE), 1)</f>
        <v>0.26591851338730571</v>
      </c>
      <c r="T8" s="7">
        <f>$B8 * IFERROR(VLOOKUP("transport|PM25|Asthma symptoms wheeze", US_national_yearly!$D:$AM, 28, FALSE) / VLOOKUP("transport|PM25|Asthma symptoms wheeze", US_national_yearly!$D:$AM, 10, FALSE), 1)</f>
        <v>0.26591851338730571</v>
      </c>
      <c r="U8" s="7">
        <f>$B8 * IFERROR(VLOOKUP("transport|PM25|Asthma symptoms wheeze", US_national_yearly!$D:$AM, 29, FALSE) / VLOOKUP("transport|PM25|Asthma symptoms wheeze", US_national_yearly!$D:$AM, 10, FALSE), 1)</f>
        <v>0.26591851338730571</v>
      </c>
      <c r="V8" s="7">
        <f>$B8 * IFERROR(VLOOKUP("transport|PM25|Asthma symptoms wheeze", US_national_yearly!$D:$AM, 30, FALSE) / VLOOKUP("transport|PM25|Asthma symptoms wheeze", US_national_yearly!$D:$AM, 10, FALSE), 1)</f>
        <v>0.26591851338730571</v>
      </c>
      <c r="W8" s="7">
        <f>$B8 * IFERROR(VLOOKUP("transport|PM25|Asthma symptoms wheeze", US_national_yearly!$D:$AM, 31, FALSE) / VLOOKUP("transport|PM25|Asthma symptoms wheeze", US_national_yearly!$D:$AM, 10, FALSE), 1)</f>
        <v>0.26591851338730571</v>
      </c>
      <c r="X8" s="7">
        <f>$B8 * IFERROR(VLOOKUP("transport|PM25|Asthma symptoms wheeze", US_national_yearly!$D:$AM, 32, FALSE) / VLOOKUP("transport|PM25|Asthma symptoms wheeze", US_national_yearly!$D:$AM, 10, FALSE), 1)</f>
        <v>0.26591851338730571</v>
      </c>
      <c r="Y8" s="7">
        <f>$B8 * IFERROR(VLOOKUP("transport|PM25|Asthma symptoms wheeze", US_national_yearly!$D:$AM, 33, FALSE) / VLOOKUP("transport|PM25|Asthma symptoms wheeze", US_national_yearly!$D:$AM, 10, FALSE), 1)</f>
        <v>0.26591851338730571</v>
      </c>
      <c r="Z8" s="7">
        <f>$B8 * IFERROR(VLOOKUP("transport|PM25|Asthma symptoms wheeze", US_national_yearly!$D:$AM, 34, FALSE) / VLOOKUP("transport|PM25|Asthma symptoms wheeze", US_national_yearly!$D:$AM, 10, FALSE), 1)</f>
        <v>0.26591851338730571</v>
      </c>
      <c r="AA8" s="7">
        <f>$B8 * IFERROR(VLOOKUP("transport|PM25|Asthma symptoms wheeze", US_national_yearly!$D:$AM, 35, FALSE) / VLOOKUP("transport|PM25|Asthma symptoms wheeze", US_national_yearly!$D:$AM, 10, FALSE), 1)</f>
        <v>0.26591851338730571</v>
      </c>
      <c r="AB8" s="7">
        <f>$B8 * IFERROR(VLOOKUP("transport|PM25|Asthma symptoms wheeze", US_national_yearly!$D:$AM, 36, FALSE) / VLOOKUP("transport|PM25|Asthma symptoms wheeze", US_national_yearly!$D:$AM, 10, FALSE), 1)</f>
        <v>0.26591851338730571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3.5947809002789327E-3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3.6153847354978971E-3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3.6359885707168611E-3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3.6565924059358255E-3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3.6771962411547895E-3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3.6994492620535421E-3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3.7217022829522948E-3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3.7429641989506369E-3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3.7642261149489803E-3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3.7854880309473233E-3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3.8067499469456667E-3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3.8280118629440089E-3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3.843272160517617E-3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3.8585324580912243E-3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3.8737927556648307E-3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3.8890530532384379E-3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3.904313350812046E-3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3.9188431649190289E-3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3.9333729790260123E-3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3.9479027931329947E-3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3.9624326072399772E-3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3.9769624213469596E-3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3.9909402878626583E-3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4.0049181543783561E-3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4.0188960208940539E-3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4.0328738874097509E-3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4.0468517539254496E-3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2.2303002492499582E-2</v>
      </c>
      <c r="C13" s="7">
        <f>$B13 * IFERROR(VLOOKUP("transport|PM25|Non-fatal heart attacks", US_national_yearly!$D:$AM, 11, FALSE) / VLOOKUP("transport|PM25|Non-fatal heart attacks", US_national_yearly!$D:$AM, 10, FALSE), 1)</f>
        <v>2.2951409960351395E-2</v>
      </c>
      <c r="D13" s="7">
        <f>$B13 * IFERROR(VLOOKUP("transport|PM25|Non-fatal heart attacks", US_national_yearly!$D:$AM, 12, FALSE) / VLOOKUP("transport|PM25|Non-fatal heart attacks", US_national_yearly!$D:$AM, 10, FALSE), 1)</f>
        <v>2.3599817428203208E-2</v>
      </c>
      <c r="E13" s="7">
        <f>$B13 * IFERROR(VLOOKUP("transport|PM25|Non-fatal heart attacks", US_national_yearly!$D:$AM, 13, FALSE) / VLOOKUP("transport|PM25|Non-fatal heart attacks", US_national_yearly!$D:$AM, 10, FALSE), 1)</f>
        <v>2.4248224896055017E-2</v>
      </c>
      <c r="F13" s="7">
        <f>$B13 * IFERROR(VLOOKUP("transport|PM25|Non-fatal heart attacks", US_national_yearly!$D:$AM, 14, FALSE) / VLOOKUP("transport|PM25|Non-fatal heart attacks", US_national_yearly!$D:$AM, 10, FALSE), 1)</f>
        <v>2.4896632363906837E-2</v>
      </c>
      <c r="G13" s="7">
        <f>$B13 * IFERROR(VLOOKUP("transport|PM25|Non-fatal heart attacks", US_national_yearly!$D:$AM, 15, FALSE) / VLOOKUP("transport|PM25|Non-fatal heart attacks", US_national_yearly!$D:$AM, 10, FALSE), 1)</f>
        <v>2.5508121597616507E-2</v>
      </c>
      <c r="H13" s="7">
        <f>$B13 * IFERROR(VLOOKUP("transport|PM25|Non-fatal heart attacks", US_national_yearly!$D:$AM, 16, FALSE) / VLOOKUP("transport|PM25|Non-fatal heart attacks", US_national_yearly!$D:$AM, 10, FALSE), 1)</f>
        <v>2.6119610831326169E-2</v>
      </c>
      <c r="I13" s="7">
        <f>$B13 * IFERROR(VLOOKUP("transport|PM25|Non-fatal heart attacks", US_national_yearly!$D:$AM, 17, FALSE) / VLOOKUP("transport|PM25|Non-fatal heart attacks", US_national_yearly!$D:$AM, 10, FALSE), 1)</f>
        <v>2.6611044699125362E-2</v>
      </c>
      <c r="J13" s="7">
        <f>$B13 * IFERROR(VLOOKUP("transport|PM25|Non-fatal heart attacks", US_national_yearly!$D:$AM, 18, FALSE) / VLOOKUP("transport|PM25|Non-fatal heart attacks", US_national_yearly!$D:$AM, 10, FALSE), 1)</f>
        <v>2.7102478566924552E-2</v>
      </c>
      <c r="K13" s="7">
        <f>$B13 * IFERROR(VLOOKUP("transport|PM25|Non-fatal heart attacks", US_national_yearly!$D:$AM, 19, FALSE) / VLOOKUP("transport|PM25|Non-fatal heart attacks", US_national_yearly!$D:$AM, 10, FALSE), 1)</f>
        <v>2.7593912434723745E-2</v>
      </c>
      <c r="L13" s="7">
        <f>$B13 * IFERROR(VLOOKUP("transport|PM25|Non-fatal heart attacks", US_national_yearly!$D:$AM, 20, FALSE) / VLOOKUP("transport|PM25|Non-fatal heart attacks", US_national_yearly!$D:$AM, 10, FALSE), 1)</f>
        <v>2.8085346302522938E-2</v>
      </c>
      <c r="M13" s="7">
        <f>$B13 * IFERROR(VLOOKUP("transport|PM25|Non-fatal heart attacks", US_national_yearly!$D:$AM, 21, FALSE) / VLOOKUP("transport|PM25|Non-fatal heart attacks", US_national_yearly!$D:$AM, 10, FALSE), 1)</f>
        <v>2.8576780170322131E-2</v>
      </c>
      <c r="N13" s="7">
        <f>$B13 * IFERROR(VLOOKUP("transport|PM25|Non-fatal heart attacks", US_national_yearly!$D:$AM, 22, FALSE) / VLOOKUP("transport|PM25|Non-fatal heart attacks", US_national_yearly!$D:$AM, 10, FALSE), 1)</f>
        <v>2.8893706488179606E-2</v>
      </c>
      <c r="O13" s="7">
        <f>$B13 * IFERROR(VLOOKUP("transport|PM25|Non-fatal heart attacks", US_national_yearly!$D:$AM, 23, FALSE) / VLOOKUP("transport|PM25|Non-fatal heart attacks", US_national_yearly!$D:$AM, 10, FALSE), 1)</f>
        <v>2.9210632806037081E-2</v>
      </c>
      <c r="P13" s="7">
        <f>$B13 * IFERROR(VLOOKUP("transport|PM25|Non-fatal heart attacks", US_national_yearly!$D:$AM, 24, FALSE) / VLOOKUP("transport|PM25|Non-fatal heart attacks", US_national_yearly!$D:$AM, 10, FALSE), 1)</f>
        <v>2.952755912389456E-2</v>
      </c>
      <c r="Q13" s="7">
        <f>$B13 * IFERROR(VLOOKUP("transport|PM25|Non-fatal heart attacks", US_national_yearly!$D:$AM, 25, FALSE) / VLOOKUP("transport|PM25|Non-fatal heart attacks", US_national_yearly!$D:$AM, 10, FALSE), 1)</f>
        <v>2.9844485441752035E-2</v>
      </c>
      <c r="R13" s="7">
        <f>$B13 * IFERROR(VLOOKUP("transport|PM25|Non-fatal heart attacks", US_national_yearly!$D:$AM, 26, FALSE) / VLOOKUP("transport|PM25|Non-fatal heart attacks", US_national_yearly!$D:$AM, 10, FALSE), 1)</f>
        <v>3.016141175960951E-2</v>
      </c>
      <c r="S13" s="7">
        <f>$B13 * IFERROR(VLOOKUP("transport|PM25|Non-fatal heart attacks", US_national_yearly!$D:$AM, 27, FALSE) / VLOOKUP("transport|PM25|Non-fatal heart attacks", US_national_yearly!$D:$AM, 10, FALSE), 1)</f>
        <v>3.0328314213109057E-2</v>
      </c>
      <c r="T13" s="7">
        <f>$B13 * IFERROR(VLOOKUP("transport|PM25|Non-fatal heart attacks", US_national_yearly!$D:$AM, 28, FALSE) / VLOOKUP("transport|PM25|Non-fatal heart attacks", US_national_yearly!$D:$AM, 10, FALSE), 1)</f>
        <v>3.0495216666608611E-2</v>
      </c>
      <c r="U13" s="7">
        <f>$B13 * IFERROR(VLOOKUP("transport|PM25|Non-fatal heart attacks", US_national_yearly!$D:$AM, 29, FALSE) / VLOOKUP("transport|PM25|Non-fatal heart attacks", US_national_yearly!$D:$AM, 10, FALSE), 1)</f>
        <v>3.0662119120108165E-2</v>
      </c>
      <c r="V13" s="7">
        <f>$B13 * IFERROR(VLOOKUP("transport|PM25|Non-fatal heart attacks", US_national_yearly!$D:$AM, 30, FALSE) / VLOOKUP("transport|PM25|Non-fatal heart attacks", US_national_yearly!$D:$AM, 10, FALSE), 1)</f>
        <v>3.0829021573607715E-2</v>
      </c>
      <c r="W13" s="7">
        <f>$B13 * IFERROR(VLOOKUP("transport|PM25|Non-fatal heart attacks", US_national_yearly!$D:$AM, 31, FALSE) / VLOOKUP("transport|PM25|Non-fatal heart attacks", US_national_yearly!$D:$AM, 10, FALSE), 1)</f>
        <v>3.0995924027107265E-2</v>
      </c>
      <c r="X13" s="7">
        <f>$B13 * IFERROR(VLOOKUP("transport|PM25|Non-fatal heart attacks", US_national_yearly!$D:$AM, 32, FALSE) / VLOOKUP("transport|PM25|Non-fatal heart attacks", US_national_yearly!$D:$AM, 10, FALSE), 1)</f>
        <v>3.1122627122912205E-2</v>
      </c>
      <c r="Y13" s="7">
        <f>$B13 * IFERROR(VLOOKUP("transport|PM25|Non-fatal heart attacks", US_national_yearly!$D:$AM, 33, FALSE) / VLOOKUP("transport|PM25|Non-fatal heart attacks", US_national_yearly!$D:$AM, 10, FALSE), 1)</f>
        <v>3.1249330218717151E-2</v>
      </c>
      <c r="Z13" s="7">
        <f>$B13 * IFERROR(VLOOKUP("transport|PM25|Non-fatal heart attacks", US_national_yearly!$D:$AM, 34, FALSE) / VLOOKUP("transport|PM25|Non-fatal heart attacks", US_national_yearly!$D:$AM, 10, FALSE), 1)</f>
        <v>3.1376033314522093E-2</v>
      </c>
      <c r="AA13" s="7">
        <f>$B13 * IFERROR(VLOOKUP("transport|PM25|Non-fatal heart attacks", US_national_yearly!$D:$AM, 35, FALSE) / VLOOKUP("transport|PM25|Non-fatal heart attacks", US_national_yearly!$D:$AM, 10, FALSE), 1)</f>
        <v>3.150273641032704E-2</v>
      </c>
      <c r="AB13" s="7">
        <f>$B13 * IFERROR(VLOOKUP("transport|PM25|Non-fatal heart attacks", US_national_yearly!$D:$AM, 36, FALSE) / VLOOKUP("transport|PM25|Non-fatal heart attacks", US_national_yearly!$D:$AM, 10, FALSE), 1)</f>
        <v>3.1629439506131979E-2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16.614039264828424</v>
      </c>
      <c r="C14" s="7">
        <f>$B14 * IFERROR(VLOOKUP("transport|PM25|Minor restricted activity days", US_national_yearly!$D:$AM, 11, FALSE) / VLOOKUP("transport|PM25|Minor restricted activity days", US_national_yearly!$D:$AM, 10, FALSE), 1)</f>
        <v>16.654612718986737</v>
      </c>
      <c r="D14" s="7">
        <f>$B14 * IFERROR(VLOOKUP("transport|PM25|Minor restricted activity days", US_national_yearly!$D:$AM, 12, FALSE) / VLOOKUP("transport|PM25|Minor restricted activity days", US_national_yearly!$D:$AM, 10, FALSE), 1)</f>
        <v>16.695186173145046</v>
      </c>
      <c r="E14" s="7">
        <f>$B14 * IFERROR(VLOOKUP("transport|PM25|Minor restricted activity days", US_national_yearly!$D:$AM, 13, FALSE) / VLOOKUP("transport|PM25|Minor restricted activity days", US_national_yearly!$D:$AM, 10, FALSE), 1)</f>
        <v>16.735759627303363</v>
      </c>
      <c r="F14" s="7">
        <f>$B14 * IFERROR(VLOOKUP("transport|PM25|Minor restricted activity days", US_national_yearly!$D:$AM, 14, FALSE) / VLOOKUP("transport|PM25|Minor restricted activity days", US_national_yearly!$D:$AM, 10, FALSE), 1)</f>
        <v>16.776333081461669</v>
      </c>
      <c r="G14" s="7">
        <f>$B14 * IFERROR(VLOOKUP("transport|PM25|Minor restricted activity days", US_national_yearly!$D:$AM, 15, FALSE) / VLOOKUP("transport|PM25|Minor restricted activity days", US_national_yearly!$D:$AM, 10, FALSE), 1)</f>
        <v>16.836197998814001</v>
      </c>
      <c r="H14" s="7">
        <f>$B14 * IFERROR(VLOOKUP("transport|PM25|Minor restricted activity days", US_national_yearly!$D:$AM, 16, FALSE) / VLOOKUP("transport|PM25|Minor restricted activity days", US_national_yearly!$D:$AM, 10, FALSE), 1)</f>
        <v>16.896062916166333</v>
      </c>
      <c r="I14" s="7">
        <f>$B14 * IFERROR(VLOOKUP("transport|PM25|Minor restricted activity days", US_national_yearly!$D:$AM, 17, FALSE) / VLOOKUP("transport|PM25|Minor restricted activity days", US_national_yearly!$D:$AM, 10, FALSE), 1)</f>
        <v>16.998404510946948</v>
      </c>
      <c r="J14" s="7">
        <f>$B14 * IFERROR(VLOOKUP("transport|PM25|Minor restricted activity days", US_national_yearly!$D:$AM, 18, FALSE) / VLOOKUP("transport|PM25|Minor restricted activity days", US_national_yearly!$D:$AM, 10, FALSE), 1)</f>
        <v>17.100746105727556</v>
      </c>
      <c r="K14" s="7">
        <f>$B14 * IFERROR(VLOOKUP("transport|PM25|Minor restricted activity days", US_national_yearly!$D:$AM, 19, FALSE) / VLOOKUP("transport|PM25|Minor restricted activity days", US_national_yearly!$D:$AM, 10, FALSE), 1)</f>
        <v>17.203087700508171</v>
      </c>
      <c r="L14" s="7">
        <f>$B14 * IFERROR(VLOOKUP("transport|PM25|Minor restricted activity days", US_national_yearly!$D:$AM, 20, FALSE) / VLOOKUP("transport|PM25|Minor restricted activity days", US_national_yearly!$D:$AM, 10, FALSE), 1)</f>
        <v>17.305429295288786</v>
      </c>
      <c r="M14" s="7">
        <f>$B14 * IFERROR(VLOOKUP("transport|PM25|Minor restricted activity days", US_national_yearly!$D:$AM, 21, FALSE) / VLOOKUP("transport|PM25|Minor restricted activity days", US_national_yearly!$D:$AM, 10, FALSE), 1)</f>
        <v>17.407770890069397</v>
      </c>
      <c r="N14" s="7">
        <f>$B14 * IFERROR(VLOOKUP("transport|PM25|Minor restricted activity days", US_national_yearly!$D:$AM, 22, FALSE) / VLOOKUP("transport|PM25|Minor restricted activity days", US_national_yearly!$D:$AM, 10, FALSE), 1)</f>
        <v>17.547180518335875</v>
      </c>
      <c r="O14" s="7">
        <f>$B14 * IFERROR(VLOOKUP("transport|PM25|Minor restricted activity days", US_national_yearly!$D:$AM, 23, FALSE) / VLOOKUP("transport|PM25|Minor restricted activity days", US_national_yearly!$D:$AM, 10, FALSE), 1)</f>
        <v>17.686590146602349</v>
      </c>
      <c r="P14" s="7">
        <f>$B14 * IFERROR(VLOOKUP("transport|PM25|Minor restricted activity days", US_national_yearly!$D:$AM, 24, FALSE) / VLOOKUP("transport|PM25|Minor restricted activity days", US_national_yearly!$D:$AM, 10, FALSE), 1)</f>
        <v>17.825999774868826</v>
      </c>
      <c r="Q14" s="7">
        <f>$B14 * IFERROR(VLOOKUP("transport|PM25|Minor restricted activity days", US_national_yearly!$D:$AM, 25, FALSE) / VLOOKUP("transport|PM25|Minor restricted activity days", US_national_yearly!$D:$AM, 10, FALSE), 1)</f>
        <v>17.965409403135304</v>
      </c>
      <c r="R14" s="7">
        <f>$B14 * IFERROR(VLOOKUP("transport|PM25|Minor restricted activity days", US_national_yearly!$D:$AM, 26, FALSE) / VLOOKUP("transport|PM25|Minor restricted activity days", US_national_yearly!$D:$AM, 10, FALSE), 1)</f>
        <v>18.104819031401778</v>
      </c>
      <c r="S14" s="7">
        <f>$B14 * IFERROR(VLOOKUP("transport|PM25|Minor restricted activity days", US_national_yearly!$D:$AM, 27, FALSE) / VLOOKUP("transport|PM25|Minor restricted activity days", US_national_yearly!$D:$AM, 10, FALSE), 1)</f>
        <v>18.245188728096462</v>
      </c>
      <c r="T14" s="7">
        <f>$B14 * IFERROR(VLOOKUP("transport|PM25|Minor restricted activity days", US_national_yearly!$D:$AM, 28, FALSE) / VLOOKUP("transport|PM25|Minor restricted activity days", US_national_yearly!$D:$AM, 10, FALSE), 1)</f>
        <v>18.385558424791146</v>
      </c>
      <c r="U14" s="7">
        <f>$B14 * IFERROR(VLOOKUP("transport|PM25|Minor restricted activity days", US_national_yearly!$D:$AM, 29, FALSE) / VLOOKUP("transport|PM25|Minor restricted activity days", US_national_yearly!$D:$AM, 10, FALSE), 1)</f>
        <v>18.525928121485833</v>
      </c>
      <c r="V14" s="7">
        <f>$B14 * IFERROR(VLOOKUP("transport|PM25|Minor restricted activity days", US_national_yearly!$D:$AM, 30, FALSE) / VLOOKUP("transport|PM25|Minor restricted activity days", US_national_yearly!$D:$AM, 10, FALSE), 1)</f>
        <v>18.666297818180517</v>
      </c>
      <c r="W14" s="7">
        <f>$B14 * IFERROR(VLOOKUP("transport|PM25|Minor restricted activity days", US_national_yearly!$D:$AM, 31, FALSE) / VLOOKUP("transport|PM25|Minor restricted activity days", US_national_yearly!$D:$AM, 10, FALSE), 1)</f>
        <v>18.806667514875201</v>
      </c>
      <c r="X14" s="7">
        <f>$B14 * IFERROR(VLOOKUP("transport|PM25|Minor restricted activity days", US_national_yearly!$D:$AM, 32, FALSE) / VLOOKUP("transport|PM25|Minor restricted activity days", US_national_yearly!$D:$AM, 10, FALSE), 1)</f>
        <v>18.928522533066353</v>
      </c>
      <c r="Y14" s="7">
        <f>$B14 * IFERROR(VLOOKUP("transport|PM25|Minor restricted activity days", US_national_yearly!$D:$AM, 33, FALSE) / VLOOKUP("transport|PM25|Minor restricted activity days", US_national_yearly!$D:$AM, 10, FALSE), 1)</f>
        <v>19.050377551257505</v>
      </c>
      <c r="Z14" s="7">
        <f>$B14 * IFERROR(VLOOKUP("transport|PM25|Minor restricted activity days", US_national_yearly!$D:$AM, 34, FALSE) / VLOOKUP("transport|PM25|Minor restricted activity days", US_national_yearly!$D:$AM, 10, FALSE), 1)</f>
        <v>19.172232569448656</v>
      </c>
      <c r="AA14" s="7">
        <f>$B14 * IFERROR(VLOOKUP("transport|PM25|Minor restricted activity days", US_national_yearly!$D:$AM, 35, FALSE) / VLOOKUP("transport|PM25|Minor restricted activity days", US_national_yearly!$D:$AM, 10, FALSE), 1)</f>
        <v>19.294087587639801</v>
      </c>
      <c r="AB14" s="7">
        <f>$B14 * IFERROR(VLOOKUP("transport|PM25|Minor restricted activity days", US_national_yearly!$D:$AM, 36, FALSE) / VLOOKUP("transport|PM25|Minor restricted activity days", US_national_yearly!$D:$AM, 10, FALSE), 1)</f>
        <v>19.415942605830953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2.8244613478563707</v>
      </c>
      <c r="C15" s="7">
        <f>$B15 * IFERROR(VLOOKUP("transport|PM25|Work loss days", US_national_yearly!$D:$AM, 11, FALSE) / VLOOKUP("transport|PM25|Work loss days", US_national_yearly!$D:$AM, 10, FALSE), 1)</f>
        <v>2.8332161607462356</v>
      </c>
      <c r="D15" s="7">
        <f>$B15 * IFERROR(VLOOKUP("transport|PM25|Work loss days", US_national_yearly!$D:$AM, 12, FALSE) / VLOOKUP("transport|PM25|Work loss days", US_national_yearly!$D:$AM, 10, FALSE), 1)</f>
        <v>2.841970973636101</v>
      </c>
      <c r="E15" s="7">
        <f>$B15 * IFERROR(VLOOKUP("transport|PM25|Work loss days", US_national_yearly!$D:$AM, 13, FALSE) / VLOOKUP("transport|PM25|Work loss days", US_national_yearly!$D:$AM, 10, FALSE), 1)</f>
        <v>2.8507257865259659</v>
      </c>
      <c r="F15" s="7">
        <f>$B15 * IFERROR(VLOOKUP("transport|PM25|Work loss days", US_national_yearly!$D:$AM, 14, FALSE) / VLOOKUP("transport|PM25|Work loss days", US_national_yearly!$D:$AM, 10, FALSE), 1)</f>
        <v>2.8594805994158303</v>
      </c>
      <c r="G15" s="7">
        <f>$B15 * IFERROR(VLOOKUP("transport|PM25|Work loss days", US_national_yearly!$D:$AM, 15, FALSE) / VLOOKUP("transport|PM25|Work loss days", US_national_yearly!$D:$AM, 10, FALSE), 1)</f>
        <v>2.8709587177674503</v>
      </c>
      <c r="H15" s="7">
        <f>$B15 * IFERROR(VLOOKUP("transport|PM25|Work loss days", US_national_yearly!$D:$AM, 16, FALSE) / VLOOKUP("transport|PM25|Work loss days", US_national_yearly!$D:$AM, 10, FALSE), 1)</f>
        <v>2.8824368361190711</v>
      </c>
      <c r="I15" s="7">
        <f>$B15 * IFERROR(VLOOKUP("transport|PM25|Work loss days", US_national_yearly!$D:$AM, 17, FALSE) / VLOOKUP("transport|PM25|Work loss days", US_national_yearly!$D:$AM, 10, FALSE), 1)</f>
        <v>2.8993396278116212</v>
      </c>
      <c r="J15" s="7">
        <f>$B15 * IFERROR(VLOOKUP("transport|PM25|Work loss days", US_national_yearly!$D:$AM, 18, FALSE) / VLOOKUP("transport|PM25|Work loss days", US_national_yearly!$D:$AM, 10, FALSE), 1)</f>
        <v>2.9162424195041718</v>
      </c>
      <c r="K15" s="7">
        <f>$B15 * IFERROR(VLOOKUP("transport|PM25|Work loss days", US_national_yearly!$D:$AM, 19, FALSE) / VLOOKUP("transport|PM25|Work loss days", US_national_yearly!$D:$AM, 10, FALSE), 1)</f>
        <v>2.933145211196722</v>
      </c>
      <c r="L15" s="7">
        <f>$B15 * IFERROR(VLOOKUP("transport|PM25|Work loss days", US_national_yearly!$D:$AM, 20, FALSE) / VLOOKUP("transport|PM25|Work loss days", US_national_yearly!$D:$AM, 10, FALSE), 1)</f>
        <v>2.9500480028892722</v>
      </c>
      <c r="M15" s="7">
        <f>$B15 * IFERROR(VLOOKUP("transport|PM25|Work loss days", US_national_yearly!$D:$AM, 21, FALSE) / VLOOKUP("transport|PM25|Work loss days", US_national_yearly!$D:$AM, 10, FALSE), 1)</f>
        <v>2.9669507945818228</v>
      </c>
      <c r="N15" s="7">
        <f>$B15 * IFERROR(VLOOKUP("transport|PM25|Work loss days", US_national_yearly!$D:$AM, 22, FALSE) / VLOOKUP("transport|PM25|Work loss days", US_national_yearly!$D:$AM, 10, FALSE), 1)</f>
        <v>2.9882242372789354</v>
      </c>
      <c r="O15" s="7">
        <f>$B15 * IFERROR(VLOOKUP("transport|PM25|Work loss days", US_national_yearly!$D:$AM, 23, FALSE) / VLOOKUP("transport|PM25|Work loss days", US_national_yearly!$D:$AM, 10, FALSE), 1)</f>
        <v>3.0094976799760476</v>
      </c>
      <c r="P15" s="7">
        <f>$B15 * IFERROR(VLOOKUP("transport|PM25|Work loss days", US_national_yearly!$D:$AM, 24, FALSE) / VLOOKUP("transport|PM25|Work loss days", US_national_yearly!$D:$AM, 10, FALSE), 1)</f>
        <v>3.0307711226731602</v>
      </c>
      <c r="Q15" s="7">
        <f>$B15 * IFERROR(VLOOKUP("transport|PM25|Work loss days", US_national_yearly!$D:$AM, 25, FALSE) / VLOOKUP("transport|PM25|Work loss days", US_national_yearly!$D:$AM, 10, FALSE), 1)</f>
        <v>3.0520445653702724</v>
      </c>
      <c r="R15" s="7">
        <f>$B15 * IFERROR(VLOOKUP("transport|PM25|Work loss days", US_national_yearly!$D:$AM, 26, FALSE) / VLOOKUP("transport|PM25|Work loss days", US_national_yearly!$D:$AM, 10, FALSE), 1)</f>
        <v>3.073318008067385</v>
      </c>
      <c r="S15" s="7">
        <f>$B15 * IFERROR(VLOOKUP("transport|PM25|Work loss days", US_national_yearly!$D:$AM, 27, FALSE) / VLOOKUP("transport|PM25|Work loss days", US_national_yearly!$D:$AM, 10, FALSE), 1)</f>
        <v>3.0968473439271196</v>
      </c>
      <c r="T15" s="7">
        <f>$B15 * IFERROR(VLOOKUP("transport|PM25|Work loss days", US_national_yearly!$D:$AM, 28, FALSE) / VLOOKUP("transport|PM25|Work loss days", US_national_yearly!$D:$AM, 10, FALSE), 1)</f>
        <v>3.1203766797868542</v>
      </c>
      <c r="U15" s="7">
        <f>$B15 * IFERROR(VLOOKUP("transport|PM25|Work loss days", US_national_yearly!$D:$AM, 29, FALSE) / VLOOKUP("transport|PM25|Work loss days", US_national_yearly!$D:$AM, 10, FALSE), 1)</f>
        <v>3.1439060156465879</v>
      </c>
      <c r="V15" s="7">
        <f>$B15 * IFERROR(VLOOKUP("transport|PM25|Work loss days", US_national_yearly!$D:$AM, 30, FALSE) / VLOOKUP("transport|PM25|Work loss days", US_national_yearly!$D:$AM, 10, FALSE), 1)</f>
        <v>3.1674353515063229</v>
      </c>
      <c r="W15" s="7">
        <f>$B15 * IFERROR(VLOOKUP("transport|PM25|Work loss days", US_national_yearly!$D:$AM, 31, FALSE) / VLOOKUP("transport|PM25|Work loss days", US_national_yearly!$D:$AM, 10, FALSE), 1)</f>
        <v>3.1909646873660571</v>
      </c>
      <c r="X15" s="7">
        <f>$B15 * IFERROR(VLOOKUP("transport|PM25|Work loss days", US_national_yearly!$D:$AM, 32, FALSE) / VLOOKUP("transport|PM25|Work loss days", US_national_yearly!$D:$AM, 10, FALSE), 1)</f>
        <v>3.2118415542207552</v>
      </c>
      <c r="Y15" s="7">
        <f>$B15 * IFERROR(VLOOKUP("transport|PM25|Work loss days", US_national_yearly!$D:$AM, 33, FALSE) / VLOOKUP("transport|PM25|Work loss days", US_national_yearly!$D:$AM, 10, FALSE), 1)</f>
        <v>3.2327184210754534</v>
      </c>
      <c r="Z15" s="7">
        <f>$B15 * IFERROR(VLOOKUP("transport|PM25|Work loss days", US_national_yearly!$D:$AM, 34, FALSE) / VLOOKUP("transport|PM25|Work loss days", US_national_yearly!$D:$AM, 10, FALSE), 1)</f>
        <v>3.253595287930152</v>
      </c>
      <c r="AA15" s="7">
        <f>$B15 * IFERROR(VLOOKUP("transport|PM25|Work loss days", US_national_yearly!$D:$AM, 35, FALSE) / VLOOKUP("transport|PM25|Work loss days", US_national_yearly!$D:$AM, 10, FALSE), 1)</f>
        <v>3.2744721547848505</v>
      </c>
      <c r="AB15" s="7">
        <f>$B15 * IFERROR(VLOOKUP("transport|PM25|Work loss days", US_national_yearly!$D:$AM, 36, FALSE) / VLOOKUP("transport|PM25|Work loss days", US_national_yearly!$D:$AM, 10, FALSE), 1)</f>
        <v>3.2953490216395487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5.629772372011268E-3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5.797993896222136E-3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5.9662154204330057E-3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6.1344369446438745E-3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6.3026584688547441E-3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6.4637846401845202E-3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6.6249108115142988E-3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6.7627147594169464E-3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6.9005187073195931E-3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7.0383226552222398E-3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7.1761266031248891E-3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7.3139305510275358E-3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7.405807589342072E-3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7.4976846276566091E-3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7.5895616659711453E-3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7.6814387042856824E-3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7.7733157426002177E-3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7.8219272736070981E-3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7.8705388046139777E-3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7.9191503356208556E-3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7.9677618666277334E-3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8.016373397634613E-3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8.0490993197430711E-3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8.0818252418515275E-3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8.1145511639599856E-3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8.1472770860684419E-3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8.1800030081769001E-3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1.6056227463171462E-3</v>
      </c>
      <c r="C2" s="7">
        <f>$B2 * IFERROR(VLOOKUP("transport|NOx|Premature mortality", US_national_yearly!$D:$AM, 11, FALSE) / VLOOKUP("transport|NOx|Premature mortality", US_national_yearly!$D:$AM, 10, FALSE), 1)</f>
        <v>1.6292066305514433E-3</v>
      </c>
      <c r="D2" s="7">
        <f>$B2 * IFERROR(VLOOKUP("transport|NOx|Premature mortality", US_national_yearly!$D:$AM, 12, FALSE) / VLOOKUP("transport|NOx|Premature mortality", US_national_yearly!$D:$AM, 10, FALSE), 1)</f>
        <v>1.65279051478574E-3</v>
      </c>
      <c r="E2" s="7">
        <f>$B2 * IFERROR(VLOOKUP("transport|NOx|Premature mortality", US_national_yearly!$D:$AM, 13, FALSE) / VLOOKUP("transport|NOx|Premature mortality", US_national_yearly!$D:$AM, 10, FALSE), 1)</f>
        <v>1.6763743990200369E-3</v>
      </c>
      <c r="F2" s="7">
        <f>$B2 * IFERROR(VLOOKUP("transport|NOx|Premature mortality", US_national_yearly!$D:$AM, 14, FALSE) / VLOOKUP("transport|NOx|Premature mortality", US_national_yearly!$D:$AM, 10, FALSE), 1)</f>
        <v>1.6999582832543339E-3</v>
      </c>
      <c r="G2" s="7">
        <f>$B2 * IFERROR(VLOOKUP("transport|NOx|Premature mortality", US_national_yearly!$D:$AM, 15, FALSE) / VLOOKUP("transport|NOx|Premature mortality", US_national_yearly!$D:$AM, 10, FALSE), 1)</f>
        <v>1.7423205151401962E-3</v>
      </c>
      <c r="H2" s="7">
        <f>$B2 * IFERROR(VLOOKUP("transport|NOx|Premature mortality", US_national_yearly!$D:$AM, 16, FALSE) / VLOOKUP("transport|NOx|Premature mortality", US_national_yearly!$D:$AM, 10, FALSE), 1)</f>
        <v>1.7846827470260592E-3</v>
      </c>
      <c r="I2" s="7">
        <f>$B2 * IFERROR(VLOOKUP("transport|NOx|Premature mortality", US_national_yearly!$D:$AM, 17, FALSE) / VLOOKUP("transport|NOx|Premature mortality", US_national_yearly!$D:$AM, 10, FALSE), 1)</f>
        <v>1.8120283712620975E-3</v>
      </c>
      <c r="J2" s="7">
        <f>$B2 * IFERROR(VLOOKUP("transport|NOx|Premature mortality", US_national_yearly!$D:$AM, 18, FALSE) / VLOOKUP("transport|NOx|Premature mortality", US_national_yearly!$D:$AM, 10, FALSE), 1)</f>
        <v>1.8393739954981362E-3</v>
      </c>
      <c r="K2" s="7">
        <f>$B2 * IFERROR(VLOOKUP("transport|NOx|Premature mortality", US_national_yearly!$D:$AM, 19, FALSE) / VLOOKUP("transport|NOx|Premature mortality", US_national_yearly!$D:$AM, 10, FALSE), 1)</f>
        <v>1.8667196197341748E-3</v>
      </c>
      <c r="L2" s="7">
        <f>$B2 * IFERROR(VLOOKUP("transport|NOx|Premature mortality", US_national_yearly!$D:$AM, 20, FALSE) / VLOOKUP("transport|NOx|Premature mortality", US_national_yearly!$D:$AM, 10, FALSE), 1)</f>
        <v>1.8940652439702131E-3</v>
      </c>
      <c r="M2" s="7">
        <f>$B2 * IFERROR(VLOOKUP("transport|NOx|Premature mortality", US_national_yearly!$D:$AM, 21, FALSE) / VLOOKUP("transport|NOx|Premature mortality", US_national_yearly!$D:$AM, 10, FALSE), 1)</f>
        <v>1.9214108682062518E-3</v>
      </c>
      <c r="N2" s="7">
        <f>$B2 * IFERROR(VLOOKUP("transport|NOx|Premature mortality", US_national_yearly!$D:$AM, 22, FALSE) / VLOOKUP("transport|NOx|Premature mortality", US_national_yearly!$D:$AM, 10, FALSE), 1)</f>
        <v>1.9416684003329999E-3</v>
      </c>
      <c r="O2" s="7">
        <f>$B2 * IFERROR(VLOOKUP("transport|NOx|Premature mortality", US_national_yearly!$D:$AM, 23, FALSE) / VLOOKUP("transport|NOx|Premature mortality", US_national_yearly!$D:$AM, 10, FALSE), 1)</f>
        <v>1.9619259324597481E-3</v>
      </c>
      <c r="P2" s="7">
        <f>$B2 * IFERROR(VLOOKUP("transport|NOx|Premature mortality", US_national_yearly!$D:$AM, 24, FALSE) / VLOOKUP("transport|NOx|Premature mortality", US_national_yearly!$D:$AM, 10, FALSE), 1)</f>
        <v>1.9821834645864962E-3</v>
      </c>
      <c r="Q2" s="7">
        <f>$B2 * IFERROR(VLOOKUP("transport|NOx|Premature mortality", US_national_yearly!$D:$AM, 25, FALSE) / VLOOKUP("transport|NOx|Premature mortality", US_national_yearly!$D:$AM, 10, FALSE), 1)</f>
        <v>2.0024409967132444E-3</v>
      </c>
      <c r="R2" s="7">
        <f>$B2 * IFERROR(VLOOKUP("transport|NOx|Premature mortality", US_national_yearly!$D:$AM, 26, FALSE) / VLOOKUP("transport|NOx|Premature mortality", US_national_yearly!$D:$AM, 10, FALSE), 1)</f>
        <v>2.0226985288399925E-3</v>
      </c>
      <c r="S2" s="7">
        <f>$B2 * IFERROR(VLOOKUP("transport|NOx|Premature mortality", US_national_yearly!$D:$AM, 27, FALSE) / VLOOKUP("transport|NOx|Premature mortality", US_national_yearly!$D:$AM, 10, FALSE), 1)</f>
        <v>2.0319057811822375E-3</v>
      </c>
      <c r="T2" s="7">
        <f>$B2 * IFERROR(VLOOKUP("transport|NOx|Premature mortality", US_national_yearly!$D:$AM, 28, FALSE) / VLOOKUP("transport|NOx|Premature mortality", US_national_yearly!$D:$AM, 10, FALSE), 1)</f>
        <v>2.0411130335244825E-3</v>
      </c>
      <c r="U2" s="7">
        <f>$B2 * IFERROR(VLOOKUP("transport|NOx|Premature mortality", US_national_yearly!$D:$AM, 29, FALSE) / VLOOKUP("transport|NOx|Premature mortality", US_national_yearly!$D:$AM, 10, FALSE), 1)</f>
        <v>2.050320285866727E-3</v>
      </c>
      <c r="V2" s="7">
        <f>$B2 * IFERROR(VLOOKUP("transport|NOx|Premature mortality", US_national_yearly!$D:$AM, 30, FALSE) / VLOOKUP("transport|NOx|Premature mortality", US_national_yearly!$D:$AM, 10, FALSE), 1)</f>
        <v>2.0595275382089715E-3</v>
      </c>
      <c r="W2" s="7">
        <f>$B2 * IFERROR(VLOOKUP("transport|NOx|Premature mortality", US_national_yearly!$D:$AM, 31, FALSE) / VLOOKUP("transport|NOx|Premature mortality", US_national_yearly!$D:$AM, 10, FALSE), 1)</f>
        <v>2.0687347905512165E-3</v>
      </c>
      <c r="X2" s="7">
        <f>$B2 * IFERROR(VLOOKUP("transport|NOx|Premature mortality", US_national_yearly!$D:$AM, 32, FALSE) / VLOOKUP("transport|NOx|Premature mortality", US_national_yearly!$D:$AM, 10, FALSE), 1)</f>
        <v>2.0690537244873468E-3</v>
      </c>
      <c r="Y2" s="7">
        <f>$B2 * IFERROR(VLOOKUP("transport|NOx|Premature mortality", US_national_yearly!$D:$AM, 33, FALSE) / VLOOKUP("transport|NOx|Premature mortality", US_national_yearly!$D:$AM, 10, FALSE), 1)</f>
        <v>2.0693726584234771E-3</v>
      </c>
      <c r="Z2" s="7">
        <f>$B2 * IFERROR(VLOOKUP("transport|NOx|Premature mortality", US_national_yearly!$D:$AM, 34, FALSE) / VLOOKUP("transport|NOx|Premature mortality", US_national_yearly!$D:$AM, 10, FALSE), 1)</f>
        <v>2.0696915923596069E-3</v>
      </c>
      <c r="AA2" s="7">
        <f>$B2 * IFERROR(VLOOKUP("transport|NOx|Premature mortality", US_national_yearly!$D:$AM, 35, FALSE) / VLOOKUP("transport|NOx|Premature mortality", US_national_yearly!$D:$AM, 10, FALSE), 1)</f>
        <v>2.0700105262957376E-3</v>
      </c>
      <c r="AB2" s="7">
        <f>$B2 * IFERROR(VLOOKUP("transport|NOx|Premature mortality", US_national_yearly!$D:$AM, 36, FALSE) / VLOOKUP("transport|NOx|Premature mortality", US_national_yearly!$D:$AM, 10, FALSE), 1)</f>
        <v>2.0703294602318679E-3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4.5935192242031986E-6</v>
      </c>
      <c r="C3" s="7">
        <f>$B3 * IFERROR(VLOOKUP("transport|NOx|Infant mortality", US_national_yearly!$D:$AM, 11, FALSE) / VLOOKUP("transport|NOx|Infant mortality", US_national_yearly!$D:$AM, 10, FALSE), 1)</f>
        <v>4.5497542485592189E-6</v>
      </c>
      <c r="D3" s="7">
        <f>$B3 * IFERROR(VLOOKUP("transport|NOx|Infant mortality", US_national_yearly!$D:$AM, 12, FALSE) / VLOOKUP("transport|NOx|Infant mortality", US_national_yearly!$D:$AM, 10, FALSE), 1)</f>
        <v>4.5059892729152392E-6</v>
      </c>
      <c r="E3" s="7">
        <f>$B3 * IFERROR(VLOOKUP("transport|NOx|Infant mortality", US_national_yearly!$D:$AM, 13, FALSE) / VLOOKUP("transport|NOx|Infant mortality", US_national_yearly!$D:$AM, 10, FALSE), 1)</f>
        <v>4.4622242972712595E-6</v>
      </c>
      <c r="F3" s="7">
        <f>$B3 * IFERROR(VLOOKUP("transport|NOx|Infant mortality", US_national_yearly!$D:$AM, 14, FALSE) / VLOOKUP("transport|NOx|Infant mortality", US_national_yearly!$D:$AM, 10, FALSE), 1)</f>
        <v>4.4184593216272807E-6</v>
      </c>
      <c r="G3" s="7">
        <f>$B3 * IFERROR(VLOOKUP("transport|NOx|Infant mortality", US_national_yearly!$D:$AM, 15, FALSE) / VLOOKUP("transport|NOx|Infant mortality", US_national_yearly!$D:$AM, 10, FALSE), 1)</f>
        <v>2.9331914855592633E-6</v>
      </c>
      <c r="H3" s="7">
        <f>$B3 * IFERROR(VLOOKUP("transport|NOx|Infant mortality", US_national_yearly!$D:$AM, 16, FALSE) / VLOOKUP("transport|NOx|Infant mortality", US_national_yearly!$D:$AM, 10, FALSE), 1)</f>
        <v>1.4479236494912466E-6</v>
      </c>
      <c r="I3" s="7">
        <f>$B3 * IFERROR(VLOOKUP("transport|NOx|Infant mortality", US_national_yearly!$D:$AM, 17, FALSE) / VLOOKUP("transport|NOx|Infant mortality", US_national_yearly!$D:$AM, 10, FALSE), 1)</f>
        <v>1.4376854468062093E-6</v>
      </c>
      <c r="J3" s="7">
        <f>$B3 * IFERROR(VLOOKUP("transport|NOx|Infant mortality", US_national_yearly!$D:$AM, 18, FALSE) / VLOOKUP("transport|NOx|Infant mortality", US_national_yearly!$D:$AM, 10, FALSE), 1)</f>
        <v>1.427447244121172E-6</v>
      </c>
      <c r="K3" s="7">
        <f>$B3 * IFERROR(VLOOKUP("transport|NOx|Infant mortality", US_national_yearly!$D:$AM, 19, FALSE) / VLOOKUP("transport|NOx|Infant mortality", US_national_yearly!$D:$AM, 10, FALSE), 1)</f>
        <v>1.4172090414361348E-6</v>
      </c>
      <c r="L3" s="7">
        <f>$B3 * IFERROR(VLOOKUP("transport|NOx|Infant mortality", US_national_yearly!$D:$AM, 20, FALSE) / VLOOKUP("transport|NOx|Infant mortality", US_national_yearly!$D:$AM, 10, FALSE), 1)</f>
        <v>1.4069708387510975E-6</v>
      </c>
      <c r="M3" s="7">
        <f>$B3 * IFERROR(VLOOKUP("transport|NOx|Infant mortality", US_national_yearly!$D:$AM, 21, FALSE) / VLOOKUP("transport|NOx|Infant mortality", US_national_yearly!$D:$AM, 10, FALSE), 1)</f>
        <v>1.39673263606606E-6</v>
      </c>
      <c r="N3" s="7">
        <f>$B3 * IFERROR(VLOOKUP("transport|NOx|Infant mortality", US_national_yearly!$D:$AM, 22, FALSE) / VLOOKUP("transport|NOx|Infant mortality", US_national_yearly!$D:$AM, 10, FALSE), 1)</f>
        <v>1.3899369452084246E-6</v>
      </c>
      <c r="O3" s="7">
        <f>$B3 * IFERROR(VLOOKUP("transport|NOx|Infant mortality", US_national_yearly!$D:$AM, 23, FALSE) / VLOOKUP("transport|NOx|Infant mortality", US_national_yearly!$D:$AM, 10, FALSE), 1)</f>
        <v>1.3831412543507893E-6</v>
      </c>
      <c r="P3" s="7">
        <f>$B3 * IFERROR(VLOOKUP("transport|NOx|Infant mortality", US_national_yearly!$D:$AM, 24, FALSE) / VLOOKUP("transport|NOx|Infant mortality", US_national_yearly!$D:$AM, 10, FALSE), 1)</f>
        <v>1.3763455634931539E-6</v>
      </c>
      <c r="Q3" s="7">
        <f>$B3 * IFERROR(VLOOKUP("transport|NOx|Infant mortality", US_national_yearly!$D:$AM, 25, FALSE) / VLOOKUP("transport|NOx|Infant mortality", US_national_yearly!$D:$AM, 10, FALSE), 1)</f>
        <v>1.3695498726355185E-6</v>
      </c>
      <c r="R3" s="7">
        <f>$B3 * IFERROR(VLOOKUP("transport|NOx|Infant mortality", US_national_yearly!$D:$AM, 26, FALSE) / VLOOKUP("transport|NOx|Infant mortality", US_national_yearly!$D:$AM, 10, FALSE), 1)</f>
        <v>1.3627541817778831E-6</v>
      </c>
      <c r="S3" s="7">
        <f>$B3 * IFERROR(VLOOKUP("transport|NOx|Infant mortality", US_national_yearly!$D:$AM, 27, FALSE) / VLOOKUP("transport|NOx|Infant mortality", US_national_yearly!$D:$AM, 10, FALSE), 1)</f>
        <v>1.3545846806902465E-6</v>
      </c>
      <c r="T3" s="7">
        <f>$B3 * IFERROR(VLOOKUP("transport|NOx|Infant mortality", US_national_yearly!$D:$AM, 28, FALSE) / VLOOKUP("transport|NOx|Infant mortality", US_national_yearly!$D:$AM, 10, FALSE), 1)</f>
        <v>1.3464151796026102E-6</v>
      </c>
      <c r="U3" s="7">
        <f>$B3 * IFERROR(VLOOKUP("transport|NOx|Infant mortality", US_national_yearly!$D:$AM, 29, FALSE) / VLOOKUP("transport|NOx|Infant mortality", US_national_yearly!$D:$AM, 10, FALSE), 1)</f>
        <v>1.3382456785149736E-6</v>
      </c>
      <c r="V3" s="7">
        <f>$B3 * IFERROR(VLOOKUP("transport|NOx|Infant mortality", US_national_yearly!$D:$AM, 30, FALSE) / VLOOKUP("transport|NOx|Infant mortality", US_national_yearly!$D:$AM, 10, FALSE), 1)</f>
        <v>1.3300761774273371E-6</v>
      </c>
      <c r="W3" s="7">
        <f>$B3 * IFERROR(VLOOKUP("transport|NOx|Infant mortality", US_national_yearly!$D:$AM, 31, FALSE) / VLOOKUP("transport|NOx|Infant mortality", US_national_yearly!$D:$AM, 10, FALSE), 1)</f>
        <v>1.3219066763397005E-6</v>
      </c>
      <c r="X3" s="7">
        <f>$B3 * IFERROR(VLOOKUP("transport|NOx|Infant mortality", US_national_yearly!$D:$AM, 32, FALSE) / VLOOKUP("transport|NOx|Infant mortality", US_national_yearly!$D:$AM, 10, FALSE), 1)</f>
        <v>1.3132547796269452E-6</v>
      </c>
      <c r="Y3" s="7">
        <f>$B3 * IFERROR(VLOOKUP("transport|NOx|Infant mortality", US_national_yearly!$D:$AM, 33, FALSE) / VLOOKUP("transport|NOx|Infant mortality", US_national_yearly!$D:$AM, 10, FALSE), 1)</f>
        <v>1.3046028829141896E-6</v>
      </c>
      <c r="Z3" s="7">
        <f>$B3 * IFERROR(VLOOKUP("transport|NOx|Infant mortality", US_national_yearly!$D:$AM, 34, FALSE) / VLOOKUP("transport|NOx|Infant mortality", US_national_yearly!$D:$AM, 10, FALSE), 1)</f>
        <v>1.295950986201434E-6</v>
      </c>
      <c r="AA3" s="7">
        <f>$B3 * IFERROR(VLOOKUP("transport|NOx|Infant mortality", US_national_yearly!$D:$AM, 35, FALSE) / VLOOKUP("transport|NOx|Infant mortality", US_national_yearly!$D:$AM, 10, FALSE), 1)</f>
        <v>1.2872990894886784E-6</v>
      </c>
      <c r="AB3" s="7">
        <f>$B3 * IFERROR(VLOOKUP("transport|NOx|Infant mortality", US_national_yearly!$D:$AM, 36, FALSE) / VLOOKUP("transport|NOx|Infant mortality", US_national_yearly!$D:$AM, 10, FALSE), 1)</f>
        <v>1.2786471927759226E-6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4.5274659423491185E-3</v>
      </c>
      <c r="C6" s="7">
        <f>$B6 * IFERROR(VLOOKUP("transport|NOx|Asthma symptoms cough", US_national_yearly!$D:$AM, 11, FALSE) / VLOOKUP("transport|NOx|Asthma symptoms cough", US_national_yearly!$D:$AM, 10, FALSE), 1)</f>
        <v>4.5893638038948369E-3</v>
      </c>
      <c r="D6" s="7">
        <f>$B6 * IFERROR(VLOOKUP("transport|NOx|Asthma symptoms cough", US_national_yearly!$D:$AM, 12, FALSE) / VLOOKUP("transport|NOx|Asthma symptoms cough", US_national_yearly!$D:$AM, 10, FALSE), 1)</f>
        <v>4.6512616654405545E-3</v>
      </c>
      <c r="E6" s="7">
        <f>$B6 * IFERROR(VLOOKUP("transport|NOx|Asthma symptoms cough", US_national_yearly!$D:$AM, 13, FALSE) / VLOOKUP("transport|NOx|Asthma symptoms cough", US_national_yearly!$D:$AM, 10, FALSE), 1)</f>
        <v>4.7131595269862729E-3</v>
      </c>
      <c r="F6" s="7">
        <f>$B6 * IFERROR(VLOOKUP("transport|NOx|Asthma symptoms cough", US_national_yearly!$D:$AM, 14, FALSE) / VLOOKUP("transport|NOx|Asthma symptoms cough", US_national_yearly!$D:$AM, 10, FALSE), 1)</f>
        <v>4.7750573885319914E-3</v>
      </c>
      <c r="G6" s="7">
        <f>$B6 * IFERROR(VLOOKUP("transport|NOx|Asthma symptoms cough", US_national_yearly!$D:$AM, 15, FALSE) / VLOOKUP("transport|NOx|Asthma symptoms cough", US_national_yearly!$D:$AM, 10, FALSE), 1)</f>
        <v>4.8244741813344618E-3</v>
      </c>
      <c r="H6" s="7">
        <f>$B6 * IFERROR(VLOOKUP("transport|NOx|Asthma symptoms cough", US_national_yearly!$D:$AM, 16, FALSE) / VLOOKUP("transport|NOx|Asthma symptoms cough", US_national_yearly!$D:$AM, 10, FALSE), 1)</f>
        <v>4.873890974136934E-3</v>
      </c>
      <c r="I6" s="7">
        <f>$B6 * IFERROR(VLOOKUP("transport|NOx|Asthma symptoms cough", US_national_yearly!$D:$AM, 17, FALSE) / VLOOKUP("transport|NOx|Asthma symptoms cough", US_national_yearly!$D:$AM, 10, FALSE), 1)</f>
        <v>4.8908995277693644E-3</v>
      </c>
      <c r="J6" s="7">
        <f>$B6 * IFERROR(VLOOKUP("transport|NOx|Asthma symptoms cough", US_national_yearly!$D:$AM, 18, FALSE) / VLOOKUP("transport|NOx|Asthma symptoms cough", US_national_yearly!$D:$AM, 10, FALSE), 1)</f>
        <v>4.9079080814017958E-3</v>
      </c>
      <c r="K6" s="7">
        <f>$B6 * IFERROR(VLOOKUP("transport|NOx|Asthma symptoms cough", US_national_yearly!$D:$AM, 19, FALSE) / VLOOKUP("transport|NOx|Asthma symptoms cough", US_national_yearly!$D:$AM, 10, FALSE), 1)</f>
        <v>4.9249166350342254E-3</v>
      </c>
      <c r="L6" s="7">
        <f>$B6 * IFERROR(VLOOKUP("transport|NOx|Asthma symptoms cough", US_national_yearly!$D:$AM, 20, FALSE) / VLOOKUP("transport|NOx|Asthma symptoms cough", US_national_yearly!$D:$AM, 10, FALSE), 1)</f>
        <v>4.9419251886666559E-3</v>
      </c>
      <c r="M6" s="7">
        <f>$B6 * IFERROR(VLOOKUP("transport|NOx|Asthma symptoms cough", US_national_yearly!$D:$AM, 21, FALSE) / VLOOKUP("transport|NOx|Asthma symptoms cough", US_national_yearly!$D:$AM, 10, FALSE), 1)</f>
        <v>4.9589337422990864E-3</v>
      </c>
      <c r="N6" s="7">
        <f>$B6 * IFERROR(VLOOKUP("transport|NOx|Asthma symptoms cough", US_national_yearly!$D:$AM, 22, FALSE) / VLOOKUP("transport|NOx|Asthma symptoms cough", US_national_yearly!$D:$AM, 10, FALSE), 1)</f>
        <v>4.9786564268164387E-3</v>
      </c>
      <c r="O6" s="7">
        <f>$B6 * IFERROR(VLOOKUP("transport|NOx|Asthma symptoms cough", US_national_yearly!$D:$AM, 23, FALSE) / VLOOKUP("transport|NOx|Asthma symptoms cough", US_national_yearly!$D:$AM, 10, FALSE), 1)</f>
        <v>4.998379111333791E-3</v>
      </c>
      <c r="P6" s="7">
        <f>$B6 * IFERROR(VLOOKUP("transport|NOx|Asthma symptoms cough", US_national_yearly!$D:$AM, 24, FALSE) / VLOOKUP("transport|NOx|Asthma symptoms cough", US_national_yearly!$D:$AM, 10, FALSE), 1)</f>
        <v>5.0181017958511424E-3</v>
      </c>
      <c r="Q6" s="7">
        <f>$B6 * IFERROR(VLOOKUP("transport|NOx|Asthma symptoms cough", US_national_yearly!$D:$AM, 25, FALSE) / VLOOKUP("transport|NOx|Asthma symptoms cough", US_national_yearly!$D:$AM, 10, FALSE), 1)</f>
        <v>5.0378244803684956E-3</v>
      </c>
      <c r="R6" s="7">
        <f>$B6 * IFERROR(VLOOKUP("transport|NOx|Asthma symptoms cough", US_national_yearly!$D:$AM, 26, FALSE) / VLOOKUP("transport|NOx|Asthma symptoms cough", US_national_yearly!$D:$AM, 10, FALSE), 1)</f>
        <v>5.0575471648858479E-3</v>
      </c>
      <c r="S6" s="7">
        <f>$B6 * IFERROR(VLOOKUP("transport|NOx|Asthma symptoms cough", US_national_yearly!$D:$AM, 27, FALSE) / VLOOKUP("transport|NOx|Asthma symptoms cough", US_national_yearly!$D:$AM, 10, FALSE), 1)</f>
        <v>5.0833112724939823E-3</v>
      </c>
      <c r="T6" s="7">
        <f>$B6 * IFERROR(VLOOKUP("transport|NOx|Asthma symptoms cough", US_national_yearly!$D:$AM, 28, FALSE) / VLOOKUP("transport|NOx|Asthma symptoms cough", US_national_yearly!$D:$AM, 10, FALSE), 1)</f>
        <v>5.1090753801021158E-3</v>
      </c>
      <c r="U6" s="7">
        <f>$B6 * IFERROR(VLOOKUP("transport|NOx|Asthma symptoms cough", US_national_yearly!$D:$AM, 29, FALSE) / VLOOKUP("transport|NOx|Asthma symptoms cough", US_national_yearly!$D:$AM, 10, FALSE), 1)</f>
        <v>5.1348394877102476E-3</v>
      </c>
      <c r="V6" s="7">
        <f>$B6 * IFERROR(VLOOKUP("transport|NOx|Asthma symptoms cough", US_national_yearly!$D:$AM, 30, FALSE) / VLOOKUP("transport|NOx|Asthma symptoms cough", US_national_yearly!$D:$AM, 10, FALSE), 1)</f>
        <v>5.160603595318382E-3</v>
      </c>
      <c r="W6" s="7">
        <f>$B6 * IFERROR(VLOOKUP("transport|NOx|Asthma symptoms cough", US_national_yearly!$D:$AM, 31, FALSE) / VLOOKUP("transport|NOx|Asthma symptoms cough", US_national_yearly!$D:$AM, 10, FALSE), 1)</f>
        <v>5.1863677029265155E-3</v>
      </c>
      <c r="X6" s="7">
        <f>$B6 * IFERROR(VLOOKUP("transport|NOx|Asthma symptoms cough", US_national_yearly!$D:$AM, 32, FALSE) / VLOOKUP("transport|NOx|Asthma symptoms cough", US_national_yearly!$D:$AM, 10, FALSE), 1)</f>
        <v>5.2103062608243843E-3</v>
      </c>
      <c r="Y6" s="7">
        <f>$B6 * IFERROR(VLOOKUP("transport|NOx|Asthma symptoms cough", US_national_yearly!$D:$AM, 33, FALSE) / VLOOKUP("transport|NOx|Asthma symptoms cough", US_national_yearly!$D:$AM, 10, FALSE), 1)</f>
        <v>5.2342448187222531E-3</v>
      </c>
      <c r="Z6" s="7">
        <f>$B6 * IFERROR(VLOOKUP("transport|NOx|Asthma symptoms cough", US_national_yearly!$D:$AM, 34, FALSE) / VLOOKUP("transport|NOx|Asthma symptoms cough", US_national_yearly!$D:$AM, 10, FALSE), 1)</f>
        <v>5.258183376620121E-3</v>
      </c>
      <c r="AA6" s="7">
        <f>$B6 * IFERROR(VLOOKUP("transport|NOx|Asthma symptoms cough", US_national_yearly!$D:$AM, 35, FALSE) / VLOOKUP("transport|NOx|Asthma symptoms cough", US_national_yearly!$D:$AM, 10, FALSE), 1)</f>
        <v>5.2821219345179898E-3</v>
      </c>
      <c r="AB6" s="7">
        <f>$B6 * IFERROR(VLOOKUP("transport|NOx|Asthma symptoms cough", US_national_yearly!$D:$AM, 36, FALSE) / VLOOKUP("transport|NOx|Asthma symptoms cough", US_national_yearly!$D:$AM, 10, FALSE), 1)</f>
        <v>5.3060604924158594E-3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6.0965460792031106E-3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6.1798958314988935E-3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6.2632455837946747E-3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6.3465953360904567E-3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6.4299450883862396E-3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6.4964882181956169E-3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6.5630313480049942E-3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6.5859345418873153E-3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6.6088377357696364E-3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6.6317409296519575E-3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6.6546441235342787E-3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6.6775473174165998E-3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6.7041052763513673E-3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6.7306632352861348E-3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6.7572211942209014E-3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6.783779153155668E-3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6.8103371120904355E-3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6.8450302652037082E-3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6.8797234183169817E-3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6.9144165714302543E-3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6.9491097245435252E-3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6.983802877656797E-3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7.016037801782493E-3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7.0482727259081899E-3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7.0805076500338876E-3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7.1127425741595836E-3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7.1449774982852796E-3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9.3157145040842007E-3</v>
      </c>
      <c r="C8" s="7">
        <f>$B8 * IFERROR(VLOOKUP("transport|NOx|Asthma symptoms wheeze", US_national_yearly!$D:$AM, 11, FALSE) / VLOOKUP("transport|NOx|Asthma symptoms wheeze", US_national_yearly!$D:$AM, 10, FALSE), 1)</f>
        <v>9.4430755521209726E-3</v>
      </c>
      <c r="D8" s="7">
        <f>$B8 * IFERROR(VLOOKUP("transport|NOx|Asthma symptoms wheeze", US_national_yearly!$D:$AM, 12, FALSE) / VLOOKUP("transport|NOx|Asthma symptoms wheeze", US_national_yearly!$D:$AM, 10, FALSE), 1)</f>
        <v>9.5704366001577498E-3</v>
      </c>
      <c r="E8" s="7">
        <f>$B8 * IFERROR(VLOOKUP("transport|NOx|Asthma symptoms wheeze", US_national_yearly!$D:$AM, 13, FALSE) / VLOOKUP("transport|NOx|Asthma symptoms wheeze", US_national_yearly!$D:$AM, 10, FALSE), 1)</f>
        <v>9.6977976481945217E-3</v>
      </c>
      <c r="F8" s="7">
        <f>$B8 * IFERROR(VLOOKUP("transport|NOx|Asthma symptoms wheeze", US_national_yearly!$D:$AM, 14, FALSE) / VLOOKUP("transport|NOx|Asthma symptoms wheeze", US_national_yearly!$D:$AM, 10, FALSE), 1)</f>
        <v>9.8251586962312936E-3</v>
      </c>
      <c r="G8" s="7">
        <f>$B8 * IFERROR(VLOOKUP("transport|NOx|Asthma symptoms wheeze", US_national_yearly!$D:$AM, 15, FALSE) / VLOOKUP("transport|NOx|Asthma symptoms wheeze", US_national_yearly!$D:$AM, 10, FALSE), 1)</f>
        <v>9.9268386956603352E-3</v>
      </c>
      <c r="H8" s="7">
        <f>$B8 * IFERROR(VLOOKUP("transport|NOx|Asthma symptoms wheeze", US_national_yearly!$D:$AM, 16, FALSE) / VLOOKUP("transport|NOx|Asthma symptoms wheeze", US_national_yearly!$D:$AM, 10, FALSE), 1)</f>
        <v>1.0028518695089377E-2</v>
      </c>
      <c r="I8" s="7">
        <f>$B8 * IFERROR(VLOOKUP("transport|NOx|Asthma symptoms wheeze", US_national_yearly!$D:$AM, 17, FALSE) / VLOOKUP("transport|NOx|Asthma symptoms wheeze", US_national_yearly!$D:$AM, 10, FALSE), 1)</f>
        <v>1.006351549743012E-2</v>
      </c>
      <c r="J8" s="7">
        <f>$B8 * IFERROR(VLOOKUP("transport|NOx|Asthma symptoms wheeze", US_national_yearly!$D:$AM, 18, FALSE) / VLOOKUP("transport|NOx|Asthma symptoms wheeze", US_national_yearly!$D:$AM, 10, FALSE), 1)</f>
        <v>1.0098512299770867E-2</v>
      </c>
      <c r="K8" s="7">
        <f>$B8 * IFERROR(VLOOKUP("transport|NOx|Asthma symptoms wheeze", US_national_yearly!$D:$AM, 19, FALSE) / VLOOKUP("transport|NOx|Asthma symptoms wheeze", US_national_yearly!$D:$AM, 10, FALSE), 1)</f>
        <v>1.013350910211161E-2</v>
      </c>
      <c r="L8" s="7">
        <f>$B8 * IFERROR(VLOOKUP("transport|NOx|Asthma symptoms wheeze", US_national_yearly!$D:$AM, 20, FALSE) / VLOOKUP("transport|NOx|Asthma symptoms wheeze", US_national_yearly!$D:$AM, 10, FALSE), 1)</f>
        <v>1.0168505904452356E-2</v>
      </c>
      <c r="M8" s="7">
        <f>$B8 * IFERROR(VLOOKUP("transport|NOx|Asthma symptoms wheeze", US_national_yearly!$D:$AM, 21, FALSE) / VLOOKUP("transport|NOx|Asthma symptoms wheeze", US_national_yearly!$D:$AM, 10, FALSE), 1)</f>
        <v>1.0203502706793099E-2</v>
      </c>
      <c r="N8" s="7">
        <f>$B8 * IFERROR(VLOOKUP("transport|NOx|Asthma symptoms wheeze", US_national_yearly!$D:$AM, 22, FALSE) / VLOOKUP("transport|NOx|Asthma symptoms wheeze", US_national_yearly!$D:$AM, 10, FALSE), 1)</f>
        <v>1.0244084105239701E-2</v>
      </c>
      <c r="O8" s="7">
        <f>$B8 * IFERROR(VLOOKUP("transport|NOx|Asthma symptoms wheeze", US_national_yearly!$D:$AM, 23, FALSE) / VLOOKUP("transport|NOx|Asthma symptoms wheeze", US_national_yearly!$D:$AM, 10, FALSE), 1)</f>
        <v>1.0284665503686303E-2</v>
      </c>
      <c r="P8" s="7">
        <f>$B8 * IFERROR(VLOOKUP("transport|NOx|Asthma symptoms wheeze", US_national_yearly!$D:$AM, 24, FALSE) / VLOOKUP("transport|NOx|Asthma symptoms wheeze", US_national_yearly!$D:$AM, 10, FALSE), 1)</f>
        <v>1.0325246902132903E-2</v>
      </c>
      <c r="Q8" s="7">
        <f>$B8 * IFERROR(VLOOKUP("transport|NOx|Asthma symptoms wheeze", US_national_yearly!$D:$AM, 25, FALSE) / VLOOKUP("transport|NOx|Asthma symptoms wheeze", US_national_yearly!$D:$AM, 10, FALSE), 1)</f>
        <v>1.0365828300579506E-2</v>
      </c>
      <c r="R8" s="7">
        <f>$B8 * IFERROR(VLOOKUP("transport|NOx|Asthma symptoms wheeze", US_national_yearly!$D:$AM, 26, FALSE) / VLOOKUP("transport|NOx|Asthma symptoms wheeze", US_national_yearly!$D:$AM, 10, FALSE), 1)</f>
        <v>1.0406409699026106E-2</v>
      </c>
      <c r="S8" s="7">
        <f>$B8 * IFERROR(VLOOKUP("transport|NOx|Asthma symptoms wheeze", US_national_yearly!$D:$AM, 27, FALSE) / VLOOKUP("transport|NOx|Asthma symptoms wheeze", US_national_yearly!$D:$AM, 10, FALSE), 1)</f>
        <v>1.0459421930445594E-2</v>
      </c>
      <c r="T8" s="7">
        <f>$B8 * IFERROR(VLOOKUP("transport|NOx|Asthma symptoms wheeze", US_national_yearly!$D:$AM, 28, FALSE) / VLOOKUP("transport|NOx|Asthma symptoms wheeze", US_national_yearly!$D:$AM, 10, FALSE), 1)</f>
        <v>1.0512434161865083E-2</v>
      </c>
      <c r="U8" s="7">
        <f>$B8 * IFERROR(VLOOKUP("transport|NOx|Asthma symptoms wheeze", US_national_yearly!$D:$AM, 29, FALSE) / VLOOKUP("transport|NOx|Asthma symptoms wheeze", US_national_yearly!$D:$AM, 10, FALSE), 1)</f>
        <v>1.0565446393284571E-2</v>
      </c>
      <c r="V8" s="7">
        <f>$B8 * IFERROR(VLOOKUP("transport|NOx|Asthma symptoms wheeze", US_national_yearly!$D:$AM, 30, FALSE) / VLOOKUP("transport|NOx|Asthma symptoms wheeze", US_national_yearly!$D:$AM, 10, FALSE), 1)</f>
        <v>1.0618458624704062E-2</v>
      </c>
      <c r="W8" s="7">
        <f>$B8 * IFERROR(VLOOKUP("transport|NOx|Asthma symptoms wheeze", US_national_yearly!$D:$AM, 31, FALSE) / VLOOKUP("transport|NOx|Asthma symptoms wheeze", US_national_yearly!$D:$AM, 10, FALSE), 1)</f>
        <v>1.0671470856123548E-2</v>
      </c>
      <c r="X8" s="7">
        <f>$B8 * IFERROR(VLOOKUP("transport|NOx|Asthma symptoms wheeze", US_national_yearly!$D:$AM, 32, FALSE) / VLOOKUP("transport|NOx|Asthma symptoms wheeze", US_national_yearly!$D:$AM, 10, FALSE), 1)</f>
        <v>1.0720726836187024E-2</v>
      </c>
      <c r="Y8" s="7">
        <f>$B8 * IFERROR(VLOOKUP("transport|NOx|Asthma symptoms wheeze", US_national_yearly!$D:$AM, 33, FALSE) / VLOOKUP("transport|NOx|Asthma symptoms wheeze", US_national_yearly!$D:$AM, 10, FALSE), 1)</f>
        <v>1.0769982816250497E-2</v>
      </c>
      <c r="Z8" s="7">
        <f>$B8 * IFERROR(VLOOKUP("transport|NOx|Asthma symptoms wheeze", US_national_yearly!$D:$AM, 34, FALSE) / VLOOKUP("transport|NOx|Asthma symptoms wheeze", US_national_yearly!$D:$AM, 10, FALSE), 1)</f>
        <v>1.0819238796313973E-2</v>
      </c>
      <c r="AA8" s="7">
        <f>$B8 * IFERROR(VLOOKUP("transport|NOx|Asthma symptoms wheeze", US_national_yearly!$D:$AM, 35, FALSE) / VLOOKUP("transport|NOx|Asthma symptoms wheeze", US_national_yearly!$D:$AM, 10, FALSE), 1)</f>
        <v>1.0868494776377446E-2</v>
      </c>
      <c r="AB8" s="7">
        <f>$B8 * IFERROR(VLOOKUP("transport|NOx|Asthma symptoms wheeze", US_national_yearly!$D:$AM, 36, FALSE) / VLOOKUP("transport|NOx|Asthma symptoms wheeze", US_national_yearly!$D:$AM, 10, FALSE), 1)</f>
        <v>1.0917750756440922E-2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1.257271766973386E-4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1.288633989640573E-4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1.3199962123077602E-4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1.3513584349749474E-4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1.3827206576421349E-4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1.4127040099549617E-4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1.4426873622677889E-4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1.468143844776723E-4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1.4936003272856567E-4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1.519056809794591E-4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1.5445132923035251E-4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1.5699697748124591E-4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1.5869878917024316E-4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1.6040060085924048E-4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1.6210241254823775E-4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1.6380422423723507E-4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1.6550603592623234E-4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1.6641782051544183E-4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1.6732960510465131E-4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1.682413896938608E-4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1.6915317428307025E-4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1.7006495887227977E-4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1.7068804518315556E-4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1.7131113149403138E-4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1.7193421780490719E-4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1.7255730411578301E-4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1.731803904266588E-4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7.7928623917516472E-4</v>
      </c>
      <c r="C13" s="7">
        <f>$B13 * IFERROR(VLOOKUP("transport|NOx|Non-fatal heart attacks", US_national_yearly!$D:$AM, 11, FALSE) / VLOOKUP("transport|NOx|Non-fatal heart attacks", US_national_yearly!$D:$AM, 10, FALSE), 1)</f>
        <v>8.0156534615819961E-4</v>
      </c>
      <c r="D13" s="7">
        <f>$B13 * IFERROR(VLOOKUP("transport|NOx|Non-fatal heart attacks", US_national_yearly!$D:$AM, 12, FALSE) / VLOOKUP("transport|NOx|Non-fatal heart attacks", US_national_yearly!$D:$AM, 10, FALSE), 1)</f>
        <v>8.238444531412345E-4</v>
      </c>
      <c r="E13" s="7">
        <f>$B13 * IFERROR(VLOOKUP("transport|NOx|Non-fatal heart attacks", US_national_yearly!$D:$AM, 13, FALSE) / VLOOKUP("transport|NOx|Non-fatal heart attacks", US_national_yearly!$D:$AM, 10, FALSE), 1)</f>
        <v>8.4612356012426918E-4</v>
      </c>
      <c r="F13" s="7">
        <f>$B13 * IFERROR(VLOOKUP("transport|NOx|Non-fatal heart attacks", US_national_yearly!$D:$AM, 14, FALSE) / VLOOKUP("transport|NOx|Non-fatal heart attacks", US_national_yearly!$D:$AM, 10, FALSE), 1)</f>
        <v>8.6840266710730418E-4</v>
      </c>
      <c r="G13" s="7">
        <f>$B13 * IFERROR(VLOOKUP("transport|NOx|Non-fatal heart attacks", US_national_yearly!$D:$AM, 15, FALSE) / VLOOKUP("transport|NOx|Non-fatal heart attacks", US_national_yearly!$D:$AM, 10, FALSE), 1)</f>
        <v>8.8922244627923249E-4</v>
      </c>
      <c r="H13" s="7">
        <f>$B13 * IFERROR(VLOOKUP("transport|NOx|Non-fatal heart attacks", US_national_yearly!$D:$AM, 16, FALSE) / VLOOKUP("transport|NOx|Non-fatal heart attacks", US_national_yearly!$D:$AM, 10, FALSE), 1)</f>
        <v>9.1004222545116079E-4</v>
      </c>
      <c r="I13" s="7">
        <f>$B13 * IFERROR(VLOOKUP("transport|NOx|Non-fatal heart attacks", US_national_yearly!$D:$AM, 17, FALSE) / VLOOKUP("transport|NOx|Non-fatal heart attacks", US_national_yearly!$D:$AM, 10, FALSE), 1)</f>
        <v>9.2645624140022824E-4</v>
      </c>
      <c r="J13" s="7">
        <f>$B13 * IFERROR(VLOOKUP("transport|NOx|Non-fatal heart attacks", US_national_yearly!$D:$AM, 18, FALSE) / VLOOKUP("transport|NOx|Non-fatal heart attacks", US_national_yearly!$D:$AM, 10, FALSE), 1)</f>
        <v>9.4287025734929579E-4</v>
      </c>
      <c r="K13" s="7">
        <f>$B13 * IFERROR(VLOOKUP("transport|NOx|Non-fatal heart attacks", US_national_yearly!$D:$AM, 19, FALSE) / VLOOKUP("transport|NOx|Non-fatal heart attacks", US_national_yearly!$D:$AM, 10, FALSE), 1)</f>
        <v>9.592842732983627E-4</v>
      </c>
      <c r="L13" s="7">
        <f>$B13 * IFERROR(VLOOKUP("transport|NOx|Non-fatal heart attacks", US_national_yearly!$D:$AM, 20, FALSE) / VLOOKUP("transport|NOx|Non-fatal heart attacks", US_national_yearly!$D:$AM, 10, FALSE), 1)</f>
        <v>9.7569828924743091E-4</v>
      </c>
      <c r="M13" s="7">
        <f>$B13 * IFERROR(VLOOKUP("transport|NOx|Non-fatal heart attacks", US_national_yearly!$D:$AM, 21, FALSE) / VLOOKUP("transport|NOx|Non-fatal heart attacks", US_national_yearly!$D:$AM, 10, FALSE), 1)</f>
        <v>9.9211230519649814E-4</v>
      </c>
      <c r="N13" s="7">
        <f>$B13 * IFERROR(VLOOKUP("transport|NOx|Non-fatal heart attacks", US_national_yearly!$D:$AM, 22, FALSE) / VLOOKUP("transport|NOx|Non-fatal heart attacks", US_national_yearly!$D:$AM, 10, FALSE), 1)</f>
        <v>1.0019874749723878E-3</v>
      </c>
      <c r="O13" s="7">
        <f>$B13 * IFERROR(VLOOKUP("transport|NOx|Non-fatal heart attacks", US_national_yearly!$D:$AM, 23, FALSE) / VLOOKUP("transport|NOx|Non-fatal heart attacks", US_national_yearly!$D:$AM, 10, FALSE), 1)</f>
        <v>1.0118626447482774E-3</v>
      </c>
      <c r="P13" s="7">
        <f>$B13 * IFERROR(VLOOKUP("transport|NOx|Non-fatal heart attacks", US_national_yearly!$D:$AM, 24, FALSE) / VLOOKUP("transport|NOx|Non-fatal heart attacks", US_national_yearly!$D:$AM, 10, FALSE), 1)</f>
        <v>1.0217378145241669E-3</v>
      </c>
      <c r="Q13" s="7">
        <f>$B13 * IFERROR(VLOOKUP("transport|NOx|Non-fatal heart attacks", US_national_yearly!$D:$AM, 25, FALSE) / VLOOKUP("transport|NOx|Non-fatal heart attacks", US_national_yearly!$D:$AM, 10, FALSE), 1)</f>
        <v>1.0316129843000567E-3</v>
      </c>
      <c r="R13" s="7">
        <f>$B13 * IFERROR(VLOOKUP("transport|NOx|Non-fatal heart attacks", US_national_yearly!$D:$AM, 26, FALSE) / VLOOKUP("transport|NOx|Non-fatal heart attacks", US_national_yearly!$D:$AM, 10, FALSE), 1)</f>
        <v>1.0414881540759464E-3</v>
      </c>
      <c r="S13" s="7">
        <f>$B13 * IFERROR(VLOOKUP("transport|NOx|Non-fatal heart attacks", US_national_yearly!$D:$AM, 27, FALSE) / VLOOKUP("transport|NOx|Non-fatal heart attacks", US_national_yearly!$D:$AM, 10, FALSE), 1)</f>
        <v>1.0459675993866378E-3</v>
      </c>
      <c r="T13" s="7">
        <f>$B13 * IFERROR(VLOOKUP("transport|NOx|Non-fatal heart attacks", US_national_yearly!$D:$AM, 28, FALSE) / VLOOKUP("transport|NOx|Non-fatal heart attacks", US_national_yearly!$D:$AM, 10, FALSE), 1)</f>
        <v>1.0504470446973291E-3</v>
      </c>
      <c r="U13" s="7">
        <f>$B13 * IFERROR(VLOOKUP("transport|NOx|Non-fatal heart attacks", US_national_yearly!$D:$AM, 29, FALSE) / VLOOKUP("transport|NOx|Non-fatal heart attacks", US_national_yearly!$D:$AM, 10, FALSE), 1)</f>
        <v>1.0549264900080206E-3</v>
      </c>
      <c r="V13" s="7">
        <f>$B13 * IFERROR(VLOOKUP("transport|NOx|Non-fatal heart attacks", US_national_yearly!$D:$AM, 30, FALSE) / VLOOKUP("transport|NOx|Non-fatal heart attacks", US_national_yearly!$D:$AM, 10, FALSE), 1)</f>
        <v>1.059405935318712E-3</v>
      </c>
      <c r="W13" s="7">
        <f>$B13 * IFERROR(VLOOKUP("transport|NOx|Non-fatal heart attacks", US_national_yearly!$D:$AM, 31, FALSE) / VLOOKUP("transport|NOx|Non-fatal heart attacks", US_national_yearly!$D:$AM, 10, FALSE), 1)</f>
        <v>1.0638853806294033E-3</v>
      </c>
      <c r="X13" s="7">
        <f>$B13 * IFERROR(VLOOKUP("transport|NOx|Non-fatal heart attacks", US_national_yearly!$D:$AM, 32, FALSE) / VLOOKUP("transport|NOx|Non-fatal heart attacks", US_national_yearly!$D:$AM, 10, FALSE), 1)</f>
        <v>1.0668787816864036E-3</v>
      </c>
      <c r="Y13" s="7">
        <f>$B13 * IFERROR(VLOOKUP("transport|NOx|Non-fatal heart attacks", US_national_yearly!$D:$AM, 33, FALSE) / VLOOKUP("transport|NOx|Non-fatal heart attacks", US_national_yearly!$D:$AM, 10, FALSE), 1)</f>
        <v>1.0698721827434041E-3</v>
      </c>
      <c r="Z13" s="7">
        <f>$B13 * IFERROR(VLOOKUP("transport|NOx|Non-fatal heart attacks", US_national_yearly!$D:$AM, 34, FALSE) / VLOOKUP("transport|NOx|Non-fatal heart attacks", US_national_yearly!$D:$AM, 10, FALSE), 1)</f>
        <v>1.0728655838004042E-3</v>
      </c>
      <c r="AA13" s="7">
        <f>$B13 * IFERROR(VLOOKUP("transport|NOx|Non-fatal heart attacks", US_national_yearly!$D:$AM, 35, FALSE) / VLOOKUP("transport|NOx|Non-fatal heart attacks", US_national_yearly!$D:$AM, 10, FALSE), 1)</f>
        <v>1.0758589848574045E-3</v>
      </c>
      <c r="AB13" s="7">
        <f>$B13 * IFERROR(VLOOKUP("transport|NOx|Non-fatal heart attacks", US_national_yearly!$D:$AM, 36, FALSE) / VLOOKUP("transport|NOx|Non-fatal heart attacks", US_national_yearly!$D:$AM, 10, FALSE), 1)</f>
        <v>1.078852385914405E-3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0.58129639213807649</v>
      </c>
      <c r="C14" s="7">
        <f>$B14 * IFERROR(VLOOKUP("transport|NOx|Minor restricted activity days", US_national_yearly!$D:$AM, 11, FALSE) / VLOOKUP("transport|NOx|Minor restricted activity days", US_national_yearly!$D:$AM, 10, FALSE), 1)</f>
        <v>0.58218761705958388</v>
      </c>
      <c r="D14" s="7">
        <f>$B14 * IFERROR(VLOOKUP("transport|NOx|Minor restricted activity days", US_national_yearly!$D:$AM, 12, FALSE) / VLOOKUP("transport|NOx|Minor restricted activity days", US_national_yearly!$D:$AM, 10, FALSE), 1)</f>
        <v>0.58307884198109139</v>
      </c>
      <c r="E14" s="7">
        <f>$B14 * IFERROR(VLOOKUP("transport|NOx|Minor restricted activity days", US_national_yearly!$D:$AM, 13, FALSE) / VLOOKUP("transport|NOx|Minor restricted activity days", US_national_yearly!$D:$AM, 10, FALSE), 1)</f>
        <v>0.58397006690259889</v>
      </c>
      <c r="F14" s="7">
        <f>$B14 * IFERROR(VLOOKUP("transport|NOx|Minor restricted activity days", US_national_yearly!$D:$AM, 14, FALSE) / VLOOKUP("transport|NOx|Minor restricted activity days", US_national_yearly!$D:$AM, 10, FALSE), 1)</f>
        <v>0.58486129182410618</v>
      </c>
      <c r="G14" s="7">
        <f>$B14 * IFERROR(VLOOKUP("transport|NOx|Minor restricted activity days", US_national_yearly!$D:$AM, 15, FALSE) / VLOOKUP("transport|NOx|Minor restricted activity days", US_national_yearly!$D:$AM, 10, FALSE), 1)</f>
        <v>0.5864706319025893</v>
      </c>
      <c r="H14" s="7">
        <f>$B14 * IFERROR(VLOOKUP("transport|NOx|Minor restricted activity days", US_national_yearly!$D:$AM, 16, FALSE) / VLOOKUP("transport|NOx|Minor restricted activity days", US_national_yearly!$D:$AM, 10, FALSE), 1)</f>
        <v>0.5880799719810722</v>
      </c>
      <c r="I14" s="7">
        <f>$B14 * IFERROR(VLOOKUP("transport|NOx|Minor restricted activity days", US_national_yearly!$D:$AM, 17, FALSE) / VLOOKUP("transport|NOx|Minor restricted activity days", US_national_yearly!$D:$AM, 10, FALSE), 1)</f>
        <v>0.59122777753469313</v>
      </c>
      <c r="J14" s="7">
        <f>$B14 * IFERROR(VLOOKUP("transport|NOx|Minor restricted activity days", US_national_yearly!$D:$AM, 18, FALSE) / VLOOKUP("transport|NOx|Minor restricted activity days", US_national_yearly!$D:$AM, 10, FALSE), 1)</f>
        <v>0.59437558308831406</v>
      </c>
      <c r="K14" s="7">
        <f>$B14 * IFERROR(VLOOKUP("transport|NOx|Minor restricted activity days", US_national_yearly!$D:$AM, 19, FALSE) / VLOOKUP("transport|NOx|Minor restricted activity days", US_national_yearly!$D:$AM, 10, FALSE), 1)</f>
        <v>0.59752338864193499</v>
      </c>
      <c r="L14" s="7">
        <f>$B14 * IFERROR(VLOOKUP("transport|NOx|Minor restricted activity days", US_national_yearly!$D:$AM, 20, FALSE) / VLOOKUP("transport|NOx|Minor restricted activity days", US_national_yearly!$D:$AM, 10, FALSE), 1)</f>
        <v>0.60067119419555581</v>
      </c>
      <c r="M14" s="7">
        <f>$B14 * IFERROR(VLOOKUP("transport|NOx|Minor restricted activity days", US_national_yearly!$D:$AM, 21, FALSE) / VLOOKUP("transport|NOx|Minor restricted activity days", US_national_yearly!$D:$AM, 10, FALSE), 1)</f>
        <v>0.60381899974917674</v>
      </c>
      <c r="N14" s="7">
        <f>$B14 * IFERROR(VLOOKUP("transport|NOx|Minor restricted activity days", US_national_yearly!$D:$AM, 22, FALSE) / VLOOKUP("transport|NOx|Minor restricted activity days", US_national_yearly!$D:$AM, 10, FALSE), 1)</f>
        <v>0.60832594355251213</v>
      </c>
      <c r="O14" s="7">
        <f>$B14 * IFERROR(VLOOKUP("transport|NOx|Minor restricted activity days", US_national_yearly!$D:$AM, 23, FALSE) / VLOOKUP("transport|NOx|Minor restricted activity days", US_national_yearly!$D:$AM, 10, FALSE), 1)</f>
        <v>0.6128328873558474</v>
      </c>
      <c r="P14" s="7">
        <f>$B14 * IFERROR(VLOOKUP("transport|NOx|Minor restricted activity days", US_national_yearly!$D:$AM, 24, FALSE) / VLOOKUP("transport|NOx|Minor restricted activity days", US_national_yearly!$D:$AM, 10, FALSE), 1)</f>
        <v>0.61733983115918267</v>
      </c>
      <c r="Q14" s="7">
        <f>$B14 * IFERROR(VLOOKUP("transport|NOx|Minor restricted activity days", US_national_yearly!$D:$AM, 25, FALSE) / VLOOKUP("transport|NOx|Minor restricted activity days", US_national_yearly!$D:$AM, 10, FALSE), 1)</f>
        <v>0.62184677496251806</v>
      </c>
      <c r="R14" s="7">
        <f>$B14 * IFERROR(VLOOKUP("transport|NOx|Minor restricted activity days", US_national_yearly!$D:$AM, 26, FALSE) / VLOOKUP("transport|NOx|Minor restricted activity days", US_national_yearly!$D:$AM, 10, FALSE), 1)</f>
        <v>0.62635371876585333</v>
      </c>
      <c r="S14" s="7">
        <f>$B14 * IFERROR(VLOOKUP("transport|NOx|Minor restricted activity days", US_national_yearly!$D:$AM, 27, FALSE) / VLOOKUP("transport|NOx|Minor restricted activity days", US_national_yearly!$D:$AM, 10, FALSE), 1)</f>
        <v>0.63085971499390037</v>
      </c>
      <c r="T14" s="7">
        <f>$B14 * IFERROR(VLOOKUP("transport|NOx|Minor restricted activity days", US_national_yearly!$D:$AM, 28, FALSE) / VLOOKUP("transport|NOx|Minor restricted activity days", US_national_yearly!$D:$AM, 10, FALSE), 1)</f>
        <v>0.6353657112219474</v>
      </c>
      <c r="U14" s="7">
        <f>$B14 * IFERROR(VLOOKUP("transport|NOx|Minor restricted activity days", US_national_yearly!$D:$AM, 29, FALSE) / VLOOKUP("transport|NOx|Minor restricted activity days", US_national_yearly!$D:$AM, 10, FALSE), 1)</f>
        <v>0.63987170744999444</v>
      </c>
      <c r="V14" s="7">
        <f>$B14 * IFERROR(VLOOKUP("transport|NOx|Minor restricted activity days", US_national_yearly!$D:$AM, 30, FALSE) / VLOOKUP("transport|NOx|Minor restricted activity days", US_national_yearly!$D:$AM, 10, FALSE), 1)</f>
        <v>0.64437770367804148</v>
      </c>
      <c r="W14" s="7">
        <f>$B14 * IFERROR(VLOOKUP("transport|NOx|Minor restricted activity days", US_national_yearly!$D:$AM, 31, FALSE) / VLOOKUP("transport|NOx|Minor restricted activity days", US_national_yearly!$D:$AM, 10, FALSE), 1)</f>
        <v>0.64888369990608841</v>
      </c>
      <c r="X14" s="7">
        <f>$B14 * IFERROR(VLOOKUP("transport|NOx|Minor restricted activity days", US_national_yearly!$D:$AM, 32, FALSE) / VLOOKUP("transport|NOx|Minor restricted activity days", US_national_yearly!$D:$AM, 10, FALSE), 1)</f>
        <v>0.65269334805723656</v>
      </c>
      <c r="Y14" s="7">
        <f>$B14 * IFERROR(VLOOKUP("transport|NOx|Minor restricted activity days", US_national_yearly!$D:$AM, 33, FALSE) / VLOOKUP("transport|NOx|Minor restricted activity days", US_national_yearly!$D:$AM, 10, FALSE), 1)</f>
        <v>0.65650299620838459</v>
      </c>
      <c r="Z14" s="7">
        <f>$B14 * IFERROR(VLOOKUP("transport|NOx|Minor restricted activity days", US_national_yearly!$D:$AM, 34, FALSE) / VLOOKUP("transport|NOx|Minor restricted activity days", US_national_yearly!$D:$AM, 10, FALSE), 1)</f>
        <v>0.66031264435953263</v>
      </c>
      <c r="AA14" s="7">
        <f>$B14 * IFERROR(VLOOKUP("transport|NOx|Minor restricted activity days", US_national_yearly!$D:$AM, 35, FALSE) / VLOOKUP("transport|NOx|Minor restricted activity days", US_national_yearly!$D:$AM, 10, FALSE), 1)</f>
        <v>0.66412229251068078</v>
      </c>
      <c r="AB14" s="7">
        <f>$B14 * IFERROR(VLOOKUP("transport|NOx|Minor restricted activity days", US_national_yearly!$D:$AM, 36, FALSE) / VLOOKUP("transport|NOx|Minor restricted activity days", US_national_yearly!$D:$AM, 10, FALSE), 1)</f>
        <v>0.66793194066182882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9.8836102540851137E-2</v>
      </c>
      <c r="C15" s="7">
        <f>$B15 * IFERROR(VLOOKUP("transport|NOx|Work loss days", US_national_yearly!$D:$AM, 11, FALSE) / VLOOKUP("transport|NOx|Work loss days", US_national_yearly!$D:$AM, 10, FALSE), 1)</f>
        <v>9.9055958133906816E-2</v>
      </c>
      <c r="D15" s="7">
        <f>$B15 * IFERROR(VLOOKUP("transport|NOx|Work loss days", US_national_yearly!$D:$AM, 12, FALSE) / VLOOKUP("transport|NOx|Work loss days", US_national_yearly!$D:$AM, 10, FALSE), 1)</f>
        <v>9.9275813726962508E-2</v>
      </c>
      <c r="E15" s="7">
        <f>$B15 * IFERROR(VLOOKUP("transport|NOx|Work loss days", US_national_yearly!$D:$AM, 13, FALSE) / VLOOKUP("transport|NOx|Work loss days", US_national_yearly!$D:$AM, 10, FALSE), 1)</f>
        <v>9.9495669320018187E-2</v>
      </c>
      <c r="F15" s="7">
        <f>$B15 * IFERROR(VLOOKUP("transport|NOx|Work loss days", US_national_yearly!$D:$AM, 14, FALSE) / VLOOKUP("transport|NOx|Work loss days", US_national_yearly!$D:$AM, 10, FALSE), 1)</f>
        <v>9.971552491307388E-2</v>
      </c>
      <c r="G15" s="7">
        <f>$B15 * IFERROR(VLOOKUP("transport|NOx|Work loss days", US_national_yearly!$D:$AM, 15, FALSE) / VLOOKUP("transport|NOx|Work loss days", US_national_yearly!$D:$AM, 10, FALSE), 1)</f>
        <v>0.100036515954401</v>
      </c>
      <c r="H15" s="7">
        <f>$B15 * IFERROR(VLOOKUP("transport|NOx|Work loss days", US_national_yearly!$D:$AM, 16, FALSE) / VLOOKUP("transport|NOx|Work loss days", US_national_yearly!$D:$AM, 10, FALSE), 1)</f>
        <v>0.10035750699572814</v>
      </c>
      <c r="I15" s="7">
        <f>$B15 * IFERROR(VLOOKUP("transport|NOx|Work loss days", US_national_yearly!$D:$AM, 17, FALSE) / VLOOKUP("transport|NOx|Work loss days", US_national_yearly!$D:$AM, 10, FALSE), 1)</f>
        <v>0.10087749508617805</v>
      </c>
      <c r="J15" s="7">
        <f>$B15 * IFERROR(VLOOKUP("transport|NOx|Work loss days", US_national_yearly!$D:$AM, 18, FALSE) / VLOOKUP("transport|NOx|Work loss days", US_national_yearly!$D:$AM, 10, FALSE), 1)</f>
        <v>0.10139748317662797</v>
      </c>
      <c r="K15" s="7">
        <f>$B15 * IFERROR(VLOOKUP("transport|NOx|Work loss days", US_national_yearly!$D:$AM, 19, FALSE) / VLOOKUP("transport|NOx|Work loss days", US_national_yearly!$D:$AM, 10, FALSE), 1)</f>
        <v>0.10191747126707788</v>
      </c>
      <c r="L15" s="7">
        <f>$B15 * IFERROR(VLOOKUP("transport|NOx|Work loss days", US_national_yearly!$D:$AM, 20, FALSE) / VLOOKUP("transport|NOx|Work loss days", US_national_yearly!$D:$AM, 10, FALSE), 1)</f>
        <v>0.10243745935752779</v>
      </c>
      <c r="M15" s="7">
        <f>$B15 * IFERROR(VLOOKUP("transport|NOx|Work loss days", US_national_yearly!$D:$AM, 21, FALSE) / VLOOKUP("transport|NOx|Work loss days", US_national_yearly!$D:$AM, 10, FALSE), 1)</f>
        <v>0.10295744744797772</v>
      </c>
      <c r="N15" s="7">
        <f>$B15 * IFERROR(VLOOKUP("transport|NOx|Work loss days", US_national_yearly!$D:$AM, 22, FALSE) / VLOOKUP("transport|NOx|Work loss days", US_national_yearly!$D:$AM, 10, FALSE), 1)</f>
        <v>0.10363418003980777</v>
      </c>
      <c r="O15" s="7">
        <f>$B15 * IFERROR(VLOOKUP("transport|NOx|Work loss days", US_national_yearly!$D:$AM, 23, FALSE) / VLOOKUP("transport|NOx|Work loss days", US_national_yearly!$D:$AM, 10, FALSE), 1)</f>
        <v>0.10431091263163782</v>
      </c>
      <c r="P15" s="7">
        <f>$B15 * IFERROR(VLOOKUP("transport|NOx|Work loss days", US_national_yearly!$D:$AM, 24, FALSE) / VLOOKUP("transport|NOx|Work loss days", US_national_yearly!$D:$AM, 10, FALSE), 1)</f>
        <v>0.10498764522346787</v>
      </c>
      <c r="Q15" s="7">
        <f>$B15 * IFERROR(VLOOKUP("transport|NOx|Work loss days", US_national_yearly!$D:$AM, 25, FALSE) / VLOOKUP("transport|NOx|Work loss days", US_national_yearly!$D:$AM, 10, FALSE), 1)</f>
        <v>0.1056643778152979</v>
      </c>
      <c r="R15" s="7">
        <f>$B15 * IFERROR(VLOOKUP("transport|NOx|Work loss days", US_national_yearly!$D:$AM, 26, FALSE) / VLOOKUP("transport|NOx|Work loss days", US_national_yearly!$D:$AM, 10, FALSE), 1)</f>
        <v>0.10634111040712797</v>
      </c>
      <c r="S15" s="7">
        <f>$B15 * IFERROR(VLOOKUP("transport|NOx|Work loss days", US_national_yearly!$D:$AM, 27, FALSE) / VLOOKUP("transport|NOx|Work loss days", US_national_yearly!$D:$AM, 10, FALSE), 1)</f>
        <v>0.10709558071863266</v>
      </c>
      <c r="T15" s="7">
        <f>$B15 * IFERROR(VLOOKUP("transport|NOx|Work loss days", US_national_yearly!$D:$AM, 28, FALSE) / VLOOKUP("transport|NOx|Work loss days", US_national_yearly!$D:$AM, 10, FALSE), 1)</f>
        <v>0.10785005103013734</v>
      </c>
      <c r="U15" s="7">
        <f>$B15 * IFERROR(VLOOKUP("transport|NOx|Work loss days", US_national_yearly!$D:$AM, 29, FALSE) / VLOOKUP("transport|NOx|Work loss days", US_national_yearly!$D:$AM, 10, FALSE), 1)</f>
        <v>0.108604521341642</v>
      </c>
      <c r="V15" s="7">
        <f>$B15 * IFERROR(VLOOKUP("transport|NOx|Work loss days", US_national_yearly!$D:$AM, 30, FALSE) / VLOOKUP("transport|NOx|Work loss days", US_national_yearly!$D:$AM, 10, FALSE), 1)</f>
        <v>0.10935899165314668</v>
      </c>
      <c r="W15" s="7">
        <f>$B15 * IFERROR(VLOOKUP("transport|NOx|Work loss days", US_national_yearly!$D:$AM, 31, FALSE) / VLOOKUP("transport|NOx|Work loss days", US_national_yearly!$D:$AM, 10, FALSE), 1)</f>
        <v>0.11011346196465137</v>
      </c>
      <c r="X15" s="7">
        <f>$B15 * IFERROR(VLOOKUP("transport|NOx|Work loss days", US_national_yearly!$D:$AM, 32, FALSE) / VLOOKUP("transport|NOx|Work loss days", US_national_yearly!$D:$AM, 10, FALSE), 1)</f>
        <v>0.11076830196913955</v>
      </c>
      <c r="Y15" s="7">
        <f>$B15 * IFERROR(VLOOKUP("transport|NOx|Work loss days", US_national_yearly!$D:$AM, 33, FALSE) / VLOOKUP("transport|NOx|Work loss days", US_national_yearly!$D:$AM, 10, FALSE), 1)</f>
        <v>0.11142314197362774</v>
      </c>
      <c r="Z15" s="7">
        <f>$B15 * IFERROR(VLOOKUP("transport|NOx|Work loss days", US_national_yearly!$D:$AM, 34, FALSE) / VLOOKUP("transport|NOx|Work loss days", US_national_yearly!$D:$AM, 10, FALSE), 1)</f>
        <v>0.11207798197811593</v>
      </c>
      <c r="AA15" s="7">
        <f>$B15 * IFERROR(VLOOKUP("transport|NOx|Work loss days", US_national_yearly!$D:$AM, 35, FALSE) / VLOOKUP("transport|NOx|Work loss days", US_national_yearly!$D:$AM, 10, FALSE), 1)</f>
        <v>0.11273282198260412</v>
      </c>
      <c r="AB15" s="7">
        <f>$B15 * IFERROR(VLOOKUP("transport|NOx|Work loss days", US_national_yearly!$D:$AM, 36, FALSE) / VLOOKUP("transport|NOx|Work loss days", US_national_yearly!$D:$AM, 10, FALSE), 1)</f>
        <v>0.11338766198709231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1.9683247198861424E-4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2.0261632168784983E-4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2.0840017138708535E-4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2.1418402108632089E-4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2.1996787078555648E-4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2.2546157149800844E-4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2.3095527221046042E-4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2.3557505069454401E-4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2.4019482917862761E-4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2.4481460766271121E-4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2.4943438614679481E-4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2.5405416463087846E-4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2.5694306519234651E-4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2.5983196575381467E-4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2.6272086631528273E-4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2.6560976687675083E-4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2.6849866743821894E-4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2.6981679343381873E-4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2.7113491942941853E-4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2.7245304542501827E-4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2.7377117142061806E-4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2.7508929741621786E-4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2.7582288023168973E-4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2.7655646304716155E-4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2.7729004586263343E-4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2.7802362867810531E-4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2.7875721149357718E-4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1.070230499672499E-2</v>
      </c>
      <c r="C2" s="7">
        <f>$B2 * IFERROR(VLOOKUP("transport|SO2|Premature mortality", US_national_yearly!$D:$AM, 11, FALSE) / VLOOKUP("transport|SO2|Premature mortality", US_national_yearly!$D:$AM, 10, FALSE), 1)</f>
        <v>1.0837843898871951E-2</v>
      </c>
      <c r="D2" s="7">
        <f>$B2 * IFERROR(VLOOKUP("transport|SO2|Premature mortality", US_national_yearly!$D:$AM, 12, FALSE) / VLOOKUP("transport|SO2|Premature mortality", US_national_yearly!$D:$AM, 10, FALSE), 1)</f>
        <v>1.0973382801018911E-2</v>
      </c>
      <c r="E2" s="7">
        <f>$B2 * IFERROR(VLOOKUP("transport|SO2|Premature mortality", US_national_yearly!$D:$AM, 13, FALSE) / VLOOKUP("transport|SO2|Premature mortality", US_national_yearly!$D:$AM, 10, FALSE), 1)</f>
        <v>1.1108921703165872E-2</v>
      </c>
      <c r="F2" s="7">
        <f>$B2 * IFERROR(VLOOKUP("transport|SO2|Premature mortality", US_national_yearly!$D:$AM, 14, FALSE) / VLOOKUP("transport|SO2|Premature mortality", US_national_yearly!$D:$AM, 10, FALSE), 1)</f>
        <v>1.1244460605312831E-2</v>
      </c>
      <c r="G2" s="7">
        <f>$B2 * IFERROR(VLOOKUP("transport|SO2|Premature mortality", US_national_yearly!$D:$AM, 15, FALSE) / VLOOKUP("transport|SO2|Premature mortality", US_national_yearly!$D:$AM, 10, FALSE), 1)</f>
        <v>1.1505636388238377E-2</v>
      </c>
      <c r="H2" s="7">
        <f>$B2 * IFERROR(VLOOKUP("transport|SO2|Premature mortality", US_national_yearly!$D:$AM, 16, FALSE) / VLOOKUP("transport|SO2|Premature mortality", US_national_yearly!$D:$AM, 10, FALSE), 1)</f>
        <v>1.1766812171163921E-2</v>
      </c>
      <c r="I2" s="7">
        <f>$B2 * IFERROR(VLOOKUP("transport|SO2|Premature mortality", US_national_yearly!$D:$AM, 17, FALSE) / VLOOKUP("transport|SO2|Premature mortality", US_national_yearly!$D:$AM, 10, FALSE), 1)</f>
        <v>1.1939413131811117E-2</v>
      </c>
      <c r="J2" s="7">
        <f>$B2 * IFERROR(VLOOKUP("transport|SO2|Premature mortality", US_national_yearly!$D:$AM, 18, FALSE) / VLOOKUP("transport|SO2|Premature mortality", US_national_yearly!$D:$AM, 10, FALSE), 1)</f>
        <v>1.2112014092458314E-2</v>
      </c>
      <c r="K2" s="7">
        <f>$B2 * IFERROR(VLOOKUP("transport|SO2|Premature mortality", US_national_yearly!$D:$AM, 19, FALSE) / VLOOKUP("transport|SO2|Premature mortality", US_national_yearly!$D:$AM, 10, FALSE), 1)</f>
        <v>1.228461505310551E-2</v>
      </c>
      <c r="L2" s="7">
        <f>$B2 * IFERROR(VLOOKUP("transport|SO2|Premature mortality", US_national_yearly!$D:$AM, 20, FALSE) / VLOOKUP("transport|SO2|Premature mortality", US_national_yearly!$D:$AM, 10, FALSE), 1)</f>
        <v>1.2457216013752706E-2</v>
      </c>
      <c r="M2" s="7">
        <f>$B2 * IFERROR(VLOOKUP("transport|SO2|Premature mortality", US_national_yearly!$D:$AM, 21, FALSE) / VLOOKUP("transport|SO2|Premature mortality", US_national_yearly!$D:$AM, 10, FALSE), 1)</f>
        <v>1.2629816974399903E-2</v>
      </c>
      <c r="N2" s="7">
        <f>$B2 * IFERROR(VLOOKUP("transport|SO2|Premature mortality", US_national_yearly!$D:$AM, 22, FALSE) / VLOOKUP("transport|SO2|Premature mortality", US_national_yearly!$D:$AM, 10, FALSE), 1)</f>
        <v>1.2764678002702883E-2</v>
      </c>
      <c r="O2" s="7">
        <f>$B2 * IFERROR(VLOOKUP("transport|SO2|Premature mortality", US_national_yearly!$D:$AM, 23, FALSE) / VLOOKUP("transport|SO2|Premature mortality", US_national_yearly!$D:$AM, 10, FALSE), 1)</f>
        <v>1.2899539031005861E-2</v>
      </c>
      <c r="P2" s="7">
        <f>$B2 * IFERROR(VLOOKUP("transport|SO2|Premature mortality", US_national_yearly!$D:$AM, 24, FALSE) / VLOOKUP("transport|SO2|Premature mortality", US_national_yearly!$D:$AM, 10, FALSE), 1)</f>
        <v>1.3034400059308841E-2</v>
      </c>
      <c r="Q2" s="7">
        <f>$B2 * IFERROR(VLOOKUP("transport|SO2|Premature mortality", US_national_yearly!$D:$AM, 25, FALSE) / VLOOKUP("transport|SO2|Premature mortality", US_national_yearly!$D:$AM, 10, FALSE), 1)</f>
        <v>1.3169261087611819E-2</v>
      </c>
      <c r="R2" s="7">
        <f>$B2 * IFERROR(VLOOKUP("transport|SO2|Premature mortality", US_national_yearly!$D:$AM, 26, FALSE) / VLOOKUP("transport|SO2|Premature mortality", US_national_yearly!$D:$AM, 10, FALSE), 1)</f>
        <v>1.3304122115914795E-2</v>
      </c>
      <c r="S2" s="7">
        <f>$B2 * IFERROR(VLOOKUP("transport|SO2|Premature mortality", US_national_yearly!$D:$AM, 27, FALSE) / VLOOKUP("transport|SO2|Premature mortality", US_national_yearly!$D:$AM, 10, FALSE), 1)</f>
        <v>1.3376341992272504E-2</v>
      </c>
      <c r="T2" s="7">
        <f>$B2 * IFERROR(VLOOKUP("transport|SO2|Premature mortality", US_national_yearly!$D:$AM, 28, FALSE) / VLOOKUP("transport|SO2|Premature mortality", US_national_yearly!$D:$AM, 10, FALSE), 1)</f>
        <v>1.3448561868630211E-2</v>
      </c>
      <c r="U2" s="7">
        <f>$B2 * IFERROR(VLOOKUP("transport|SO2|Premature mortality", US_national_yearly!$D:$AM, 29, FALSE) / VLOOKUP("transport|SO2|Premature mortality", US_national_yearly!$D:$AM, 10, FALSE), 1)</f>
        <v>1.3520781744987916E-2</v>
      </c>
      <c r="V2" s="7">
        <f>$B2 * IFERROR(VLOOKUP("transport|SO2|Premature mortality", US_national_yearly!$D:$AM, 30, FALSE) / VLOOKUP("transport|SO2|Premature mortality", US_national_yearly!$D:$AM, 10, FALSE), 1)</f>
        <v>1.3593001621345621E-2</v>
      </c>
      <c r="W2" s="7">
        <f>$B2 * IFERROR(VLOOKUP("transport|SO2|Premature mortality", US_national_yearly!$D:$AM, 31, FALSE) / VLOOKUP("transport|SO2|Premature mortality", US_national_yearly!$D:$AM, 10, FALSE), 1)</f>
        <v>1.366522149770333E-2</v>
      </c>
      <c r="X2" s="7">
        <f>$B2 * IFERROR(VLOOKUP("transport|SO2|Premature mortality", US_national_yearly!$D:$AM, 32, FALSE) / VLOOKUP("transport|SO2|Premature mortality", US_national_yearly!$D:$AM, 10, FALSE), 1)</f>
        <v>1.3679893186489387E-2</v>
      </c>
      <c r="Y2" s="7">
        <f>$B2 * IFERROR(VLOOKUP("transport|SO2|Premature mortality", US_national_yearly!$D:$AM, 33, FALSE) / VLOOKUP("transport|SO2|Premature mortality", US_national_yearly!$D:$AM, 10, FALSE), 1)</f>
        <v>1.3694564875275445E-2</v>
      </c>
      <c r="Z2" s="7">
        <f>$B2 * IFERROR(VLOOKUP("transport|SO2|Premature mortality", US_national_yearly!$D:$AM, 34, FALSE) / VLOOKUP("transport|SO2|Premature mortality", US_national_yearly!$D:$AM, 10, FALSE), 1)</f>
        <v>1.3709236564061505E-2</v>
      </c>
      <c r="AA2" s="7">
        <f>$B2 * IFERROR(VLOOKUP("transport|SO2|Premature mortality", US_national_yearly!$D:$AM, 35, FALSE) / VLOOKUP("transport|SO2|Premature mortality", US_national_yearly!$D:$AM, 10, FALSE), 1)</f>
        <v>1.3723908252847564E-2</v>
      </c>
      <c r="AB2" s="7">
        <f>$B2 * IFERROR(VLOOKUP("transport|SO2|Premature mortality", US_national_yearly!$D:$AM, 36, FALSE) / VLOOKUP("transport|SO2|Premature mortality", US_national_yearly!$D:$AM, 10, FALSE), 1)</f>
        <v>1.3738579941633621E-2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3.2203345339890612E-5</v>
      </c>
      <c r="C3" s="7">
        <f>$B3 * IFERROR(VLOOKUP("transport|SO2|Infant mortality", US_national_yearly!$D:$AM, 11, FALSE) / VLOOKUP("transport|SO2|Infant mortality", US_national_yearly!$D:$AM, 10, FALSE), 1)</f>
        <v>3.192671272935136E-5</v>
      </c>
      <c r="D3" s="7">
        <f>$B3 * IFERROR(VLOOKUP("transport|SO2|Infant mortality", US_national_yearly!$D:$AM, 12, FALSE) / VLOOKUP("transport|SO2|Infant mortality", US_national_yearly!$D:$AM, 10, FALSE), 1)</f>
        <v>3.1650080118812108E-5</v>
      </c>
      <c r="E3" s="7">
        <f>$B3 * IFERROR(VLOOKUP("transport|SO2|Infant mortality", US_national_yearly!$D:$AM, 13, FALSE) / VLOOKUP("transport|SO2|Infant mortality", US_national_yearly!$D:$AM, 10, FALSE), 1)</f>
        <v>3.1373447508272849E-5</v>
      </c>
      <c r="F3" s="7">
        <f>$B3 * IFERROR(VLOOKUP("transport|SO2|Infant mortality", US_national_yearly!$D:$AM, 14, FALSE) / VLOOKUP("transport|SO2|Infant mortality", US_national_yearly!$D:$AM, 10, FALSE), 1)</f>
        <v>3.1096814897733597E-5</v>
      </c>
      <c r="G3" s="7">
        <f>$B3 * IFERROR(VLOOKUP("transport|SO2|Infant mortality", US_national_yearly!$D:$AM, 15, FALSE) / VLOOKUP("transport|SO2|Infant mortality", US_national_yearly!$D:$AM, 10, FALSE), 1)</f>
        <v>2.0712983308516894E-5</v>
      </c>
      <c r="H3" s="7">
        <f>$B3 * IFERROR(VLOOKUP("transport|SO2|Infant mortality", US_national_yearly!$D:$AM, 16, FALSE) / VLOOKUP("transport|SO2|Infant mortality", US_national_yearly!$D:$AM, 10, FALSE), 1)</f>
        <v>1.0329151719300205E-5</v>
      </c>
      <c r="I3" s="7">
        <f>$B3 * IFERROR(VLOOKUP("transport|SO2|Infant mortality", US_national_yearly!$D:$AM, 17, FALSE) / VLOOKUP("transport|SO2|Infant mortality", US_national_yearly!$D:$AM, 10, FALSE), 1)</f>
        <v>1.0264353831429017E-5</v>
      </c>
      <c r="J3" s="7">
        <f>$B3 * IFERROR(VLOOKUP("transport|SO2|Infant mortality", US_national_yearly!$D:$AM, 18, FALSE) / VLOOKUP("transport|SO2|Infant mortality", US_national_yearly!$D:$AM, 10, FALSE), 1)</f>
        <v>1.0199555943557828E-5</v>
      </c>
      <c r="K3" s="7">
        <f>$B3 * IFERROR(VLOOKUP("transport|SO2|Infant mortality", US_national_yearly!$D:$AM, 19, FALSE) / VLOOKUP("transport|SO2|Infant mortality", US_national_yearly!$D:$AM, 10, FALSE), 1)</f>
        <v>1.013475805568664E-5</v>
      </c>
      <c r="L3" s="7">
        <f>$B3 * IFERROR(VLOOKUP("transport|SO2|Infant mortality", US_national_yearly!$D:$AM, 20, FALSE) / VLOOKUP("transport|SO2|Infant mortality", US_national_yearly!$D:$AM, 10, FALSE), 1)</f>
        <v>1.0069960167815454E-5</v>
      </c>
      <c r="M3" s="7">
        <f>$B3 * IFERROR(VLOOKUP("transport|SO2|Infant mortality", US_national_yearly!$D:$AM, 21, FALSE) / VLOOKUP("transport|SO2|Infant mortality", US_national_yearly!$D:$AM, 10, FALSE), 1)</f>
        <v>1.0005162279944265E-5</v>
      </c>
      <c r="N3" s="7">
        <f>$B3 * IFERROR(VLOOKUP("transport|SO2|Infant mortality", US_national_yearly!$D:$AM, 22, FALSE) / VLOOKUP("transport|SO2|Infant mortality", US_national_yearly!$D:$AM, 10, FALSE), 1)</f>
        <v>9.9644891308474194E-6</v>
      </c>
      <c r="O3" s="7">
        <f>$B3 * IFERROR(VLOOKUP("transport|SO2|Infant mortality", US_national_yearly!$D:$AM, 23, FALSE) / VLOOKUP("transport|SO2|Infant mortality", US_national_yearly!$D:$AM, 10, FALSE), 1)</f>
        <v>9.9238159817505737E-6</v>
      </c>
      <c r="P3" s="7">
        <f>$B3 * IFERROR(VLOOKUP("transport|SO2|Infant mortality", US_national_yearly!$D:$AM, 24, FALSE) / VLOOKUP("transport|SO2|Infant mortality", US_national_yearly!$D:$AM, 10, FALSE), 1)</f>
        <v>9.8831428326537263E-6</v>
      </c>
      <c r="Q3" s="7">
        <f>$B3 * IFERROR(VLOOKUP("transport|SO2|Infant mortality", US_national_yearly!$D:$AM, 25, FALSE) / VLOOKUP("transport|SO2|Infant mortality", US_national_yearly!$D:$AM, 10, FALSE), 1)</f>
        <v>9.8424696835568823E-6</v>
      </c>
      <c r="R3" s="7">
        <f>$B3 * IFERROR(VLOOKUP("transport|SO2|Infant mortality", US_national_yearly!$D:$AM, 26, FALSE) / VLOOKUP("transport|SO2|Infant mortality", US_national_yearly!$D:$AM, 10, FALSE), 1)</f>
        <v>9.8017965344600349E-6</v>
      </c>
      <c r="S3" s="7">
        <f>$B3 * IFERROR(VLOOKUP("transport|SO2|Infant mortality", US_national_yearly!$D:$AM, 27, FALSE) / VLOOKUP("transport|SO2|Infant mortality", US_national_yearly!$D:$AM, 10, FALSE), 1)</f>
        <v>9.7507289179076613E-6</v>
      </c>
      <c r="T3" s="7">
        <f>$B3 * IFERROR(VLOOKUP("transport|SO2|Infant mortality", US_national_yearly!$D:$AM, 28, FALSE) / VLOOKUP("transport|SO2|Infant mortality", US_national_yearly!$D:$AM, 10, FALSE), 1)</f>
        <v>9.6996613013552877E-6</v>
      </c>
      <c r="U3" s="7">
        <f>$B3 * IFERROR(VLOOKUP("transport|SO2|Infant mortality", US_national_yearly!$D:$AM, 29, FALSE) / VLOOKUP("transport|SO2|Infant mortality", US_national_yearly!$D:$AM, 10, FALSE), 1)</f>
        <v>9.6485936848029108E-6</v>
      </c>
      <c r="V3" s="7">
        <f>$B3 * IFERROR(VLOOKUP("transport|SO2|Infant mortality", US_national_yearly!$D:$AM, 30, FALSE) / VLOOKUP("transport|SO2|Infant mortality", US_national_yearly!$D:$AM, 10, FALSE), 1)</f>
        <v>9.5975260682505389E-6</v>
      </c>
      <c r="W3" s="7">
        <f>$B3 * IFERROR(VLOOKUP("transport|SO2|Infant mortality", US_national_yearly!$D:$AM, 31, FALSE) / VLOOKUP("transport|SO2|Infant mortality", US_national_yearly!$D:$AM, 10, FALSE), 1)</f>
        <v>9.5464584516981654E-6</v>
      </c>
      <c r="X3" s="7">
        <f>$B3 * IFERROR(VLOOKUP("transport|SO2|Infant mortality", US_national_yearly!$D:$AM, 32, FALSE) / VLOOKUP("transport|SO2|Infant mortality", US_national_yearly!$D:$AM, 10, FALSE), 1)</f>
        <v>9.490625783659418E-6</v>
      </c>
      <c r="Y3" s="7">
        <f>$B3 * IFERROR(VLOOKUP("transport|SO2|Infant mortality", US_national_yearly!$D:$AM, 33, FALSE) / VLOOKUP("transport|SO2|Infant mortality", US_national_yearly!$D:$AM, 10, FALSE), 1)</f>
        <v>9.4347931156206672E-6</v>
      </c>
      <c r="Z3" s="7">
        <f>$B3 * IFERROR(VLOOKUP("transport|SO2|Infant mortality", US_national_yearly!$D:$AM, 34, FALSE) / VLOOKUP("transport|SO2|Infant mortality", US_national_yearly!$D:$AM, 10, FALSE), 1)</f>
        <v>9.3789604475819198E-6</v>
      </c>
      <c r="AA3" s="7">
        <f>$B3 * IFERROR(VLOOKUP("transport|SO2|Infant mortality", US_national_yearly!$D:$AM, 35, FALSE) / VLOOKUP("transport|SO2|Infant mortality", US_national_yearly!$D:$AM, 10, FALSE), 1)</f>
        <v>9.3231277795431707E-6</v>
      </c>
      <c r="AB3" s="7">
        <f>$B3 * IFERROR(VLOOKUP("transport|SO2|Infant mortality", US_national_yearly!$D:$AM, 36, FALSE) / VLOOKUP("transport|SO2|Infant mortality", US_national_yearly!$D:$AM, 10, FALSE), 1)</f>
        <v>9.2672951115044233E-6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3.0652965684480362E-2</v>
      </c>
      <c r="C6" s="7">
        <f>$B6 * IFERROR(VLOOKUP("transport|SO2|Asthma symptoms cough", US_national_yearly!$D:$AM, 11, FALSE) / VLOOKUP("transport|SO2|Asthma symptoms cough", US_national_yearly!$D:$AM, 10, FALSE), 1)</f>
        <v>3.0652965684480362E-2</v>
      </c>
      <c r="D6" s="7">
        <f>$B6 * IFERROR(VLOOKUP("transport|SO2|Asthma symptoms cough", US_national_yearly!$D:$AM, 12, FALSE) / VLOOKUP("transport|SO2|Asthma symptoms cough", US_national_yearly!$D:$AM, 10, FALSE), 1)</f>
        <v>3.0652965684480362E-2</v>
      </c>
      <c r="E6" s="7">
        <f>$B6 * IFERROR(VLOOKUP("transport|SO2|Asthma symptoms cough", US_national_yearly!$D:$AM, 13, FALSE) / VLOOKUP("transport|SO2|Asthma symptoms cough", US_national_yearly!$D:$AM, 10, FALSE), 1)</f>
        <v>3.0652965684480362E-2</v>
      </c>
      <c r="F6" s="7">
        <f>$B6 * IFERROR(VLOOKUP("transport|SO2|Asthma symptoms cough", US_national_yearly!$D:$AM, 14, FALSE) / VLOOKUP("transport|SO2|Asthma symptoms cough", US_national_yearly!$D:$AM, 10, FALSE), 1)</f>
        <v>3.0652965684480362E-2</v>
      </c>
      <c r="G6" s="7">
        <f>$B6 * IFERROR(VLOOKUP("transport|SO2|Asthma symptoms cough", US_national_yearly!$D:$AM, 15, FALSE) / VLOOKUP("transport|SO2|Asthma symptoms cough", US_national_yearly!$D:$AM, 10, FALSE), 1)</f>
        <v>3.0652965684480362E-2</v>
      </c>
      <c r="H6" s="7">
        <f>$B6 * IFERROR(VLOOKUP("transport|SO2|Asthma symptoms cough", US_national_yearly!$D:$AM, 16, FALSE) / VLOOKUP("transport|SO2|Asthma symptoms cough", US_national_yearly!$D:$AM, 10, FALSE), 1)</f>
        <v>3.0652965684480362E-2</v>
      </c>
      <c r="I6" s="7">
        <f>$B6 * IFERROR(VLOOKUP("transport|SO2|Asthma symptoms cough", US_national_yearly!$D:$AM, 17, FALSE) / VLOOKUP("transport|SO2|Asthma symptoms cough", US_national_yearly!$D:$AM, 10, FALSE), 1)</f>
        <v>3.0652965684480362E-2</v>
      </c>
      <c r="J6" s="7">
        <f>$B6 * IFERROR(VLOOKUP("transport|SO2|Asthma symptoms cough", US_national_yearly!$D:$AM, 18, FALSE) / VLOOKUP("transport|SO2|Asthma symptoms cough", US_national_yearly!$D:$AM, 10, FALSE), 1)</f>
        <v>3.0652965684480362E-2</v>
      </c>
      <c r="K6" s="7">
        <f>$B6 * IFERROR(VLOOKUP("transport|SO2|Asthma symptoms cough", US_national_yearly!$D:$AM, 19, FALSE) / VLOOKUP("transport|SO2|Asthma symptoms cough", US_national_yearly!$D:$AM, 10, FALSE), 1)</f>
        <v>3.0652965684480362E-2</v>
      </c>
      <c r="L6" s="7">
        <f>$B6 * IFERROR(VLOOKUP("transport|SO2|Asthma symptoms cough", US_national_yearly!$D:$AM, 20, FALSE) / VLOOKUP("transport|SO2|Asthma symptoms cough", US_national_yearly!$D:$AM, 10, FALSE), 1)</f>
        <v>3.0652965684480362E-2</v>
      </c>
      <c r="M6" s="7">
        <f>$B6 * IFERROR(VLOOKUP("transport|SO2|Asthma symptoms cough", US_national_yearly!$D:$AM, 21, FALSE) / VLOOKUP("transport|SO2|Asthma symptoms cough", US_national_yearly!$D:$AM, 10, FALSE), 1)</f>
        <v>3.0652965684480362E-2</v>
      </c>
      <c r="N6" s="7">
        <f>$B6 * IFERROR(VLOOKUP("transport|SO2|Asthma symptoms cough", US_national_yearly!$D:$AM, 22, FALSE) / VLOOKUP("transport|SO2|Asthma symptoms cough", US_national_yearly!$D:$AM, 10, FALSE), 1)</f>
        <v>3.0652965684480362E-2</v>
      </c>
      <c r="O6" s="7">
        <f>$B6 * IFERROR(VLOOKUP("transport|SO2|Asthma symptoms cough", US_national_yearly!$D:$AM, 23, FALSE) / VLOOKUP("transport|SO2|Asthma symptoms cough", US_national_yearly!$D:$AM, 10, FALSE), 1)</f>
        <v>3.0652965684480362E-2</v>
      </c>
      <c r="P6" s="7">
        <f>$B6 * IFERROR(VLOOKUP("transport|SO2|Asthma symptoms cough", US_national_yearly!$D:$AM, 24, FALSE) / VLOOKUP("transport|SO2|Asthma symptoms cough", US_national_yearly!$D:$AM, 10, FALSE), 1)</f>
        <v>3.0652965684480362E-2</v>
      </c>
      <c r="Q6" s="7">
        <f>$B6 * IFERROR(VLOOKUP("transport|SO2|Asthma symptoms cough", US_national_yearly!$D:$AM, 25, FALSE) / VLOOKUP("transport|SO2|Asthma symptoms cough", US_national_yearly!$D:$AM, 10, FALSE), 1)</f>
        <v>3.0652965684480362E-2</v>
      </c>
      <c r="R6" s="7">
        <f>$B6 * IFERROR(VLOOKUP("transport|SO2|Asthma symptoms cough", US_national_yearly!$D:$AM, 26, FALSE) / VLOOKUP("transport|SO2|Asthma symptoms cough", US_national_yearly!$D:$AM, 10, FALSE), 1)</f>
        <v>3.0652965684480362E-2</v>
      </c>
      <c r="S6" s="7">
        <f>$B6 * IFERROR(VLOOKUP("transport|SO2|Asthma symptoms cough", US_national_yearly!$D:$AM, 27, FALSE) / VLOOKUP("transport|SO2|Asthma symptoms cough", US_national_yearly!$D:$AM, 10, FALSE), 1)</f>
        <v>3.0652965684480362E-2</v>
      </c>
      <c r="T6" s="7">
        <f>$B6 * IFERROR(VLOOKUP("transport|SO2|Asthma symptoms cough", US_national_yearly!$D:$AM, 28, FALSE) / VLOOKUP("transport|SO2|Asthma symptoms cough", US_national_yearly!$D:$AM, 10, FALSE), 1)</f>
        <v>3.0652965684480362E-2</v>
      </c>
      <c r="U6" s="7">
        <f>$B6 * IFERROR(VLOOKUP("transport|SO2|Asthma symptoms cough", US_national_yearly!$D:$AM, 29, FALSE) / VLOOKUP("transport|SO2|Asthma symptoms cough", US_national_yearly!$D:$AM, 10, FALSE), 1)</f>
        <v>3.0652965684480362E-2</v>
      </c>
      <c r="V6" s="7">
        <f>$B6 * IFERROR(VLOOKUP("transport|SO2|Asthma symptoms cough", US_national_yearly!$D:$AM, 30, FALSE) / VLOOKUP("transport|SO2|Asthma symptoms cough", US_national_yearly!$D:$AM, 10, FALSE), 1)</f>
        <v>3.0652965684480362E-2</v>
      </c>
      <c r="W6" s="7">
        <f>$B6 * IFERROR(VLOOKUP("transport|SO2|Asthma symptoms cough", US_national_yearly!$D:$AM, 31, FALSE) / VLOOKUP("transport|SO2|Asthma symptoms cough", US_national_yearly!$D:$AM, 10, FALSE), 1)</f>
        <v>3.0652965684480362E-2</v>
      </c>
      <c r="X6" s="7">
        <f>$B6 * IFERROR(VLOOKUP("transport|SO2|Asthma symptoms cough", US_national_yearly!$D:$AM, 32, FALSE) / VLOOKUP("transport|SO2|Asthma symptoms cough", US_national_yearly!$D:$AM, 10, FALSE), 1)</f>
        <v>3.0652965684480362E-2</v>
      </c>
      <c r="Y6" s="7">
        <f>$B6 * IFERROR(VLOOKUP("transport|SO2|Asthma symptoms cough", US_national_yearly!$D:$AM, 33, FALSE) / VLOOKUP("transport|SO2|Asthma symptoms cough", US_national_yearly!$D:$AM, 10, FALSE), 1)</f>
        <v>3.0652965684480362E-2</v>
      </c>
      <c r="Z6" s="7">
        <f>$B6 * IFERROR(VLOOKUP("transport|SO2|Asthma symptoms cough", US_national_yearly!$D:$AM, 34, FALSE) / VLOOKUP("transport|SO2|Asthma symptoms cough", US_national_yearly!$D:$AM, 10, FALSE), 1)</f>
        <v>3.0652965684480362E-2</v>
      </c>
      <c r="AA6" s="7">
        <f>$B6 * IFERROR(VLOOKUP("transport|SO2|Asthma symptoms cough", US_national_yearly!$D:$AM, 35, FALSE) / VLOOKUP("transport|SO2|Asthma symptoms cough", US_national_yearly!$D:$AM, 10, FALSE), 1)</f>
        <v>3.0652965684480362E-2</v>
      </c>
      <c r="AB6" s="7">
        <f>$B6 * IFERROR(VLOOKUP("transport|SO2|Asthma symptoms cough", US_national_yearly!$D:$AM, 36, FALSE) / VLOOKUP("transport|SO2|Asthma symptoms cough", US_national_yearly!$D:$AM, 10, FALSE), 1)</f>
        <v>3.0652965684480362E-2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4.1278539513889288E-2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4.1278539513889288E-2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4.1278539513889288E-2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4.1278539513889288E-2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4.1278539513889288E-2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4.1278539513889288E-2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4.1278539513889288E-2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4.1278539513889288E-2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4.1278539513889288E-2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4.1278539513889288E-2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4.1278539513889288E-2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4.1278539513889288E-2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4.1278539513889288E-2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4.1278539513889288E-2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4.1278539513889288E-2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4.1278539513889288E-2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4.1278539513889288E-2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4.1278539513889288E-2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4.1278539513889288E-2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4.1278539513889288E-2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4.1278539513889288E-2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4.1278539513889288E-2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4.1278539513889288E-2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4.1278539513889288E-2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4.1278539513889288E-2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4.1278539513889288E-2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4.1278539513889288E-2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6.3067064453364755E-2</v>
      </c>
      <c r="C8" s="7">
        <f>$B8 * IFERROR(VLOOKUP("transport|SO2|Asthma symptoms wheeze", US_national_yearly!$D:$AM, 11, FALSE) / VLOOKUP("transport|SO2|Asthma symptoms wheeze", US_national_yearly!$D:$AM, 10, FALSE), 1)</f>
        <v>6.3067064453364755E-2</v>
      </c>
      <c r="D8" s="7">
        <f>$B8 * IFERROR(VLOOKUP("transport|SO2|Asthma symptoms wheeze", US_national_yearly!$D:$AM, 12, FALSE) / VLOOKUP("transport|SO2|Asthma symptoms wheeze", US_national_yearly!$D:$AM, 10, FALSE), 1)</f>
        <v>6.3067064453364755E-2</v>
      </c>
      <c r="E8" s="7">
        <f>$B8 * IFERROR(VLOOKUP("transport|SO2|Asthma symptoms wheeze", US_national_yearly!$D:$AM, 13, FALSE) / VLOOKUP("transport|SO2|Asthma symptoms wheeze", US_national_yearly!$D:$AM, 10, FALSE), 1)</f>
        <v>6.3067064453364755E-2</v>
      </c>
      <c r="F8" s="7">
        <f>$B8 * IFERROR(VLOOKUP("transport|SO2|Asthma symptoms wheeze", US_national_yearly!$D:$AM, 14, FALSE) / VLOOKUP("transport|SO2|Asthma symptoms wheeze", US_national_yearly!$D:$AM, 10, FALSE), 1)</f>
        <v>6.3067064453364755E-2</v>
      </c>
      <c r="G8" s="7">
        <f>$B8 * IFERROR(VLOOKUP("transport|SO2|Asthma symptoms wheeze", US_national_yearly!$D:$AM, 15, FALSE) / VLOOKUP("transport|SO2|Asthma symptoms wheeze", US_national_yearly!$D:$AM, 10, FALSE), 1)</f>
        <v>6.3067064453364755E-2</v>
      </c>
      <c r="H8" s="7">
        <f>$B8 * IFERROR(VLOOKUP("transport|SO2|Asthma symptoms wheeze", US_national_yearly!$D:$AM, 16, FALSE) / VLOOKUP("transport|SO2|Asthma symptoms wheeze", US_national_yearly!$D:$AM, 10, FALSE), 1)</f>
        <v>6.3067064453364755E-2</v>
      </c>
      <c r="I8" s="7">
        <f>$B8 * IFERROR(VLOOKUP("transport|SO2|Asthma symptoms wheeze", US_national_yearly!$D:$AM, 17, FALSE) / VLOOKUP("transport|SO2|Asthma symptoms wheeze", US_national_yearly!$D:$AM, 10, FALSE), 1)</f>
        <v>6.3067064453364755E-2</v>
      </c>
      <c r="J8" s="7">
        <f>$B8 * IFERROR(VLOOKUP("transport|SO2|Asthma symptoms wheeze", US_national_yearly!$D:$AM, 18, FALSE) / VLOOKUP("transport|SO2|Asthma symptoms wheeze", US_national_yearly!$D:$AM, 10, FALSE), 1)</f>
        <v>6.3067064453364755E-2</v>
      </c>
      <c r="K8" s="7">
        <f>$B8 * IFERROR(VLOOKUP("transport|SO2|Asthma symptoms wheeze", US_national_yearly!$D:$AM, 19, FALSE) / VLOOKUP("transport|SO2|Asthma symptoms wheeze", US_national_yearly!$D:$AM, 10, FALSE), 1)</f>
        <v>6.3067064453364755E-2</v>
      </c>
      <c r="L8" s="7">
        <f>$B8 * IFERROR(VLOOKUP("transport|SO2|Asthma symptoms wheeze", US_national_yearly!$D:$AM, 20, FALSE) / VLOOKUP("transport|SO2|Asthma symptoms wheeze", US_national_yearly!$D:$AM, 10, FALSE), 1)</f>
        <v>6.3067064453364755E-2</v>
      </c>
      <c r="M8" s="7">
        <f>$B8 * IFERROR(VLOOKUP("transport|SO2|Asthma symptoms wheeze", US_national_yearly!$D:$AM, 21, FALSE) / VLOOKUP("transport|SO2|Asthma symptoms wheeze", US_national_yearly!$D:$AM, 10, FALSE), 1)</f>
        <v>6.3067064453364755E-2</v>
      </c>
      <c r="N8" s="7">
        <f>$B8 * IFERROR(VLOOKUP("transport|SO2|Asthma symptoms wheeze", US_national_yearly!$D:$AM, 22, FALSE) / VLOOKUP("transport|SO2|Asthma symptoms wheeze", US_national_yearly!$D:$AM, 10, FALSE), 1)</f>
        <v>6.3067064453364755E-2</v>
      </c>
      <c r="O8" s="7">
        <f>$B8 * IFERROR(VLOOKUP("transport|SO2|Asthma symptoms wheeze", US_national_yearly!$D:$AM, 23, FALSE) / VLOOKUP("transport|SO2|Asthma symptoms wheeze", US_national_yearly!$D:$AM, 10, FALSE), 1)</f>
        <v>6.3067064453364755E-2</v>
      </c>
      <c r="P8" s="7">
        <f>$B8 * IFERROR(VLOOKUP("transport|SO2|Asthma symptoms wheeze", US_national_yearly!$D:$AM, 24, FALSE) / VLOOKUP("transport|SO2|Asthma symptoms wheeze", US_national_yearly!$D:$AM, 10, FALSE), 1)</f>
        <v>6.3067064453364755E-2</v>
      </c>
      <c r="Q8" s="7">
        <f>$B8 * IFERROR(VLOOKUP("transport|SO2|Asthma symptoms wheeze", US_national_yearly!$D:$AM, 25, FALSE) / VLOOKUP("transport|SO2|Asthma symptoms wheeze", US_national_yearly!$D:$AM, 10, FALSE), 1)</f>
        <v>6.3067064453364755E-2</v>
      </c>
      <c r="R8" s="7">
        <f>$B8 * IFERROR(VLOOKUP("transport|SO2|Asthma symptoms wheeze", US_national_yearly!$D:$AM, 26, FALSE) / VLOOKUP("transport|SO2|Asthma symptoms wheeze", US_national_yearly!$D:$AM, 10, FALSE), 1)</f>
        <v>6.3067064453364755E-2</v>
      </c>
      <c r="S8" s="7">
        <f>$B8 * IFERROR(VLOOKUP("transport|SO2|Asthma symptoms wheeze", US_national_yearly!$D:$AM, 27, FALSE) / VLOOKUP("transport|SO2|Asthma symptoms wheeze", US_national_yearly!$D:$AM, 10, FALSE), 1)</f>
        <v>6.3067064453364755E-2</v>
      </c>
      <c r="T8" s="7">
        <f>$B8 * IFERROR(VLOOKUP("transport|SO2|Asthma symptoms wheeze", US_national_yearly!$D:$AM, 28, FALSE) / VLOOKUP("transport|SO2|Asthma symptoms wheeze", US_national_yearly!$D:$AM, 10, FALSE), 1)</f>
        <v>6.3067064453364755E-2</v>
      </c>
      <c r="U8" s="7">
        <f>$B8 * IFERROR(VLOOKUP("transport|SO2|Asthma symptoms wheeze", US_national_yearly!$D:$AM, 29, FALSE) / VLOOKUP("transport|SO2|Asthma symptoms wheeze", US_national_yearly!$D:$AM, 10, FALSE), 1)</f>
        <v>6.3067064453364755E-2</v>
      </c>
      <c r="V8" s="7">
        <f>$B8 * IFERROR(VLOOKUP("transport|SO2|Asthma symptoms wheeze", US_national_yearly!$D:$AM, 30, FALSE) / VLOOKUP("transport|SO2|Asthma symptoms wheeze", US_national_yearly!$D:$AM, 10, FALSE), 1)</f>
        <v>6.3067064453364755E-2</v>
      </c>
      <c r="W8" s="7">
        <f>$B8 * IFERROR(VLOOKUP("transport|SO2|Asthma symptoms wheeze", US_national_yearly!$D:$AM, 31, FALSE) / VLOOKUP("transport|SO2|Asthma symptoms wheeze", US_national_yearly!$D:$AM, 10, FALSE), 1)</f>
        <v>6.3067064453364755E-2</v>
      </c>
      <c r="X8" s="7">
        <f>$B8 * IFERROR(VLOOKUP("transport|SO2|Asthma symptoms wheeze", US_national_yearly!$D:$AM, 32, FALSE) / VLOOKUP("transport|SO2|Asthma symptoms wheeze", US_national_yearly!$D:$AM, 10, FALSE), 1)</f>
        <v>6.3067064453364755E-2</v>
      </c>
      <c r="Y8" s="7">
        <f>$B8 * IFERROR(VLOOKUP("transport|SO2|Asthma symptoms wheeze", US_national_yearly!$D:$AM, 33, FALSE) / VLOOKUP("transport|SO2|Asthma symptoms wheeze", US_national_yearly!$D:$AM, 10, FALSE), 1)</f>
        <v>6.3067064453364755E-2</v>
      </c>
      <c r="Z8" s="7">
        <f>$B8 * IFERROR(VLOOKUP("transport|SO2|Asthma symptoms wheeze", US_national_yearly!$D:$AM, 34, FALSE) / VLOOKUP("transport|SO2|Asthma symptoms wheeze", US_national_yearly!$D:$AM, 10, FALSE), 1)</f>
        <v>6.3067064453364755E-2</v>
      </c>
      <c r="AA8" s="7">
        <f>$B8 * IFERROR(VLOOKUP("transport|SO2|Asthma symptoms wheeze", US_national_yearly!$D:$AM, 35, FALSE) / VLOOKUP("transport|SO2|Asthma symptoms wheeze", US_national_yearly!$D:$AM, 10, FALSE), 1)</f>
        <v>6.3067064453364755E-2</v>
      </c>
      <c r="AB8" s="7">
        <f>$B8 * IFERROR(VLOOKUP("transport|SO2|Asthma symptoms wheeze", US_national_yearly!$D:$AM, 36, FALSE) / VLOOKUP("transport|SO2|Asthma symptoms wheeze", US_national_yearly!$D:$AM, 10, FALSE), 1)</f>
        <v>6.3067064453364755E-2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8.2963230021926163E-4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8.3452551275444862E-4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8.3941872528963562E-4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8.4431193782482251E-4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8.492051503600095E-4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8.5453957736638904E-4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8.5987400437276859E-4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8.6513438453997196E-4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8.7039476470717554E-4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8.7565514487437869E-4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8.8091552504158228E-4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8.8617590520878554E-4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8.9001582035028507E-4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8.9385573549178449E-4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8.9769565063328391E-4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9.0153556577478354E-4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9.0537548091628285E-4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9.0903846696748045E-4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9.1270145301867783E-4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9.1636443906987543E-4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9.2002742512107302E-4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9.2369041117227062E-4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9.271659835440165E-4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9.3064155591576227E-4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9.3411712828750815E-4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9.3759270065925393E-4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9.4106827303100003E-4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5.1952388703807488E-3</v>
      </c>
      <c r="C13" s="7">
        <f>$B13 * IFERROR(VLOOKUP("transport|SO2|Non-fatal heart attacks", US_national_yearly!$D:$AM, 11, FALSE) / VLOOKUP("transport|SO2|Non-fatal heart attacks", US_national_yearly!$D:$AM, 10, FALSE), 1)</f>
        <v>5.347752213472886E-3</v>
      </c>
      <c r="D13" s="7">
        <f>$B13 * IFERROR(VLOOKUP("transport|SO2|Non-fatal heart attacks", US_national_yearly!$D:$AM, 12, FALSE) / VLOOKUP("transport|SO2|Non-fatal heart attacks", US_national_yearly!$D:$AM, 10, FALSE), 1)</f>
        <v>5.5002655565650231E-3</v>
      </c>
      <c r="E13" s="7">
        <f>$B13 * IFERROR(VLOOKUP("transport|SO2|Non-fatal heart attacks", US_national_yearly!$D:$AM, 13, FALSE) / VLOOKUP("transport|SO2|Non-fatal heart attacks", US_national_yearly!$D:$AM, 10, FALSE), 1)</f>
        <v>5.6527788996571602E-3</v>
      </c>
      <c r="F13" s="7">
        <f>$B13 * IFERROR(VLOOKUP("transport|SO2|Non-fatal heart attacks", US_national_yearly!$D:$AM, 14, FALSE) / VLOOKUP("transport|SO2|Non-fatal heart attacks", US_national_yearly!$D:$AM, 10, FALSE), 1)</f>
        <v>5.8052922427492964E-3</v>
      </c>
      <c r="G13" s="7">
        <f>$B13 * IFERROR(VLOOKUP("transport|SO2|Non-fatal heart attacks", US_national_yearly!$D:$AM, 15, FALSE) / VLOOKUP("transport|SO2|Non-fatal heart attacks", US_national_yearly!$D:$AM, 10, FALSE), 1)</f>
        <v>5.9491264717619593E-3</v>
      </c>
      <c r="H13" s="7">
        <f>$B13 * IFERROR(VLOOKUP("transport|SO2|Non-fatal heart attacks", US_national_yearly!$D:$AM, 16, FALSE) / VLOOKUP("transport|SO2|Non-fatal heart attacks", US_national_yearly!$D:$AM, 10, FALSE), 1)</f>
        <v>6.0929607007746229E-3</v>
      </c>
      <c r="I13" s="7">
        <f>$B13 * IFERROR(VLOOKUP("transport|SO2|Non-fatal heart attacks", US_national_yearly!$D:$AM, 17, FALSE) / VLOOKUP("transport|SO2|Non-fatal heart attacks", US_national_yearly!$D:$AM, 10, FALSE), 1)</f>
        <v>6.2087021651843878E-3</v>
      </c>
      <c r="J13" s="7">
        <f>$B13 * IFERROR(VLOOKUP("transport|SO2|Non-fatal heart attacks", US_national_yearly!$D:$AM, 18, FALSE) / VLOOKUP("transport|SO2|Non-fatal heart attacks", US_national_yearly!$D:$AM, 10, FALSE), 1)</f>
        <v>6.3244436295941536E-3</v>
      </c>
      <c r="K13" s="7">
        <f>$B13 * IFERROR(VLOOKUP("transport|SO2|Non-fatal heart attacks", US_national_yearly!$D:$AM, 19, FALSE) / VLOOKUP("transport|SO2|Non-fatal heart attacks", US_national_yearly!$D:$AM, 10, FALSE), 1)</f>
        <v>6.4401850940039185E-3</v>
      </c>
      <c r="L13" s="7">
        <f>$B13 * IFERROR(VLOOKUP("transport|SO2|Non-fatal heart attacks", US_national_yearly!$D:$AM, 20, FALSE) / VLOOKUP("transport|SO2|Non-fatal heart attacks", US_national_yearly!$D:$AM, 10, FALSE), 1)</f>
        <v>6.5559265584136861E-3</v>
      </c>
      <c r="M13" s="7">
        <f>$B13 * IFERROR(VLOOKUP("transport|SO2|Non-fatal heart attacks", US_national_yearly!$D:$AM, 21, FALSE) / VLOOKUP("transport|SO2|Non-fatal heart attacks", US_national_yearly!$D:$AM, 10, FALSE), 1)</f>
        <v>6.6716680228234519E-3</v>
      </c>
      <c r="N13" s="7">
        <f>$B13 * IFERROR(VLOOKUP("transport|SO2|Non-fatal heart attacks", US_national_yearly!$D:$AM, 22, FALSE) / VLOOKUP("transport|SO2|Non-fatal heart attacks", US_national_yearly!$D:$AM, 10, FALSE), 1)</f>
        <v>6.7468203540071272E-3</v>
      </c>
      <c r="O13" s="7">
        <f>$B13 * IFERROR(VLOOKUP("transport|SO2|Non-fatal heart attacks", US_national_yearly!$D:$AM, 23, FALSE) / VLOOKUP("transport|SO2|Non-fatal heart attacks", US_national_yearly!$D:$AM, 10, FALSE), 1)</f>
        <v>6.8219726851908042E-3</v>
      </c>
      <c r="P13" s="7">
        <f>$B13 * IFERROR(VLOOKUP("transport|SO2|Non-fatal heart attacks", US_national_yearly!$D:$AM, 24, FALSE) / VLOOKUP("transport|SO2|Non-fatal heart attacks", US_national_yearly!$D:$AM, 10, FALSE), 1)</f>
        <v>6.8971250163744812E-3</v>
      </c>
      <c r="Q13" s="7">
        <f>$B13 * IFERROR(VLOOKUP("transport|SO2|Non-fatal heart attacks", US_national_yearly!$D:$AM, 25, FALSE) / VLOOKUP("transport|SO2|Non-fatal heart attacks", US_national_yearly!$D:$AM, 10, FALSE), 1)</f>
        <v>6.9722773475581574E-3</v>
      </c>
      <c r="R13" s="7">
        <f>$B13 * IFERROR(VLOOKUP("transport|SO2|Non-fatal heart attacks", US_national_yearly!$D:$AM, 26, FALSE) / VLOOKUP("transport|SO2|Non-fatal heart attacks", US_national_yearly!$D:$AM, 10, FALSE), 1)</f>
        <v>7.0474296787418336E-3</v>
      </c>
      <c r="S13" s="7">
        <f>$B13 * IFERROR(VLOOKUP("transport|SO2|Non-fatal heart attacks", US_national_yearly!$D:$AM, 27, FALSE) / VLOOKUP("transport|SO2|Non-fatal heart attacks", US_national_yearly!$D:$AM, 10, FALSE), 1)</f>
        <v>7.0866662881368218E-3</v>
      </c>
      <c r="T13" s="7">
        <f>$B13 * IFERROR(VLOOKUP("transport|SO2|Non-fatal heart attacks", US_national_yearly!$D:$AM, 28, FALSE) / VLOOKUP("transport|SO2|Non-fatal heart attacks", US_national_yearly!$D:$AM, 10, FALSE), 1)</f>
        <v>7.125902897531811E-3</v>
      </c>
      <c r="U13" s="7">
        <f>$B13 * IFERROR(VLOOKUP("transport|SO2|Non-fatal heart attacks", US_national_yearly!$D:$AM, 29, FALSE) / VLOOKUP("transport|SO2|Non-fatal heart attacks", US_national_yearly!$D:$AM, 10, FALSE), 1)</f>
        <v>7.1651395069267983E-3</v>
      </c>
      <c r="V13" s="7">
        <f>$B13 * IFERROR(VLOOKUP("transport|SO2|Non-fatal heart attacks", US_national_yearly!$D:$AM, 30, FALSE) / VLOOKUP("transport|SO2|Non-fatal heart attacks", US_national_yearly!$D:$AM, 10, FALSE), 1)</f>
        <v>7.2043761163217857E-3</v>
      </c>
      <c r="W13" s="7">
        <f>$B13 * IFERROR(VLOOKUP("transport|SO2|Non-fatal heart attacks", US_national_yearly!$D:$AM, 31, FALSE) / VLOOKUP("transport|SO2|Non-fatal heart attacks", US_national_yearly!$D:$AM, 10, FALSE), 1)</f>
        <v>7.2436127257167748E-3</v>
      </c>
      <c r="X13" s="7">
        <f>$B13 * IFERROR(VLOOKUP("transport|SO2|Non-fatal heart attacks", US_national_yearly!$D:$AM, 32, FALSE) / VLOOKUP("transport|SO2|Non-fatal heart attacks", US_national_yearly!$D:$AM, 10, FALSE), 1)</f>
        <v>7.27323293363266E-3</v>
      </c>
      <c r="Y13" s="7">
        <f>$B13 * IFERROR(VLOOKUP("transport|SO2|Non-fatal heart attacks", US_national_yearly!$D:$AM, 33, FALSE) / VLOOKUP("transport|SO2|Non-fatal heart attacks", US_national_yearly!$D:$AM, 10, FALSE), 1)</f>
        <v>7.3028531415485444E-3</v>
      </c>
      <c r="Z13" s="7">
        <f>$B13 * IFERROR(VLOOKUP("transport|SO2|Non-fatal heart attacks", US_national_yearly!$D:$AM, 34, FALSE) / VLOOKUP("transport|SO2|Non-fatal heart attacks", US_national_yearly!$D:$AM, 10, FALSE), 1)</f>
        <v>7.3324733494644296E-3</v>
      </c>
      <c r="AA13" s="7">
        <f>$B13 * IFERROR(VLOOKUP("transport|SO2|Non-fatal heart attacks", US_national_yearly!$D:$AM, 35, FALSE) / VLOOKUP("transport|SO2|Non-fatal heart attacks", US_national_yearly!$D:$AM, 10, FALSE), 1)</f>
        <v>7.3620935573803139E-3</v>
      </c>
      <c r="AB13" s="7">
        <f>$B13 * IFERROR(VLOOKUP("transport|SO2|Non-fatal heart attacks", US_national_yearly!$D:$AM, 36, FALSE) / VLOOKUP("transport|SO2|Non-fatal heart attacks", US_national_yearly!$D:$AM, 10, FALSE), 1)</f>
        <v>7.3917137652961991E-3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3.970247282702168</v>
      </c>
      <c r="C14" s="7">
        <f>$B14 * IFERROR(VLOOKUP("transport|SO2|Minor restricted activity days", US_national_yearly!$D:$AM, 11, FALSE) / VLOOKUP("transport|SO2|Minor restricted activity days", US_national_yearly!$D:$AM, 10, FALSE), 1)</f>
        <v>3.9802549532459475</v>
      </c>
      <c r="D14" s="7">
        <f>$B14 * IFERROR(VLOOKUP("transport|SO2|Minor restricted activity days", US_national_yearly!$D:$AM, 12, FALSE) / VLOOKUP("transport|SO2|Minor restricted activity days", US_national_yearly!$D:$AM, 10, FALSE), 1)</f>
        <v>3.9902626237897261</v>
      </c>
      <c r="E14" s="7">
        <f>$B14 * IFERROR(VLOOKUP("transport|SO2|Minor restricted activity days", US_national_yearly!$D:$AM, 13, FALSE) / VLOOKUP("transport|SO2|Minor restricted activity days", US_national_yearly!$D:$AM, 10, FALSE), 1)</f>
        <v>4.0002702943335056</v>
      </c>
      <c r="F14" s="7">
        <f>$B14 * IFERROR(VLOOKUP("transport|SO2|Minor restricted activity days", US_national_yearly!$D:$AM, 14, FALSE) / VLOOKUP("transport|SO2|Minor restricted activity days", US_national_yearly!$D:$AM, 10, FALSE), 1)</f>
        <v>4.0102779648772842</v>
      </c>
      <c r="G14" s="7">
        <f>$B14 * IFERROR(VLOOKUP("transport|SO2|Minor restricted activity days", US_national_yearly!$D:$AM, 15, FALSE) / VLOOKUP("transport|SO2|Minor restricted activity days", US_national_yearly!$D:$AM, 10, FALSE), 1)</f>
        <v>4.0250082727586829</v>
      </c>
      <c r="H14" s="7">
        <f>$B14 * IFERROR(VLOOKUP("transport|SO2|Minor restricted activity days", US_national_yearly!$D:$AM, 16, FALSE) / VLOOKUP("transport|SO2|Minor restricted activity days", US_national_yearly!$D:$AM, 10, FALSE), 1)</f>
        <v>4.0397385806400816</v>
      </c>
      <c r="I14" s="7">
        <f>$B14 * IFERROR(VLOOKUP("transport|SO2|Minor restricted activity days", US_national_yearly!$D:$AM, 17, FALSE) / VLOOKUP("transport|SO2|Minor restricted activity days", US_national_yearly!$D:$AM, 10, FALSE), 1)</f>
        <v>4.0648597477062447</v>
      </c>
      <c r="J14" s="7">
        <f>$B14 * IFERROR(VLOOKUP("transport|SO2|Minor restricted activity days", US_national_yearly!$D:$AM, 18, FALSE) / VLOOKUP("transport|SO2|Minor restricted activity days", US_national_yearly!$D:$AM, 10, FALSE), 1)</f>
        <v>4.0899809147724078</v>
      </c>
      <c r="K14" s="7">
        <f>$B14 * IFERROR(VLOOKUP("transport|SO2|Minor restricted activity days", US_national_yearly!$D:$AM, 19, FALSE) / VLOOKUP("transport|SO2|Minor restricted activity days", US_national_yearly!$D:$AM, 10, FALSE), 1)</f>
        <v>4.1151020818385708</v>
      </c>
      <c r="L14" s="7">
        <f>$B14 * IFERROR(VLOOKUP("transport|SO2|Minor restricted activity days", US_national_yearly!$D:$AM, 20, FALSE) / VLOOKUP("transport|SO2|Minor restricted activity days", US_national_yearly!$D:$AM, 10, FALSE), 1)</f>
        <v>4.1402232489047339</v>
      </c>
      <c r="M14" s="7">
        <f>$B14 * IFERROR(VLOOKUP("transport|SO2|Minor restricted activity days", US_national_yearly!$D:$AM, 21, FALSE) / VLOOKUP("transport|SO2|Minor restricted activity days", US_national_yearly!$D:$AM, 10, FALSE), 1)</f>
        <v>4.165344415970897</v>
      </c>
      <c r="N14" s="7">
        <f>$B14 * IFERROR(VLOOKUP("transport|SO2|Minor restricted activity days", US_national_yearly!$D:$AM, 22, FALSE) / VLOOKUP("transport|SO2|Minor restricted activity days", US_national_yearly!$D:$AM, 10, FALSE), 1)</f>
        <v>4.1997061416006041</v>
      </c>
      <c r="O14" s="7">
        <f>$B14 * IFERROR(VLOOKUP("transport|SO2|Minor restricted activity days", US_national_yearly!$D:$AM, 23, FALSE) / VLOOKUP("transport|SO2|Minor restricted activity days", US_national_yearly!$D:$AM, 10, FALSE), 1)</f>
        <v>4.2340678672303111</v>
      </c>
      <c r="P14" s="7">
        <f>$B14 * IFERROR(VLOOKUP("transport|SO2|Minor restricted activity days", US_national_yearly!$D:$AM, 24, FALSE) / VLOOKUP("transport|SO2|Minor restricted activity days", US_national_yearly!$D:$AM, 10, FALSE), 1)</f>
        <v>4.2684295928600182</v>
      </c>
      <c r="Q14" s="7">
        <f>$B14 * IFERROR(VLOOKUP("transport|SO2|Minor restricted activity days", US_national_yearly!$D:$AM, 25, FALSE) / VLOOKUP("transport|SO2|Minor restricted activity days", US_national_yearly!$D:$AM, 10, FALSE), 1)</f>
        <v>4.3027913184897253</v>
      </c>
      <c r="R14" s="7">
        <f>$B14 * IFERROR(VLOOKUP("transport|SO2|Minor restricted activity days", US_national_yearly!$D:$AM, 26, FALSE) / VLOOKUP("transport|SO2|Minor restricted activity days", US_national_yearly!$D:$AM, 10, FALSE), 1)</f>
        <v>4.3371530441194324</v>
      </c>
      <c r="S14" s="7">
        <f>$B14 * IFERROR(VLOOKUP("transport|SO2|Minor restricted activity days", US_national_yearly!$D:$AM, 27, FALSE) / VLOOKUP("transport|SO2|Minor restricted activity days", US_national_yearly!$D:$AM, 10, FALSE), 1)</f>
        <v>4.3721881865158725</v>
      </c>
      <c r="T14" s="7">
        <f>$B14 * IFERROR(VLOOKUP("transport|SO2|Minor restricted activity days", US_national_yearly!$D:$AM, 28, FALSE) / VLOOKUP("transport|SO2|Minor restricted activity days", US_national_yearly!$D:$AM, 10, FALSE), 1)</f>
        <v>4.4072233289123117</v>
      </c>
      <c r="U14" s="7">
        <f>$B14 * IFERROR(VLOOKUP("transport|SO2|Minor restricted activity days", US_national_yearly!$D:$AM, 29, FALSE) / VLOOKUP("transport|SO2|Minor restricted activity days", US_national_yearly!$D:$AM, 10, FALSE), 1)</f>
        <v>4.442258471308751</v>
      </c>
      <c r="V14" s="7">
        <f>$B14 * IFERROR(VLOOKUP("transport|SO2|Minor restricted activity days", US_national_yearly!$D:$AM, 30, FALSE) / VLOOKUP("transport|SO2|Minor restricted activity days", US_national_yearly!$D:$AM, 10, FALSE), 1)</f>
        <v>4.4772936137051902</v>
      </c>
      <c r="W14" s="7">
        <f>$B14 * IFERROR(VLOOKUP("transport|SO2|Minor restricted activity days", US_national_yearly!$D:$AM, 31, FALSE) / VLOOKUP("transport|SO2|Minor restricted activity days", US_national_yearly!$D:$AM, 10, FALSE), 1)</f>
        <v>4.5123287561016312</v>
      </c>
      <c r="X14" s="7">
        <f>$B14 * IFERROR(VLOOKUP("transport|SO2|Minor restricted activity days", US_national_yearly!$D:$AM, 32, FALSE) / VLOOKUP("transport|SO2|Minor restricted activity days", US_national_yearly!$D:$AM, 10, FALSE), 1)</f>
        <v>4.5431393719302688</v>
      </c>
      <c r="Y14" s="7">
        <f>$B14 * IFERROR(VLOOKUP("transport|SO2|Minor restricted activity days", US_national_yearly!$D:$AM, 33, FALSE) / VLOOKUP("transport|SO2|Minor restricted activity days", US_national_yearly!$D:$AM, 10, FALSE), 1)</f>
        <v>4.5739499877589074</v>
      </c>
      <c r="Z14" s="7">
        <f>$B14 * IFERROR(VLOOKUP("transport|SO2|Minor restricted activity days", US_national_yearly!$D:$AM, 34, FALSE) / VLOOKUP("transport|SO2|Minor restricted activity days", US_national_yearly!$D:$AM, 10, FALSE), 1)</f>
        <v>4.6047606035875459</v>
      </c>
      <c r="AA14" s="7">
        <f>$B14 * IFERROR(VLOOKUP("transport|SO2|Minor restricted activity days", US_national_yearly!$D:$AM, 35, FALSE) / VLOOKUP("transport|SO2|Minor restricted activity days", US_national_yearly!$D:$AM, 10, FALSE), 1)</f>
        <v>4.6355712194161844</v>
      </c>
      <c r="AB14" s="7">
        <f>$B14 * IFERROR(VLOOKUP("transport|SO2|Minor restricted activity days", US_national_yearly!$D:$AM, 36, FALSE) / VLOOKUP("transport|SO2|Minor restricted activity days", US_national_yearly!$D:$AM, 10, FALSE), 1)</f>
        <v>4.666381835244823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0.67666777775175202</v>
      </c>
      <c r="C15" s="7">
        <f>$B15 * IFERROR(VLOOKUP("transport|SO2|Work loss days", US_national_yearly!$D:$AM, 11, FALSE) / VLOOKUP("transport|SO2|Work loss days", US_national_yearly!$D:$AM, 10, FALSE), 1)</f>
        <v>0.67886007380483748</v>
      </c>
      <c r="D15" s="7">
        <f>$B15 * IFERROR(VLOOKUP("transport|SO2|Work loss days", US_national_yearly!$D:$AM, 12, FALSE) / VLOOKUP("transport|SO2|Work loss days", US_national_yearly!$D:$AM, 10, FALSE), 1)</f>
        <v>0.68105236985792283</v>
      </c>
      <c r="E15" s="7">
        <f>$B15 * IFERROR(VLOOKUP("transport|SO2|Work loss days", US_national_yearly!$D:$AM, 13, FALSE) / VLOOKUP("transport|SO2|Work loss days", US_national_yearly!$D:$AM, 10, FALSE), 1)</f>
        <v>0.6832446659110083</v>
      </c>
      <c r="F15" s="7">
        <f>$B15 * IFERROR(VLOOKUP("transport|SO2|Work loss days", US_national_yearly!$D:$AM, 14, FALSE) / VLOOKUP("transport|SO2|Work loss days", US_national_yearly!$D:$AM, 10, FALSE), 1)</f>
        <v>0.68543696196409365</v>
      </c>
      <c r="G15" s="7">
        <f>$B15 * IFERROR(VLOOKUP("transport|SO2|Work loss days", US_national_yearly!$D:$AM, 15, FALSE) / VLOOKUP("transport|SO2|Work loss days", US_national_yearly!$D:$AM, 10, FALSE), 1)</f>
        <v>0.68830146500201694</v>
      </c>
      <c r="H15" s="7">
        <f>$B15 * IFERROR(VLOOKUP("transport|SO2|Work loss days", US_national_yearly!$D:$AM, 16, FALSE) / VLOOKUP("transport|SO2|Work loss days", US_national_yearly!$D:$AM, 10, FALSE), 1)</f>
        <v>0.69116596803994002</v>
      </c>
      <c r="I15" s="7">
        <f>$B15 * IFERROR(VLOOKUP("transport|SO2|Work loss days", US_national_yearly!$D:$AM, 17, FALSE) / VLOOKUP("transport|SO2|Work loss days", US_national_yearly!$D:$AM, 10, FALSE), 1)</f>
        <v>0.69535635145263064</v>
      </c>
      <c r="J15" s="7">
        <f>$B15 * IFERROR(VLOOKUP("transport|SO2|Work loss days", US_national_yearly!$D:$AM, 18, FALSE) / VLOOKUP("transport|SO2|Work loss days", US_national_yearly!$D:$AM, 10, FALSE), 1)</f>
        <v>0.69954673486532104</v>
      </c>
      <c r="K15" s="7">
        <f>$B15 * IFERROR(VLOOKUP("transport|SO2|Work loss days", US_national_yearly!$D:$AM, 19, FALSE) / VLOOKUP("transport|SO2|Work loss days", US_national_yearly!$D:$AM, 10, FALSE), 1)</f>
        <v>0.70373711827801166</v>
      </c>
      <c r="L15" s="7">
        <f>$B15 * IFERROR(VLOOKUP("transport|SO2|Work loss days", US_national_yearly!$D:$AM, 20, FALSE) / VLOOKUP("transport|SO2|Work loss days", US_national_yearly!$D:$AM, 10, FALSE), 1)</f>
        <v>0.70792750169070229</v>
      </c>
      <c r="M15" s="7">
        <f>$B15 * IFERROR(VLOOKUP("transport|SO2|Work loss days", US_national_yearly!$D:$AM, 21, FALSE) / VLOOKUP("transport|SO2|Work loss days", US_national_yearly!$D:$AM, 10, FALSE), 1)</f>
        <v>0.71211788510339291</v>
      </c>
      <c r="N15" s="7">
        <f>$B15 * IFERROR(VLOOKUP("transport|SO2|Work loss days", US_national_yearly!$D:$AM, 22, FALSE) / VLOOKUP("transport|SO2|Work loss days", US_national_yearly!$D:$AM, 10, FALSE), 1)</f>
        <v>0.71737194684885219</v>
      </c>
      <c r="O15" s="7">
        <f>$B15 * IFERROR(VLOOKUP("transport|SO2|Work loss days", US_national_yearly!$D:$AM, 23, FALSE) / VLOOKUP("transport|SO2|Work loss days", US_national_yearly!$D:$AM, 10, FALSE), 1)</f>
        <v>0.72262600859431159</v>
      </c>
      <c r="P15" s="7">
        <f>$B15 * IFERROR(VLOOKUP("transport|SO2|Work loss days", US_national_yearly!$D:$AM, 24, FALSE) / VLOOKUP("transport|SO2|Work loss days", US_national_yearly!$D:$AM, 10, FALSE), 1)</f>
        <v>0.72788007033977065</v>
      </c>
      <c r="Q15" s="7">
        <f>$B15 * IFERROR(VLOOKUP("transport|SO2|Work loss days", US_national_yearly!$D:$AM, 25, FALSE) / VLOOKUP("transport|SO2|Work loss days", US_national_yearly!$D:$AM, 10, FALSE), 1)</f>
        <v>0.73313413208523004</v>
      </c>
      <c r="R15" s="7">
        <f>$B15 * IFERROR(VLOOKUP("transport|SO2|Work loss days", US_national_yearly!$D:$AM, 26, FALSE) / VLOOKUP("transport|SO2|Work loss days", US_national_yearly!$D:$AM, 10, FALSE), 1)</f>
        <v>0.73838819383068932</v>
      </c>
      <c r="S15" s="7">
        <f>$B15 * IFERROR(VLOOKUP("transport|SO2|Work loss days", US_national_yearly!$D:$AM, 27, FALSE) / VLOOKUP("transport|SO2|Work loss days", US_national_yearly!$D:$AM, 10, FALSE), 1)</f>
        <v>0.74425959050881973</v>
      </c>
      <c r="T15" s="7">
        <f>$B15 * IFERROR(VLOOKUP("transport|SO2|Work loss days", US_national_yearly!$D:$AM, 28, FALSE) / VLOOKUP("transport|SO2|Work loss days", US_national_yearly!$D:$AM, 10, FALSE), 1)</f>
        <v>0.75013098718695026</v>
      </c>
      <c r="U15" s="7">
        <f>$B15 * IFERROR(VLOOKUP("transport|SO2|Work loss days", US_national_yearly!$D:$AM, 29, FALSE) / VLOOKUP("transport|SO2|Work loss days", US_national_yearly!$D:$AM, 10, FALSE), 1)</f>
        <v>0.75600238386508067</v>
      </c>
      <c r="V15" s="7">
        <f>$B15 * IFERROR(VLOOKUP("transport|SO2|Work loss days", US_national_yearly!$D:$AM, 30, FALSE) / VLOOKUP("transport|SO2|Work loss days", US_national_yearly!$D:$AM, 10, FALSE), 1)</f>
        <v>0.76187378054321109</v>
      </c>
      <c r="W15" s="7">
        <f>$B15 * IFERROR(VLOOKUP("transport|SO2|Work loss days", US_national_yearly!$D:$AM, 31, FALSE) / VLOOKUP("transport|SO2|Work loss days", US_national_yearly!$D:$AM, 10, FALSE), 1)</f>
        <v>0.76774517722134172</v>
      </c>
      <c r="X15" s="7">
        <f>$B15 * IFERROR(VLOOKUP("transport|SO2|Work loss days", US_national_yearly!$D:$AM, 32, FALSE) / VLOOKUP("transport|SO2|Work loss days", US_national_yearly!$D:$AM, 10, FALSE), 1)</f>
        <v>0.7730168821448572</v>
      </c>
      <c r="Y15" s="7">
        <f>$B15 * IFERROR(VLOOKUP("transport|SO2|Work loss days", US_national_yearly!$D:$AM, 33, FALSE) / VLOOKUP("transport|SO2|Work loss days", US_national_yearly!$D:$AM, 10, FALSE), 1)</f>
        <v>0.77828858706837278</v>
      </c>
      <c r="Z15" s="7">
        <f>$B15 * IFERROR(VLOOKUP("transport|SO2|Work loss days", US_national_yearly!$D:$AM, 34, FALSE) / VLOOKUP("transport|SO2|Work loss days", US_national_yearly!$D:$AM, 10, FALSE), 1)</f>
        <v>0.78356029199188848</v>
      </c>
      <c r="AA15" s="7">
        <f>$B15 * IFERROR(VLOOKUP("transport|SO2|Work loss days", US_national_yearly!$D:$AM, 35, FALSE) / VLOOKUP("transport|SO2|Work loss days", US_national_yearly!$D:$AM, 10, FALSE), 1)</f>
        <v>0.78883199691540407</v>
      </c>
      <c r="AB15" s="7">
        <f>$B15 * IFERROR(VLOOKUP("transport|SO2|Work loss days", US_national_yearly!$D:$AM, 36, FALSE) / VLOOKUP("transport|SO2|Work loss days", US_national_yearly!$D:$AM, 10, FALSE), 1)</f>
        <v>0.79410370183891965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1.3106535900032723E-3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1.3502927736103634E-3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1.3899319572174547E-3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1.4295711408245457E-3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1.469210324431637E-3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1.5071808932299988E-3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1.5451514620283607E-3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1.5776848295967411E-3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1.6102181971651213E-3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1.6427515647335015E-3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1.6752849323018817E-3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1.7078182998702617E-3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1.7296733121078477E-3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1.7515283243454333E-3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1.773383336583019E-3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1.7952383488206046E-3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1.8170933610581906E-3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1.8285875414168359E-3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1.8400817217754813E-3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1.8515759021341268E-3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1.863070082492772E-3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1.8745642628514175E-3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1.8822806860947488E-3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1.8899971093380801E-3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1.8977135325814114E-3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1.9054299558247429E-3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1.9131463790680739E-3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1.3104200081209664E-2</v>
      </c>
      <c r="C2" s="7">
        <f>$B2 * IFERROR(VLOOKUP("electricity|PM25|Premature mortality", US_national_yearly!$D:$AM, 11, FALSE) / VLOOKUP("electricity|PM25|Premature mortality", US_national_yearly!$D:$AM, 10, FALSE), 1)</f>
        <v>1.3266511818778921E-2</v>
      </c>
      <c r="D2" s="7">
        <f>$B2 * IFERROR(VLOOKUP("electricity|PM25|Premature mortality", US_national_yearly!$D:$AM, 12, FALSE) / VLOOKUP("electricity|PM25|Premature mortality", US_national_yearly!$D:$AM, 10, FALSE), 1)</f>
        <v>1.3428823556348179E-2</v>
      </c>
      <c r="E2" s="7">
        <f>$B2 * IFERROR(VLOOKUP("electricity|PM25|Premature mortality", US_national_yearly!$D:$AM, 13, FALSE) / VLOOKUP("electricity|PM25|Premature mortality", US_national_yearly!$D:$AM, 10, FALSE), 1)</f>
        <v>1.3591135293917435E-2</v>
      </c>
      <c r="F2" s="7">
        <f>$B2 * IFERROR(VLOOKUP("electricity|PM25|Premature mortality", US_national_yearly!$D:$AM, 14, FALSE) / VLOOKUP("electricity|PM25|Premature mortality", US_national_yearly!$D:$AM, 10, FALSE), 1)</f>
        <v>1.3753447031486695E-2</v>
      </c>
      <c r="G2" s="7">
        <f>$B2 * IFERROR(VLOOKUP("electricity|PM25|Premature mortality", US_national_yearly!$D:$AM, 15, FALSE) / VLOOKUP("electricity|PM25|Premature mortality", US_national_yearly!$D:$AM, 10, FALSE), 1)</f>
        <v>1.4072235916082799E-2</v>
      </c>
      <c r="H2" s="7">
        <f>$B2 * IFERROR(VLOOKUP("electricity|PM25|Premature mortality", US_national_yearly!$D:$AM, 16, FALSE) / VLOOKUP("electricity|PM25|Premature mortality", US_national_yearly!$D:$AM, 10, FALSE), 1)</f>
        <v>1.4391024800678906E-2</v>
      </c>
      <c r="I2" s="7">
        <f>$B2 * IFERROR(VLOOKUP("electricity|PM25|Premature mortality", US_national_yearly!$D:$AM, 17, FALSE) / VLOOKUP("electricity|PM25|Premature mortality", US_national_yearly!$D:$AM, 10, FALSE), 1)</f>
        <v>1.4605221760150649E-2</v>
      </c>
      <c r="J2" s="7">
        <f>$B2 * IFERROR(VLOOKUP("electricity|PM25|Premature mortality", US_national_yearly!$D:$AM, 18, FALSE) / VLOOKUP("electricity|PM25|Premature mortality", US_national_yearly!$D:$AM, 10, FALSE), 1)</f>
        <v>1.4819418719622394E-2</v>
      </c>
      <c r="K2" s="7">
        <f>$B2 * IFERROR(VLOOKUP("electricity|PM25|Premature mortality", US_national_yearly!$D:$AM, 19, FALSE) / VLOOKUP("electricity|PM25|Premature mortality", US_national_yearly!$D:$AM, 10, FALSE), 1)</f>
        <v>1.5033615679094135E-2</v>
      </c>
      <c r="L2" s="7">
        <f>$B2 * IFERROR(VLOOKUP("electricity|PM25|Premature mortality", US_national_yearly!$D:$AM, 20, FALSE) / VLOOKUP("electricity|PM25|Premature mortality", US_national_yearly!$D:$AM, 10, FALSE), 1)</f>
        <v>1.524781263856588E-2</v>
      </c>
      <c r="M2" s="7">
        <f>$B2 * IFERROR(VLOOKUP("electricity|PM25|Premature mortality", US_national_yearly!$D:$AM, 21, FALSE) / VLOOKUP("electricity|PM25|Premature mortality", US_national_yearly!$D:$AM, 10, FALSE), 1)</f>
        <v>1.5462009598037623E-2</v>
      </c>
      <c r="N2" s="7">
        <f>$B2 * IFERROR(VLOOKUP("electricity|PM25|Premature mortality", US_national_yearly!$D:$AM, 22, FALSE) / VLOOKUP("electricity|PM25|Premature mortality", US_national_yearly!$D:$AM, 10, FALSE), 1)</f>
        <v>1.5632748825366805E-2</v>
      </c>
      <c r="O2" s="7">
        <f>$B2 * IFERROR(VLOOKUP("electricity|PM25|Premature mortality", US_national_yearly!$D:$AM, 23, FALSE) / VLOOKUP("electricity|PM25|Premature mortality", US_national_yearly!$D:$AM, 10, FALSE), 1)</f>
        <v>1.5803488052695984E-2</v>
      </c>
      <c r="P2" s="7">
        <f>$B2 * IFERROR(VLOOKUP("electricity|PM25|Premature mortality", US_national_yearly!$D:$AM, 24, FALSE) / VLOOKUP("electricity|PM25|Premature mortality", US_national_yearly!$D:$AM, 10, FALSE), 1)</f>
        <v>1.5974227280025163E-2</v>
      </c>
      <c r="Q2" s="7">
        <f>$B2 * IFERROR(VLOOKUP("electricity|PM25|Premature mortality", US_national_yearly!$D:$AM, 25, FALSE) / VLOOKUP("electricity|PM25|Premature mortality", US_national_yearly!$D:$AM, 10, FALSE), 1)</f>
        <v>1.6144966507354343E-2</v>
      </c>
      <c r="R2" s="7">
        <f>$B2 * IFERROR(VLOOKUP("electricity|PM25|Premature mortality", US_national_yearly!$D:$AM, 26, FALSE) / VLOOKUP("electricity|PM25|Premature mortality", US_national_yearly!$D:$AM, 10, FALSE), 1)</f>
        <v>1.6315705734683522E-2</v>
      </c>
      <c r="S2" s="7">
        <f>$B2 * IFERROR(VLOOKUP("electricity|PM25|Premature mortality", US_national_yearly!$D:$AM, 27, FALSE) / VLOOKUP("electricity|PM25|Premature mortality", US_national_yearly!$D:$AM, 10, FALSE), 1)</f>
        <v>1.6413403635680539E-2</v>
      </c>
      <c r="T2" s="7">
        <f>$B2 * IFERROR(VLOOKUP("electricity|PM25|Premature mortality", US_national_yearly!$D:$AM, 28, FALSE) / VLOOKUP("electricity|PM25|Premature mortality", US_national_yearly!$D:$AM, 10, FALSE), 1)</f>
        <v>1.651110153667755E-2</v>
      </c>
      <c r="U2" s="7">
        <f>$B2 * IFERROR(VLOOKUP("electricity|PM25|Premature mortality", US_national_yearly!$D:$AM, 29, FALSE) / VLOOKUP("electricity|PM25|Premature mortality", US_national_yearly!$D:$AM, 10, FALSE), 1)</f>
        <v>1.6608799437674571E-2</v>
      </c>
      <c r="V2" s="7">
        <f>$B2 * IFERROR(VLOOKUP("electricity|PM25|Premature mortality", US_national_yearly!$D:$AM, 30, FALSE) / VLOOKUP("electricity|PM25|Premature mortality", US_national_yearly!$D:$AM, 10, FALSE), 1)</f>
        <v>1.6706497338671581E-2</v>
      </c>
      <c r="W2" s="7">
        <f>$B2 * IFERROR(VLOOKUP("electricity|PM25|Premature mortality", US_national_yearly!$D:$AM, 31, FALSE) / VLOOKUP("electricity|PM25|Premature mortality", US_national_yearly!$D:$AM, 10, FALSE), 1)</f>
        <v>1.6804195239668598E-2</v>
      </c>
      <c r="X2" s="7">
        <f>$B2 * IFERROR(VLOOKUP("electricity|PM25|Premature mortality", US_national_yearly!$D:$AM, 32, FALSE) / VLOOKUP("electricity|PM25|Premature mortality", US_national_yearly!$D:$AM, 10, FALSE), 1)</f>
        <v>1.6831335084890729E-2</v>
      </c>
      <c r="Y2" s="7">
        <f>$B2 * IFERROR(VLOOKUP("electricity|PM25|Premature mortality", US_national_yearly!$D:$AM, 33, FALSE) / VLOOKUP("electricity|PM25|Premature mortality", US_national_yearly!$D:$AM, 10, FALSE), 1)</f>
        <v>1.685847493011286E-2</v>
      </c>
      <c r="Z2" s="7">
        <f>$B2 * IFERROR(VLOOKUP("electricity|PM25|Premature mortality", US_national_yearly!$D:$AM, 34, FALSE) / VLOOKUP("electricity|PM25|Premature mortality", US_national_yearly!$D:$AM, 10, FALSE), 1)</f>
        <v>1.6885614775334994E-2</v>
      </c>
      <c r="AA2" s="7">
        <f>$B2 * IFERROR(VLOOKUP("electricity|PM25|Premature mortality", US_national_yearly!$D:$AM, 35, FALSE) / VLOOKUP("electricity|PM25|Premature mortality", US_national_yearly!$D:$AM, 10, FALSE), 1)</f>
        <v>1.6912754620557129E-2</v>
      </c>
      <c r="AB2" s="7">
        <f>$B2 * IFERROR(VLOOKUP("electricity|PM25|Premature mortality", US_national_yearly!$D:$AM, 36, FALSE) / VLOOKUP("electricity|PM25|Premature mortality", US_national_yearly!$D:$AM, 10, FALSE), 1)</f>
        <v>1.6939894465779259E-2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3.4881923420788335E-5</v>
      </c>
      <c r="C3" s="7">
        <f>$B3 * IFERROR(VLOOKUP("electricity|PM25|Infant mortality", US_national_yearly!$D:$AM, 11, FALSE) / VLOOKUP("electricity|PM25|Infant mortality", US_national_yearly!$D:$AM, 10, FALSE), 1)</f>
        <v>3.4577997309886772E-5</v>
      </c>
      <c r="D3" s="7">
        <f>$B3 * IFERROR(VLOOKUP("electricity|PM25|Infant mortality", US_national_yearly!$D:$AM, 12, FALSE) / VLOOKUP("electricity|PM25|Infant mortality", US_national_yearly!$D:$AM, 10, FALSE), 1)</f>
        <v>3.4274071198985222E-5</v>
      </c>
      <c r="E3" s="7">
        <f>$B3 * IFERROR(VLOOKUP("electricity|PM25|Infant mortality", US_national_yearly!$D:$AM, 13, FALSE) / VLOOKUP("electricity|PM25|Infant mortality", US_national_yearly!$D:$AM, 10, FALSE), 1)</f>
        <v>3.3970145088083659E-5</v>
      </c>
      <c r="F3" s="7">
        <f>$B3 * IFERROR(VLOOKUP("electricity|PM25|Infant mortality", US_national_yearly!$D:$AM, 14, FALSE) / VLOOKUP("electricity|PM25|Infant mortality", US_national_yearly!$D:$AM, 10, FALSE), 1)</f>
        <v>3.3666218977182096E-5</v>
      </c>
      <c r="G3" s="7">
        <f>$B3 * IFERROR(VLOOKUP("electricity|PM25|Infant mortality", US_national_yearly!$D:$AM, 15, FALSE) / VLOOKUP("electricity|PM25|Infant mortality", US_national_yearly!$D:$AM, 10, FALSE), 1)</f>
        <v>2.2326387102959523E-5</v>
      </c>
      <c r="H3" s="7">
        <f>$B3 * IFERROR(VLOOKUP("electricity|PM25|Infant mortality", US_national_yearly!$D:$AM, 16, FALSE) / VLOOKUP("electricity|PM25|Infant mortality", US_national_yearly!$D:$AM, 10, FALSE), 1)</f>
        <v>1.0986555228736949E-5</v>
      </c>
      <c r="I3" s="7">
        <f>$B3 * IFERROR(VLOOKUP("electricity|PM25|Infant mortality", US_national_yearly!$D:$AM, 17, FALSE) / VLOOKUP("electricity|PM25|Infant mortality", US_national_yearly!$D:$AM, 10, FALSE), 1)</f>
        <v>1.0908985114515091E-5</v>
      </c>
      <c r="J3" s="7">
        <f>$B3 * IFERROR(VLOOKUP("electricity|PM25|Infant mortality", US_national_yearly!$D:$AM, 18, FALSE) / VLOOKUP("electricity|PM25|Infant mortality", US_national_yearly!$D:$AM, 10, FALSE), 1)</f>
        <v>1.0831415000293236E-5</v>
      </c>
      <c r="K3" s="7">
        <f>$B3 * IFERROR(VLOOKUP("electricity|PM25|Infant mortality", US_national_yearly!$D:$AM, 19, FALSE) / VLOOKUP("electricity|PM25|Infant mortality", US_national_yearly!$D:$AM, 10, FALSE), 1)</f>
        <v>1.0753844886071378E-5</v>
      </c>
      <c r="L3" s="7">
        <f>$B3 * IFERROR(VLOOKUP("electricity|PM25|Infant mortality", US_national_yearly!$D:$AM, 20, FALSE) / VLOOKUP("electricity|PM25|Infant mortality", US_national_yearly!$D:$AM, 10, FALSE), 1)</f>
        <v>1.0676274771849522E-5</v>
      </c>
      <c r="M3" s="7">
        <f>$B3 * IFERROR(VLOOKUP("electricity|PM25|Infant mortality", US_national_yearly!$D:$AM, 21, FALSE) / VLOOKUP("electricity|PM25|Infant mortality", US_national_yearly!$D:$AM, 10, FALSE), 1)</f>
        <v>1.0598704657627666E-5</v>
      </c>
      <c r="N3" s="7">
        <f>$B3 * IFERROR(VLOOKUP("electricity|PM25|Infant mortality", US_national_yearly!$D:$AM, 22, FALSE) / VLOOKUP("electricity|PM25|Infant mortality", US_national_yearly!$D:$AM, 10, FALSE), 1)</f>
        <v>1.0548816775377824E-5</v>
      </c>
      <c r="O3" s="7">
        <f>$B3 * IFERROR(VLOOKUP("electricity|PM25|Infant mortality", US_national_yearly!$D:$AM, 23, FALSE) / VLOOKUP("electricity|PM25|Infant mortality", US_national_yearly!$D:$AM, 10, FALSE), 1)</f>
        <v>1.0498928893127983E-5</v>
      </c>
      <c r="P3" s="7">
        <f>$B3 * IFERROR(VLOOKUP("electricity|PM25|Infant mortality", US_national_yearly!$D:$AM, 24, FALSE) / VLOOKUP("electricity|PM25|Infant mortality", US_national_yearly!$D:$AM, 10, FALSE), 1)</f>
        <v>1.0449041010878139E-5</v>
      </c>
      <c r="Q3" s="7">
        <f>$B3 * IFERROR(VLOOKUP("electricity|PM25|Infant mortality", US_national_yearly!$D:$AM, 25, FALSE) / VLOOKUP("electricity|PM25|Infant mortality", US_national_yearly!$D:$AM, 10, FALSE), 1)</f>
        <v>1.0399153128628297E-5</v>
      </c>
      <c r="R3" s="7">
        <f>$B3 * IFERROR(VLOOKUP("electricity|PM25|Infant mortality", US_national_yearly!$D:$AM, 26, FALSE) / VLOOKUP("electricity|PM25|Infant mortality", US_national_yearly!$D:$AM, 10, FALSE), 1)</f>
        <v>1.0349265246378452E-5</v>
      </c>
      <c r="S3" s="7">
        <f>$B3 * IFERROR(VLOOKUP("electricity|PM25|Infant mortality", US_national_yearly!$D:$AM, 27, FALSE) / VLOOKUP("electricity|PM25|Infant mortality", US_national_yearly!$D:$AM, 10, FALSE), 1)</f>
        <v>1.0289498448622727E-5</v>
      </c>
      <c r="T3" s="7">
        <f>$B3 * IFERROR(VLOOKUP("electricity|PM25|Infant mortality", US_national_yearly!$D:$AM, 28, FALSE) / VLOOKUP("electricity|PM25|Infant mortality", US_national_yearly!$D:$AM, 10, FALSE), 1)</f>
        <v>1.0229731650866999E-5</v>
      </c>
      <c r="U3" s="7">
        <f>$B3 * IFERROR(VLOOKUP("electricity|PM25|Infant mortality", US_national_yearly!$D:$AM, 29, FALSE) / VLOOKUP("electricity|PM25|Infant mortality", US_national_yearly!$D:$AM, 10, FALSE), 1)</f>
        <v>1.0169964853111273E-5</v>
      </c>
      <c r="V3" s="7">
        <f>$B3 * IFERROR(VLOOKUP("electricity|PM25|Infant mortality", US_national_yearly!$D:$AM, 30, FALSE) / VLOOKUP("electricity|PM25|Infant mortality", US_national_yearly!$D:$AM, 10, FALSE), 1)</f>
        <v>1.0110198055355548E-5</v>
      </c>
      <c r="W3" s="7">
        <f>$B3 * IFERROR(VLOOKUP("electricity|PM25|Infant mortality", US_national_yearly!$D:$AM, 31, FALSE) / VLOOKUP("electricity|PM25|Infant mortality", US_national_yearly!$D:$AM, 10, FALSE), 1)</f>
        <v>1.005043125759982E-5</v>
      </c>
      <c r="X3" s="7">
        <f>$B3 * IFERROR(VLOOKUP("electricity|PM25|Infant mortality", US_national_yearly!$D:$AM, 32, FALSE) / VLOOKUP("electricity|PM25|Infant mortality", US_national_yearly!$D:$AM, 10, FALSE), 1)</f>
        <v>9.9886697343450646E-6</v>
      </c>
      <c r="Y3" s="7">
        <f>$B3 * IFERROR(VLOOKUP("electricity|PM25|Infant mortality", US_national_yearly!$D:$AM, 33, FALSE) / VLOOKUP("electricity|PM25|Infant mortality", US_national_yearly!$D:$AM, 10, FALSE), 1)</f>
        <v>9.9269082110903073E-6</v>
      </c>
      <c r="Z3" s="7">
        <f>$B3 * IFERROR(VLOOKUP("electricity|PM25|Infant mortality", US_national_yearly!$D:$AM, 34, FALSE) / VLOOKUP("electricity|PM25|Infant mortality", US_national_yearly!$D:$AM, 10, FALSE), 1)</f>
        <v>9.86514668783555E-6</v>
      </c>
      <c r="AA3" s="7">
        <f>$B3 * IFERROR(VLOOKUP("electricity|PM25|Infant mortality", US_national_yearly!$D:$AM, 35, FALSE) / VLOOKUP("electricity|PM25|Infant mortality", US_national_yearly!$D:$AM, 10, FALSE), 1)</f>
        <v>9.8033851645807944E-6</v>
      </c>
      <c r="AB3" s="7">
        <f>$B3 * IFERROR(VLOOKUP("electricity|PM25|Infant mortality", US_national_yearly!$D:$AM, 36, FALSE) / VLOOKUP("electricity|PM25|Infant mortality", US_national_yearly!$D:$AM, 10, FALSE), 1)</f>
        <v>9.7416236413260371E-6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3.4574604921285675E-2</v>
      </c>
      <c r="C6" s="7">
        <f>$B6 * IFERROR(VLOOKUP("electricity|PM25|Asthma symptoms cough", US_national_yearly!$D:$AM, 11, FALSE) / VLOOKUP("electricity|PM25|Asthma symptoms cough", US_national_yearly!$D:$AM, 10, FALSE), 1)</f>
        <v>3.4574604921285675E-2</v>
      </c>
      <c r="D6" s="7">
        <f>$B6 * IFERROR(VLOOKUP("electricity|PM25|Asthma symptoms cough", US_national_yearly!$D:$AM, 12, FALSE) / VLOOKUP("electricity|PM25|Asthma symptoms cough", US_national_yearly!$D:$AM, 10, FALSE), 1)</f>
        <v>3.4574604921285675E-2</v>
      </c>
      <c r="E6" s="7">
        <f>$B6 * IFERROR(VLOOKUP("electricity|PM25|Asthma symptoms cough", US_national_yearly!$D:$AM, 13, FALSE) / VLOOKUP("electricity|PM25|Asthma symptoms cough", US_national_yearly!$D:$AM, 10, FALSE), 1)</f>
        <v>3.4574604921285675E-2</v>
      </c>
      <c r="F6" s="7">
        <f>$B6 * IFERROR(VLOOKUP("electricity|PM25|Asthma symptoms cough", US_national_yearly!$D:$AM, 14, FALSE) / VLOOKUP("electricity|PM25|Asthma symptoms cough", US_national_yearly!$D:$AM, 10, FALSE), 1)</f>
        <v>3.4574604921285675E-2</v>
      </c>
      <c r="G6" s="7">
        <f>$B6 * IFERROR(VLOOKUP("electricity|PM25|Asthma symptoms cough", US_national_yearly!$D:$AM, 15, FALSE) / VLOOKUP("electricity|PM25|Asthma symptoms cough", US_national_yearly!$D:$AM, 10, FALSE), 1)</f>
        <v>3.4574604921285675E-2</v>
      </c>
      <c r="H6" s="7">
        <f>$B6 * IFERROR(VLOOKUP("electricity|PM25|Asthma symptoms cough", US_national_yearly!$D:$AM, 16, FALSE) / VLOOKUP("electricity|PM25|Asthma symptoms cough", US_national_yearly!$D:$AM, 10, FALSE), 1)</f>
        <v>3.4574604921285675E-2</v>
      </c>
      <c r="I6" s="7">
        <f>$B6 * IFERROR(VLOOKUP("electricity|PM25|Asthma symptoms cough", US_national_yearly!$D:$AM, 17, FALSE) / VLOOKUP("electricity|PM25|Asthma symptoms cough", US_national_yearly!$D:$AM, 10, FALSE), 1)</f>
        <v>3.4574604921285675E-2</v>
      </c>
      <c r="J6" s="7">
        <f>$B6 * IFERROR(VLOOKUP("electricity|PM25|Asthma symptoms cough", US_national_yearly!$D:$AM, 18, FALSE) / VLOOKUP("electricity|PM25|Asthma symptoms cough", US_national_yearly!$D:$AM, 10, FALSE), 1)</f>
        <v>3.4574604921285675E-2</v>
      </c>
      <c r="K6" s="7">
        <f>$B6 * IFERROR(VLOOKUP("electricity|PM25|Asthma symptoms cough", US_national_yearly!$D:$AM, 19, FALSE) / VLOOKUP("electricity|PM25|Asthma symptoms cough", US_national_yearly!$D:$AM, 10, FALSE), 1)</f>
        <v>3.4574604921285675E-2</v>
      </c>
      <c r="L6" s="7">
        <f>$B6 * IFERROR(VLOOKUP("electricity|PM25|Asthma symptoms cough", US_national_yearly!$D:$AM, 20, FALSE) / VLOOKUP("electricity|PM25|Asthma symptoms cough", US_national_yearly!$D:$AM, 10, FALSE), 1)</f>
        <v>3.4574604921285675E-2</v>
      </c>
      <c r="M6" s="7">
        <f>$B6 * IFERROR(VLOOKUP("electricity|PM25|Asthma symptoms cough", US_national_yearly!$D:$AM, 21, FALSE) / VLOOKUP("electricity|PM25|Asthma symptoms cough", US_national_yearly!$D:$AM, 10, FALSE), 1)</f>
        <v>3.4574604921285675E-2</v>
      </c>
      <c r="N6" s="7">
        <f>$B6 * IFERROR(VLOOKUP("electricity|PM25|Asthma symptoms cough", US_national_yearly!$D:$AM, 22, FALSE) / VLOOKUP("electricity|PM25|Asthma symptoms cough", US_national_yearly!$D:$AM, 10, FALSE), 1)</f>
        <v>3.4574604921285675E-2</v>
      </c>
      <c r="O6" s="7">
        <f>$B6 * IFERROR(VLOOKUP("electricity|PM25|Asthma symptoms cough", US_national_yearly!$D:$AM, 23, FALSE) / VLOOKUP("electricity|PM25|Asthma symptoms cough", US_national_yearly!$D:$AM, 10, FALSE), 1)</f>
        <v>3.4574604921285675E-2</v>
      </c>
      <c r="P6" s="7">
        <f>$B6 * IFERROR(VLOOKUP("electricity|PM25|Asthma symptoms cough", US_national_yearly!$D:$AM, 24, FALSE) / VLOOKUP("electricity|PM25|Asthma symptoms cough", US_national_yearly!$D:$AM, 10, FALSE), 1)</f>
        <v>3.4574604921285675E-2</v>
      </c>
      <c r="Q6" s="7">
        <f>$B6 * IFERROR(VLOOKUP("electricity|PM25|Asthma symptoms cough", US_national_yearly!$D:$AM, 25, FALSE) / VLOOKUP("electricity|PM25|Asthma symptoms cough", US_national_yearly!$D:$AM, 10, FALSE), 1)</f>
        <v>3.4574604921285675E-2</v>
      </c>
      <c r="R6" s="7">
        <f>$B6 * IFERROR(VLOOKUP("electricity|PM25|Asthma symptoms cough", US_national_yearly!$D:$AM, 26, FALSE) / VLOOKUP("electricity|PM25|Asthma symptoms cough", US_national_yearly!$D:$AM, 10, FALSE), 1)</f>
        <v>3.4574604921285675E-2</v>
      </c>
      <c r="S6" s="7">
        <f>$B6 * IFERROR(VLOOKUP("electricity|PM25|Asthma symptoms cough", US_national_yearly!$D:$AM, 27, FALSE) / VLOOKUP("electricity|PM25|Asthma symptoms cough", US_national_yearly!$D:$AM, 10, FALSE), 1)</f>
        <v>3.4574604921285675E-2</v>
      </c>
      <c r="T6" s="7">
        <f>$B6 * IFERROR(VLOOKUP("electricity|PM25|Asthma symptoms cough", US_national_yearly!$D:$AM, 28, FALSE) / VLOOKUP("electricity|PM25|Asthma symptoms cough", US_national_yearly!$D:$AM, 10, FALSE), 1)</f>
        <v>3.4574604921285675E-2</v>
      </c>
      <c r="U6" s="7">
        <f>$B6 * IFERROR(VLOOKUP("electricity|PM25|Asthma symptoms cough", US_national_yearly!$D:$AM, 29, FALSE) / VLOOKUP("electricity|PM25|Asthma symptoms cough", US_national_yearly!$D:$AM, 10, FALSE), 1)</f>
        <v>3.4574604921285675E-2</v>
      </c>
      <c r="V6" s="7">
        <f>$B6 * IFERROR(VLOOKUP("electricity|PM25|Asthma symptoms cough", US_national_yearly!$D:$AM, 30, FALSE) / VLOOKUP("electricity|PM25|Asthma symptoms cough", US_national_yearly!$D:$AM, 10, FALSE), 1)</f>
        <v>3.4574604921285675E-2</v>
      </c>
      <c r="W6" s="7">
        <f>$B6 * IFERROR(VLOOKUP("electricity|PM25|Asthma symptoms cough", US_national_yearly!$D:$AM, 31, FALSE) / VLOOKUP("electricity|PM25|Asthma symptoms cough", US_national_yearly!$D:$AM, 10, FALSE), 1)</f>
        <v>3.4574604921285675E-2</v>
      </c>
      <c r="X6" s="7">
        <f>$B6 * IFERROR(VLOOKUP("electricity|PM25|Asthma symptoms cough", US_national_yearly!$D:$AM, 32, FALSE) / VLOOKUP("electricity|PM25|Asthma symptoms cough", US_national_yearly!$D:$AM, 10, FALSE), 1)</f>
        <v>3.4574604921285675E-2</v>
      </c>
      <c r="Y6" s="7">
        <f>$B6 * IFERROR(VLOOKUP("electricity|PM25|Asthma symptoms cough", US_national_yearly!$D:$AM, 33, FALSE) / VLOOKUP("electricity|PM25|Asthma symptoms cough", US_national_yearly!$D:$AM, 10, FALSE), 1)</f>
        <v>3.4574604921285675E-2</v>
      </c>
      <c r="Z6" s="7">
        <f>$B6 * IFERROR(VLOOKUP("electricity|PM25|Asthma symptoms cough", US_national_yearly!$D:$AM, 34, FALSE) / VLOOKUP("electricity|PM25|Asthma symptoms cough", US_national_yearly!$D:$AM, 10, FALSE), 1)</f>
        <v>3.4574604921285675E-2</v>
      </c>
      <c r="AA6" s="7">
        <f>$B6 * IFERROR(VLOOKUP("electricity|PM25|Asthma symptoms cough", US_national_yearly!$D:$AM, 35, FALSE) / VLOOKUP("electricity|PM25|Asthma symptoms cough", US_national_yearly!$D:$AM, 10, FALSE), 1)</f>
        <v>3.4574604921285675E-2</v>
      </c>
      <c r="AB6" s="7">
        <f>$B6 * IFERROR(VLOOKUP("electricity|PM25|Asthma symptoms cough", US_national_yearly!$D:$AM, 36, FALSE) / VLOOKUP("electricity|PM25|Asthma symptoms cough", US_national_yearly!$D:$AM, 10, FALSE), 1)</f>
        <v>3.4574604921285675E-2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4.6559531595931833E-2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4.6559531595931833E-2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4.6559531595931833E-2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4.6559531595931833E-2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4.6559531595931833E-2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4.6559531595931833E-2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4.6559531595931833E-2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4.6559531595931833E-2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4.6559531595931833E-2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4.6559531595931833E-2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4.6559531595931833E-2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4.6559531595931833E-2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4.6559531595931833E-2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4.6559531595931833E-2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4.6559531595931833E-2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4.6559531595931833E-2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4.6559531595931833E-2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4.6559531595931833E-2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4.6559531595931833E-2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4.6559531595931833E-2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4.6559531595931833E-2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4.6559531595931833E-2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4.6559531595931833E-2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4.6559531595931833E-2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4.6559531595931833E-2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4.6559531595931833E-2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4.6559531595931833E-2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7.1135754273967428E-2</v>
      </c>
      <c r="C8" s="7">
        <f>$B8 * IFERROR(VLOOKUP("electricity|PM25|Asthma symptoms wheeze", US_national_yearly!$D:$AM, 11, FALSE) / VLOOKUP("electricity|PM25|Asthma symptoms wheeze", US_national_yearly!$D:$AM, 10, FALSE), 1)</f>
        <v>7.1135754273967428E-2</v>
      </c>
      <c r="D8" s="7">
        <f>$B8 * IFERROR(VLOOKUP("electricity|PM25|Asthma symptoms wheeze", US_national_yearly!$D:$AM, 12, FALSE) / VLOOKUP("electricity|PM25|Asthma symptoms wheeze", US_national_yearly!$D:$AM, 10, FALSE), 1)</f>
        <v>7.1135754273967428E-2</v>
      </c>
      <c r="E8" s="7">
        <f>$B8 * IFERROR(VLOOKUP("electricity|PM25|Asthma symptoms wheeze", US_national_yearly!$D:$AM, 13, FALSE) / VLOOKUP("electricity|PM25|Asthma symptoms wheeze", US_national_yearly!$D:$AM, 10, FALSE), 1)</f>
        <v>7.1135754273967428E-2</v>
      </c>
      <c r="F8" s="7">
        <f>$B8 * IFERROR(VLOOKUP("electricity|PM25|Asthma symptoms wheeze", US_national_yearly!$D:$AM, 14, FALSE) / VLOOKUP("electricity|PM25|Asthma symptoms wheeze", US_national_yearly!$D:$AM, 10, FALSE), 1)</f>
        <v>7.1135754273967428E-2</v>
      </c>
      <c r="G8" s="7">
        <f>$B8 * IFERROR(VLOOKUP("electricity|PM25|Asthma symptoms wheeze", US_national_yearly!$D:$AM, 15, FALSE) / VLOOKUP("electricity|PM25|Asthma symptoms wheeze", US_national_yearly!$D:$AM, 10, FALSE), 1)</f>
        <v>7.1135754273967428E-2</v>
      </c>
      <c r="H8" s="7">
        <f>$B8 * IFERROR(VLOOKUP("electricity|PM25|Asthma symptoms wheeze", US_national_yearly!$D:$AM, 16, FALSE) / VLOOKUP("electricity|PM25|Asthma symptoms wheeze", US_national_yearly!$D:$AM, 10, FALSE), 1)</f>
        <v>7.1135754273967428E-2</v>
      </c>
      <c r="I8" s="7">
        <f>$B8 * IFERROR(VLOOKUP("electricity|PM25|Asthma symptoms wheeze", US_national_yearly!$D:$AM, 17, FALSE) / VLOOKUP("electricity|PM25|Asthma symptoms wheeze", US_national_yearly!$D:$AM, 10, FALSE), 1)</f>
        <v>7.1135754273967428E-2</v>
      </c>
      <c r="J8" s="7">
        <f>$B8 * IFERROR(VLOOKUP("electricity|PM25|Asthma symptoms wheeze", US_national_yearly!$D:$AM, 18, FALSE) / VLOOKUP("electricity|PM25|Asthma symptoms wheeze", US_national_yearly!$D:$AM, 10, FALSE), 1)</f>
        <v>7.1135754273967428E-2</v>
      </c>
      <c r="K8" s="7">
        <f>$B8 * IFERROR(VLOOKUP("electricity|PM25|Asthma symptoms wheeze", US_national_yearly!$D:$AM, 19, FALSE) / VLOOKUP("electricity|PM25|Asthma symptoms wheeze", US_national_yearly!$D:$AM, 10, FALSE), 1)</f>
        <v>7.1135754273967428E-2</v>
      </c>
      <c r="L8" s="7">
        <f>$B8 * IFERROR(VLOOKUP("electricity|PM25|Asthma symptoms wheeze", US_national_yearly!$D:$AM, 20, FALSE) / VLOOKUP("electricity|PM25|Asthma symptoms wheeze", US_national_yearly!$D:$AM, 10, FALSE), 1)</f>
        <v>7.1135754273967428E-2</v>
      </c>
      <c r="M8" s="7">
        <f>$B8 * IFERROR(VLOOKUP("electricity|PM25|Asthma symptoms wheeze", US_national_yearly!$D:$AM, 21, FALSE) / VLOOKUP("electricity|PM25|Asthma symptoms wheeze", US_national_yearly!$D:$AM, 10, FALSE), 1)</f>
        <v>7.1135754273967428E-2</v>
      </c>
      <c r="N8" s="7">
        <f>$B8 * IFERROR(VLOOKUP("electricity|PM25|Asthma symptoms wheeze", US_national_yearly!$D:$AM, 22, FALSE) / VLOOKUP("electricity|PM25|Asthma symptoms wheeze", US_national_yearly!$D:$AM, 10, FALSE), 1)</f>
        <v>7.1135754273967428E-2</v>
      </c>
      <c r="O8" s="7">
        <f>$B8 * IFERROR(VLOOKUP("electricity|PM25|Asthma symptoms wheeze", US_national_yearly!$D:$AM, 23, FALSE) / VLOOKUP("electricity|PM25|Asthma symptoms wheeze", US_national_yearly!$D:$AM, 10, FALSE), 1)</f>
        <v>7.1135754273967428E-2</v>
      </c>
      <c r="P8" s="7">
        <f>$B8 * IFERROR(VLOOKUP("electricity|PM25|Asthma symptoms wheeze", US_national_yearly!$D:$AM, 24, FALSE) / VLOOKUP("electricity|PM25|Asthma symptoms wheeze", US_national_yearly!$D:$AM, 10, FALSE), 1)</f>
        <v>7.1135754273967428E-2</v>
      </c>
      <c r="Q8" s="7">
        <f>$B8 * IFERROR(VLOOKUP("electricity|PM25|Asthma symptoms wheeze", US_national_yearly!$D:$AM, 25, FALSE) / VLOOKUP("electricity|PM25|Asthma symptoms wheeze", US_national_yearly!$D:$AM, 10, FALSE), 1)</f>
        <v>7.1135754273967428E-2</v>
      </c>
      <c r="R8" s="7">
        <f>$B8 * IFERROR(VLOOKUP("electricity|PM25|Asthma symptoms wheeze", US_national_yearly!$D:$AM, 26, FALSE) / VLOOKUP("electricity|PM25|Asthma symptoms wheeze", US_national_yearly!$D:$AM, 10, FALSE), 1)</f>
        <v>7.1135754273967428E-2</v>
      </c>
      <c r="S8" s="7">
        <f>$B8 * IFERROR(VLOOKUP("electricity|PM25|Asthma symptoms wheeze", US_national_yearly!$D:$AM, 27, FALSE) / VLOOKUP("electricity|PM25|Asthma symptoms wheeze", US_national_yearly!$D:$AM, 10, FALSE), 1)</f>
        <v>7.1135754273967428E-2</v>
      </c>
      <c r="T8" s="7">
        <f>$B8 * IFERROR(VLOOKUP("electricity|PM25|Asthma symptoms wheeze", US_national_yearly!$D:$AM, 28, FALSE) / VLOOKUP("electricity|PM25|Asthma symptoms wheeze", US_national_yearly!$D:$AM, 10, FALSE), 1)</f>
        <v>7.1135754273967428E-2</v>
      </c>
      <c r="U8" s="7">
        <f>$B8 * IFERROR(VLOOKUP("electricity|PM25|Asthma symptoms wheeze", US_national_yearly!$D:$AM, 29, FALSE) / VLOOKUP("electricity|PM25|Asthma symptoms wheeze", US_national_yearly!$D:$AM, 10, FALSE), 1)</f>
        <v>7.1135754273967428E-2</v>
      </c>
      <c r="V8" s="7">
        <f>$B8 * IFERROR(VLOOKUP("electricity|PM25|Asthma symptoms wheeze", US_national_yearly!$D:$AM, 30, FALSE) / VLOOKUP("electricity|PM25|Asthma symptoms wheeze", US_national_yearly!$D:$AM, 10, FALSE), 1)</f>
        <v>7.1135754273967428E-2</v>
      </c>
      <c r="W8" s="7">
        <f>$B8 * IFERROR(VLOOKUP("electricity|PM25|Asthma symptoms wheeze", US_national_yearly!$D:$AM, 31, FALSE) / VLOOKUP("electricity|PM25|Asthma symptoms wheeze", US_national_yearly!$D:$AM, 10, FALSE), 1)</f>
        <v>7.1135754273967428E-2</v>
      </c>
      <c r="X8" s="7">
        <f>$B8 * IFERROR(VLOOKUP("electricity|PM25|Asthma symptoms wheeze", US_national_yearly!$D:$AM, 32, FALSE) / VLOOKUP("electricity|PM25|Asthma symptoms wheeze", US_national_yearly!$D:$AM, 10, FALSE), 1)</f>
        <v>7.1135754273967428E-2</v>
      </c>
      <c r="Y8" s="7">
        <f>$B8 * IFERROR(VLOOKUP("electricity|PM25|Asthma symptoms wheeze", US_national_yearly!$D:$AM, 33, FALSE) / VLOOKUP("electricity|PM25|Asthma symptoms wheeze", US_national_yearly!$D:$AM, 10, FALSE), 1)</f>
        <v>7.1135754273967428E-2</v>
      </c>
      <c r="Z8" s="7">
        <f>$B8 * IFERROR(VLOOKUP("electricity|PM25|Asthma symptoms wheeze", US_national_yearly!$D:$AM, 34, FALSE) / VLOOKUP("electricity|PM25|Asthma symptoms wheeze", US_national_yearly!$D:$AM, 10, FALSE), 1)</f>
        <v>7.1135754273967428E-2</v>
      </c>
      <c r="AA8" s="7">
        <f>$B8 * IFERROR(VLOOKUP("electricity|PM25|Asthma symptoms wheeze", US_national_yearly!$D:$AM, 35, FALSE) / VLOOKUP("electricity|PM25|Asthma symptoms wheeze", US_national_yearly!$D:$AM, 10, FALSE), 1)</f>
        <v>7.1135754273967428E-2</v>
      </c>
      <c r="AB8" s="7">
        <f>$B8 * IFERROR(VLOOKUP("electricity|PM25|Asthma symptoms wheeze", US_national_yearly!$D:$AM, 36, FALSE) / VLOOKUP("electricity|PM25|Asthma symptoms wheeze", US_national_yearly!$D:$AM, 10, FALSE), 1)</f>
        <v>7.1135754273967428E-2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1.0126118212478452E-3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1.0181770125404939E-3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1.0237422038331422E-3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1.0293073951257912E-3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1.0348725864184395E-3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1.0408383346877487E-3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1.0468040829570582E-3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1.0521338695812813E-3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1.057463656205504E-3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1.0627934428297269E-3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1.0681232294539498E-3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1.0734530160781729E-3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1.0770481464133623E-3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1.0806432767485521E-3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1.0842384070837417E-3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1.0878335374189313E-3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1.0914286677541209E-3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1.0947788264409084E-3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1.0981289851276952E-3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1.1014791438144823E-3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1.1048293025012696E-3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1.1081794611880564E-3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1.1114921301401419E-3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1.1148047990922269E-3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1.1181174680443121E-3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1.1214301369963972E-3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1.1247428059484826E-3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6.1599177130856834E-3</v>
      </c>
      <c r="C13" s="7">
        <f>$B13 * IFERROR(VLOOKUP("electricity|PM25|Non-fatal heart attacks", US_national_yearly!$D:$AM, 11, FALSE) / VLOOKUP("electricity|PM25|Non-fatal heart attacks", US_national_yearly!$D:$AM, 10, FALSE), 1)</f>
        <v>6.338338632086069E-3</v>
      </c>
      <c r="D13" s="7">
        <f>$B13 * IFERROR(VLOOKUP("electricity|PM25|Non-fatal heart attacks", US_national_yearly!$D:$AM, 12, FALSE) / VLOOKUP("electricity|PM25|Non-fatal heart attacks", US_national_yearly!$D:$AM, 10, FALSE), 1)</f>
        <v>6.5167595510864538E-3</v>
      </c>
      <c r="E13" s="7">
        <f>$B13 * IFERROR(VLOOKUP("electricity|PM25|Non-fatal heart attacks", US_national_yearly!$D:$AM, 13, FALSE) / VLOOKUP("electricity|PM25|Non-fatal heart attacks", US_national_yearly!$D:$AM, 10, FALSE), 1)</f>
        <v>6.6951804700868377E-3</v>
      </c>
      <c r="F13" s="7">
        <f>$B13 * IFERROR(VLOOKUP("electricity|PM25|Non-fatal heart attacks", US_national_yearly!$D:$AM, 14, FALSE) / VLOOKUP("electricity|PM25|Non-fatal heart attacks", US_national_yearly!$D:$AM, 10, FALSE), 1)</f>
        <v>6.8736013890872234E-3</v>
      </c>
      <c r="G13" s="7">
        <f>$B13 * IFERROR(VLOOKUP("electricity|PM25|Non-fatal heart attacks", US_national_yearly!$D:$AM, 15, FALSE) / VLOOKUP("electricity|PM25|Non-fatal heart attacks", US_national_yearly!$D:$AM, 10, FALSE), 1)</f>
        <v>7.042952636767302E-3</v>
      </c>
      <c r="H13" s="7">
        <f>$B13 * IFERROR(VLOOKUP("electricity|PM25|Non-fatal heart attacks", US_national_yearly!$D:$AM, 16, FALSE) / VLOOKUP("electricity|PM25|Non-fatal heart attacks", US_national_yearly!$D:$AM, 10, FALSE), 1)</f>
        <v>7.2123038844473788E-3</v>
      </c>
      <c r="I13" s="7">
        <f>$B13 * IFERROR(VLOOKUP("electricity|PM25|Non-fatal heart attacks", US_national_yearly!$D:$AM, 17, FALSE) / VLOOKUP("electricity|PM25|Non-fatal heart attacks", US_national_yearly!$D:$AM, 10, FALSE), 1)</f>
        <v>7.3504745096926892E-3</v>
      </c>
      <c r="J13" s="7">
        <f>$B13 * IFERROR(VLOOKUP("electricity|PM25|Non-fatal heart attacks", US_national_yearly!$D:$AM, 18, FALSE) / VLOOKUP("electricity|PM25|Non-fatal heart attacks", US_national_yearly!$D:$AM, 10, FALSE), 1)</f>
        <v>7.4886451349379995E-3</v>
      </c>
      <c r="K13" s="7">
        <f>$B13 * IFERROR(VLOOKUP("electricity|PM25|Non-fatal heart attacks", US_national_yearly!$D:$AM, 19, FALSE) / VLOOKUP("electricity|PM25|Non-fatal heart attacks", US_national_yearly!$D:$AM, 10, FALSE), 1)</f>
        <v>7.6268157601833081E-3</v>
      </c>
      <c r="L13" s="7">
        <f>$B13 * IFERROR(VLOOKUP("electricity|PM25|Non-fatal heart attacks", US_national_yearly!$D:$AM, 20, FALSE) / VLOOKUP("electricity|PM25|Non-fatal heart attacks", US_national_yearly!$D:$AM, 10, FALSE), 1)</f>
        <v>7.7649863854286167E-3</v>
      </c>
      <c r="M13" s="7">
        <f>$B13 * IFERROR(VLOOKUP("electricity|PM25|Non-fatal heart attacks", US_national_yearly!$D:$AM, 21, FALSE) / VLOOKUP("electricity|PM25|Non-fatal heart attacks", US_national_yearly!$D:$AM, 10, FALSE), 1)</f>
        <v>7.903157010673928E-3</v>
      </c>
      <c r="N13" s="7">
        <f>$B13 * IFERROR(VLOOKUP("electricity|PM25|Non-fatal heart attacks", US_national_yearly!$D:$AM, 22, FALSE) / VLOOKUP("electricity|PM25|Non-fatal heart attacks", US_national_yearly!$D:$AM, 10, FALSE), 1)</f>
        <v>7.9928119096205705E-3</v>
      </c>
      <c r="O13" s="7">
        <f>$B13 * IFERROR(VLOOKUP("electricity|PM25|Non-fatal heart attacks", US_national_yearly!$D:$AM, 23, FALSE) / VLOOKUP("electricity|PM25|Non-fatal heart attacks", US_national_yearly!$D:$AM, 10, FALSE), 1)</f>
        <v>8.0824668085672131E-3</v>
      </c>
      <c r="P13" s="7">
        <f>$B13 * IFERROR(VLOOKUP("electricity|PM25|Non-fatal heart attacks", US_national_yearly!$D:$AM, 24, FALSE) / VLOOKUP("electricity|PM25|Non-fatal heart attacks", US_national_yearly!$D:$AM, 10, FALSE), 1)</f>
        <v>8.172121707513854E-3</v>
      </c>
      <c r="Q13" s="7">
        <f>$B13 * IFERROR(VLOOKUP("electricity|PM25|Non-fatal heart attacks", US_national_yearly!$D:$AM, 25, FALSE) / VLOOKUP("electricity|PM25|Non-fatal heart attacks", US_national_yearly!$D:$AM, 10, FALSE), 1)</f>
        <v>8.2617766064604966E-3</v>
      </c>
      <c r="R13" s="7">
        <f>$B13 * IFERROR(VLOOKUP("electricity|PM25|Non-fatal heart attacks", US_national_yearly!$D:$AM, 26, FALSE) / VLOOKUP("electricity|PM25|Non-fatal heart attacks", US_national_yearly!$D:$AM, 10, FALSE), 1)</f>
        <v>8.3514315054071392E-3</v>
      </c>
      <c r="S13" s="7">
        <f>$B13 * IFERROR(VLOOKUP("electricity|PM25|Non-fatal heart attacks", US_national_yearly!$D:$AM, 27, FALSE) / VLOOKUP("electricity|PM25|Non-fatal heart attacks", US_national_yearly!$D:$AM, 10, FALSE), 1)</f>
        <v>8.4007888305296253E-3</v>
      </c>
      <c r="T13" s="7">
        <f>$B13 * IFERROR(VLOOKUP("electricity|PM25|Non-fatal heart attacks", US_national_yearly!$D:$AM, 28, FALSE) / VLOOKUP("electricity|PM25|Non-fatal heart attacks", US_national_yearly!$D:$AM, 10, FALSE), 1)</f>
        <v>8.4501461556521131E-3</v>
      </c>
      <c r="U13" s="7">
        <f>$B13 * IFERROR(VLOOKUP("electricity|PM25|Non-fatal heart attacks", US_national_yearly!$D:$AM, 29, FALSE) / VLOOKUP("electricity|PM25|Non-fatal heart attacks", US_national_yearly!$D:$AM, 10, FALSE), 1)</f>
        <v>8.4995034807745992E-3</v>
      </c>
      <c r="V13" s="7">
        <f>$B13 * IFERROR(VLOOKUP("electricity|PM25|Non-fatal heart attacks", US_national_yearly!$D:$AM, 30, FALSE) / VLOOKUP("electricity|PM25|Non-fatal heart attacks", US_national_yearly!$D:$AM, 10, FALSE), 1)</f>
        <v>8.5488608058970853E-3</v>
      </c>
      <c r="W13" s="7">
        <f>$B13 * IFERROR(VLOOKUP("electricity|PM25|Non-fatal heart attacks", US_national_yearly!$D:$AM, 31, FALSE) / VLOOKUP("electricity|PM25|Non-fatal heart attacks", US_national_yearly!$D:$AM, 10, FALSE), 1)</f>
        <v>8.5982181310195714E-3</v>
      </c>
      <c r="X13" s="7">
        <f>$B13 * IFERROR(VLOOKUP("electricity|PM25|Non-fatal heart attacks", US_national_yearly!$D:$AM, 32, FALSE) / VLOOKUP("electricity|PM25|Non-fatal heart attacks", US_national_yearly!$D:$AM, 10, FALSE), 1)</f>
        <v>8.6368311455967163E-3</v>
      </c>
      <c r="Y13" s="7">
        <f>$B13 * IFERROR(VLOOKUP("electricity|PM25|Non-fatal heart attacks", US_national_yearly!$D:$AM, 33, FALSE) / VLOOKUP("electricity|PM25|Non-fatal heart attacks", US_national_yearly!$D:$AM, 10, FALSE), 1)</f>
        <v>8.6754441601738612E-3</v>
      </c>
      <c r="Z13" s="7">
        <f>$B13 * IFERROR(VLOOKUP("electricity|PM25|Non-fatal heart attacks", US_national_yearly!$D:$AM, 34, FALSE) / VLOOKUP("electricity|PM25|Non-fatal heart attacks", US_national_yearly!$D:$AM, 10, FALSE), 1)</f>
        <v>8.7140571747510061E-3</v>
      </c>
      <c r="AA13" s="7">
        <f>$B13 * IFERROR(VLOOKUP("electricity|PM25|Non-fatal heart attacks", US_national_yearly!$D:$AM, 35, FALSE) / VLOOKUP("electricity|PM25|Non-fatal heart attacks", US_national_yearly!$D:$AM, 10, FALSE), 1)</f>
        <v>8.7526701893281527E-3</v>
      </c>
      <c r="AB13" s="7">
        <f>$B13 * IFERROR(VLOOKUP("electricity|PM25|Non-fatal heart attacks", US_national_yearly!$D:$AM, 36, FALSE) / VLOOKUP("electricity|PM25|Non-fatal heart attacks", US_national_yearly!$D:$AM, 10, FALSE), 1)</f>
        <v>8.7912832039052976E-3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4.3208686467835697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4.330460684740995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4.340052722698422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4.3496447606558473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4.3592367986132743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4.3734702714757647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4.3877037443382552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4.4128361815967896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4.437968618855324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4.4631010561138575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4.4882334933723929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4.5133659306309264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4.5482318694020041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4.5830978081730827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4.6179637469441612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4.6528296857152407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4.6876956244863184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4.7228622996584244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4.7580289748305296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4.7931956500026347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4.8283623251747407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4.8635290003468459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4.8936741813100424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4.9238193622732398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4.9539645432364372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4.9841097241996328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5.0142549051628311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0.73095548819659362</v>
      </c>
      <c r="C15" s="7">
        <f>$B15 * IFERROR(VLOOKUP("electricity|PM25|Work loss days", US_national_yearly!$D:$AM, 11, FALSE) / VLOOKUP("electricity|PM25|Work loss days", US_national_yearly!$D:$AM, 10, FALSE), 1)</f>
        <v>0.73304715957886135</v>
      </c>
      <c r="D15" s="7">
        <f>$B15 * IFERROR(VLOOKUP("electricity|PM25|Work loss days", US_national_yearly!$D:$AM, 12, FALSE) / VLOOKUP("electricity|PM25|Work loss days", US_national_yearly!$D:$AM, 10, FALSE), 1)</f>
        <v>0.73513883096112931</v>
      </c>
      <c r="E15" s="7">
        <f>$B15 * IFERROR(VLOOKUP("electricity|PM25|Work loss days", US_national_yearly!$D:$AM, 13, FALSE) / VLOOKUP("electricity|PM25|Work loss days", US_national_yearly!$D:$AM, 10, FALSE), 1)</f>
        <v>0.73723050234339704</v>
      </c>
      <c r="F15" s="7">
        <f>$B15 * IFERROR(VLOOKUP("electricity|PM25|Work loss days", US_national_yearly!$D:$AM, 14, FALSE) / VLOOKUP("electricity|PM25|Work loss days", US_national_yearly!$D:$AM, 10, FALSE), 1)</f>
        <v>0.73932217372566478</v>
      </c>
      <c r="G15" s="7">
        <f>$B15 * IFERROR(VLOOKUP("electricity|PM25|Work loss days", US_national_yearly!$D:$AM, 15, FALSE) / VLOOKUP("electricity|PM25|Work loss days", US_national_yearly!$D:$AM, 10, FALSE), 1)</f>
        <v>0.74203182662576439</v>
      </c>
      <c r="H15" s="7">
        <f>$B15 * IFERROR(VLOOKUP("electricity|PM25|Work loss days", US_national_yearly!$D:$AM, 16, FALSE) / VLOOKUP("electricity|PM25|Work loss days", US_national_yearly!$D:$AM, 10, FALSE), 1)</f>
        <v>0.74474147952586411</v>
      </c>
      <c r="I15" s="7">
        <f>$B15 * IFERROR(VLOOKUP("electricity|PM25|Work loss days", US_national_yearly!$D:$AM, 17, FALSE) / VLOOKUP("electricity|PM25|Work loss days", US_national_yearly!$D:$AM, 10, FALSE), 1)</f>
        <v>0.74881497996321134</v>
      </c>
      <c r="J15" s="7">
        <f>$B15 * IFERROR(VLOOKUP("electricity|PM25|Work loss days", US_national_yearly!$D:$AM, 18, FALSE) / VLOOKUP("electricity|PM25|Work loss days", US_national_yearly!$D:$AM, 10, FALSE), 1)</f>
        <v>0.75288848040055834</v>
      </c>
      <c r="K15" s="7">
        <f>$B15 * IFERROR(VLOOKUP("electricity|PM25|Work loss days", US_national_yearly!$D:$AM, 19, FALSE) / VLOOKUP("electricity|PM25|Work loss days", US_national_yearly!$D:$AM, 10, FALSE), 1)</f>
        <v>0.75696198083790556</v>
      </c>
      <c r="L15" s="7">
        <f>$B15 * IFERROR(VLOOKUP("electricity|PM25|Work loss days", US_national_yearly!$D:$AM, 20, FALSE) / VLOOKUP("electricity|PM25|Work loss days", US_national_yearly!$D:$AM, 10, FALSE), 1)</f>
        <v>0.76103548127525278</v>
      </c>
      <c r="M15" s="7">
        <f>$B15 * IFERROR(VLOOKUP("electricity|PM25|Work loss days", US_national_yearly!$D:$AM, 21, FALSE) / VLOOKUP("electricity|PM25|Work loss days", US_national_yearly!$D:$AM, 10, FALSE), 1)</f>
        <v>0.76510898171259989</v>
      </c>
      <c r="N15" s="7">
        <f>$B15 * IFERROR(VLOOKUP("electricity|PM25|Work loss days", US_national_yearly!$D:$AM, 22, FALSE) / VLOOKUP("electricity|PM25|Work loss days", US_national_yearly!$D:$AM, 10, FALSE), 1)</f>
        <v>0.77036815356970056</v>
      </c>
      <c r="O15" s="7">
        <f>$B15 * IFERROR(VLOOKUP("electricity|PM25|Work loss days", US_national_yearly!$D:$AM, 23, FALSE) / VLOOKUP("electricity|PM25|Work loss days", US_national_yearly!$D:$AM, 10, FALSE), 1)</f>
        <v>0.77562732542680113</v>
      </c>
      <c r="P15" s="7">
        <f>$B15 * IFERROR(VLOOKUP("electricity|PM25|Work loss days", US_national_yearly!$D:$AM, 24, FALSE) / VLOOKUP("electricity|PM25|Work loss days", US_national_yearly!$D:$AM, 10, FALSE), 1)</f>
        <v>0.78088649728390158</v>
      </c>
      <c r="Q15" s="7">
        <f>$B15 * IFERROR(VLOOKUP("electricity|PM25|Work loss days", US_national_yearly!$D:$AM, 25, FALSE) / VLOOKUP("electricity|PM25|Work loss days", US_national_yearly!$D:$AM, 10, FALSE), 1)</f>
        <v>0.78614566914100215</v>
      </c>
      <c r="R15" s="7">
        <f>$B15 * IFERROR(VLOOKUP("electricity|PM25|Work loss days", US_national_yearly!$D:$AM, 26, FALSE) / VLOOKUP("electricity|PM25|Work loss days", US_national_yearly!$D:$AM, 10, FALSE), 1)</f>
        <v>0.79140484099810271</v>
      </c>
      <c r="S15" s="7">
        <f>$B15 * IFERROR(VLOOKUP("electricity|PM25|Work loss days", US_national_yearly!$D:$AM, 27, FALSE) / VLOOKUP("electricity|PM25|Work loss days", US_national_yearly!$D:$AM, 10, FALSE), 1)</f>
        <v>0.79724066466678212</v>
      </c>
      <c r="T15" s="7">
        <f>$B15 * IFERROR(VLOOKUP("electricity|PM25|Work loss days", US_national_yearly!$D:$AM, 28, FALSE) / VLOOKUP("electricity|PM25|Work loss days", US_national_yearly!$D:$AM, 10, FALSE), 1)</f>
        <v>0.80307648833546175</v>
      </c>
      <c r="U15" s="7">
        <f>$B15 * IFERROR(VLOOKUP("electricity|PM25|Work loss days", US_national_yearly!$D:$AM, 29, FALSE) / VLOOKUP("electricity|PM25|Work loss days", US_national_yearly!$D:$AM, 10, FALSE), 1)</f>
        <v>0.80891231200414138</v>
      </c>
      <c r="V15" s="7">
        <f>$B15 * IFERROR(VLOOKUP("electricity|PM25|Work loss days", US_national_yearly!$D:$AM, 30, FALSE) / VLOOKUP("electricity|PM25|Work loss days", US_national_yearly!$D:$AM, 10, FALSE), 1)</f>
        <v>0.81474813567282089</v>
      </c>
      <c r="W15" s="7">
        <f>$B15 * IFERROR(VLOOKUP("electricity|PM25|Work loss days", US_national_yearly!$D:$AM, 31, FALSE) / VLOOKUP("electricity|PM25|Work loss days", US_national_yearly!$D:$AM, 10, FALSE), 1)</f>
        <v>0.8205839593415003</v>
      </c>
      <c r="X15" s="7">
        <f>$B15 * IFERROR(VLOOKUP("electricity|PM25|Work loss days", US_national_yearly!$D:$AM, 32, FALSE) / VLOOKUP("electricity|PM25|Work loss days", US_national_yearly!$D:$AM, 10, FALSE), 1)</f>
        <v>0.82573211339119668</v>
      </c>
      <c r="Y15" s="7">
        <f>$B15 * IFERROR(VLOOKUP("electricity|PM25|Work loss days", US_national_yearly!$D:$AM, 33, FALSE) / VLOOKUP("electricity|PM25|Work loss days", US_national_yearly!$D:$AM, 10, FALSE), 1)</f>
        <v>0.83088026744089272</v>
      </c>
      <c r="Z15" s="7">
        <f>$B15 * IFERROR(VLOOKUP("electricity|PM25|Work loss days", US_national_yearly!$D:$AM, 34, FALSE) / VLOOKUP("electricity|PM25|Work loss days", US_national_yearly!$D:$AM, 10, FALSE), 1)</f>
        <v>0.83602842149058887</v>
      </c>
      <c r="AA15" s="7">
        <f>$B15 * IFERROR(VLOOKUP("electricity|PM25|Work loss days", US_national_yearly!$D:$AM, 35, FALSE) / VLOOKUP("electricity|PM25|Work loss days", US_national_yearly!$D:$AM, 10, FALSE), 1)</f>
        <v>0.84117657554028513</v>
      </c>
      <c r="AB15" s="7">
        <f>$B15 * IFERROR(VLOOKUP("electricity|PM25|Work loss days", US_national_yearly!$D:$AM, 36, FALSE) / VLOOKUP("electricity|PM25|Work loss days", US_national_yearly!$D:$AM, 10, FALSE), 1)</f>
        <v>0.84632472958998128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1.5501238408721302E-3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1.5961236250459847E-3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1.6421234092198391E-3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1.6881231933936936E-3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1.734122977567548E-3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1.7784896980395253E-3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1.8228564185115027E-3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1.8612903978707494E-3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1.8997243772299964E-3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1.9381583565892427E-3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1.9765923359484896E-3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2.0150263153077361E-3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2.0408625171664759E-3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2.0666987190252153E-3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2.0925349208839551E-3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2.1183711227426949E-3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2.1442073246014347E-3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2.158466358893882E-3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2.1727253931863289E-3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2.1869844274787767E-3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2.201243461771224E-3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2.2155024960636709E-3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2.2254503705899809E-3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2.2353982451162901E-3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2.2453461196426001E-3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2.2552939941689102E-3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2.2652418686952202E-3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1.2612317955613881E-3</v>
      </c>
      <c r="C2" s="7">
        <f>$B2 * IFERROR(VLOOKUP("electricity|NOx|Premature mortality", US_national_yearly!$D:$AM, 11, FALSE) / VLOOKUP("electricity|NOx|Premature mortality", US_national_yearly!$D:$AM, 10, FALSE), 1)</f>
        <v>1.280315031880282E-3</v>
      </c>
      <c r="D2" s="7">
        <f>$B2 * IFERROR(VLOOKUP("electricity|NOx|Premature mortality", US_national_yearly!$D:$AM, 12, FALSE) / VLOOKUP("electricity|NOx|Premature mortality", US_national_yearly!$D:$AM, 10, FALSE), 1)</f>
        <v>1.2993982681991764E-3</v>
      </c>
      <c r="E2" s="7">
        <f>$B2 * IFERROR(VLOOKUP("electricity|NOx|Premature mortality", US_national_yearly!$D:$AM, 13, FALSE) / VLOOKUP("electricity|NOx|Premature mortality", US_national_yearly!$D:$AM, 10, FALSE), 1)</f>
        <v>1.3184815045180704E-3</v>
      </c>
      <c r="F2" s="7">
        <f>$B2 * IFERROR(VLOOKUP("electricity|NOx|Premature mortality", US_national_yearly!$D:$AM, 14, FALSE) / VLOOKUP("electricity|NOx|Premature mortality", US_national_yearly!$D:$AM, 10, FALSE), 1)</f>
        <v>1.3375647408369643E-3</v>
      </c>
      <c r="G2" s="7">
        <f>$B2 * IFERROR(VLOOKUP("electricity|NOx|Premature mortality", US_national_yearly!$D:$AM, 15, FALSE) / VLOOKUP("electricity|NOx|Premature mortality", US_national_yearly!$D:$AM, 10, FALSE), 1)</f>
        <v>1.3716544290950227E-3</v>
      </c>
      <c r="H2" s="7">
        <f>$B2 * IFERROR(VLOOKUP("electricity|NOx|Premature mortality", US_national_yearly!$D:$AM, 16, FALSE) / VLOOKUP("electricity|NOx|Premature mortality", US_national_yearly!$D:$AM, 10, FALSE), 1)</f>
        <v>1.4057441173530806E-3</v>
      </c>
      <c r="I2" s="7">
        <f>$B2 * IFERROR(VLOOKUP("electricity|NOx|Premature mortality", US_national_yearly!$D:$AM, 17, FALSE) / VLOOKUP("electricity|NOx|Premature mortality", US_national_yearly!$D:$AM, 10, FALSE), 1)</f>
        <v>1.4283981154277702E-3</v>
      </c>
      <c r="J2" s="7">
        <f>$B2 * IFERROR(VLOOKUP("electricity|NOx|Premature mortality", US_national_yearly!$D:$AM, 18, FALSE) / VLOOKUP("electricity|NOx|Premature mortality", US_national_yearly!$D:$AM, 10, FALSE), 1)</f>
        <v>1.4510521135024598E-3</v>
      </c>
      <c r="K2" s="7">
        <f>$B2 * IFERROR(VLOOKUP("electricity|NOx|Premature mortality", US_national_yearly!$D:$AM, 19, FALSE) / VLOOKUP("electricity|NOx|Premature mortality", US_national_yearly!$D:$AM, 10, FALSE), 1)</f>
        <v>1.4737061115771494E-3</v>
      </c>
      <c r="L2" s="7">
        <f>$B2 * IFERROR(VLOOKUP("electricity|NOx|Premature mortality", US_national_yearly!$D:$AM, 20, FALSE) / VLOOKUP("electricity|NOx|Premature mortality", US_national_yearly!$D:$AM, 10, FALSE), 1)</f>
        <v>1.4963601096518388E-3</v>
      </c>
      <c r="M2" s="7">
        <f>$B2 * IFERROR(VLOOKUP("electricity|NOx|Premature mortality", US_national_yearly!$D:$AM, 21, FALSE) / VLOOKUP("electricity|NOx|Premature mortality", US_national_yearly!$D:$AM, 10, FALSE), 1)</f>
        <v>1.5190141077265282E-3</v>
      </c>
      <c r="N2" s="7">
        <f>$B2 * IFERROR(VLOOKUP("electricity|NOx|Premature mortality", US_national_yearly!$D:$AM, 22, FALSE) / VLOOKUP("electricity|NOx|Premature mortality", US_national_yearly!$D:$AM, 10, FALSE), 1)</f>
        <v>1.5364942861540148E-3</v>
      </c>
      <c r="O2" s="7">
        <f>$B2 * IFERROR(VLOOKUP("electricity|NOx|Premature mortality", US_national_yearly!$D:$AM, 23, FALSE) / VLOOKUP("electricity|NOx|Premature mortality", US_national_yearly!$D:$AM, 10, FALSE), 1)</f>
        <v>1.553974464581502E-3</v>
      </c>
      <c r="P2" s="7">
        <f>$B2 * IFERROR(VLOOKUP("electricity|NOx|Premature mortality", US_national_yearly!$D:$AM, 24, FALSE) / VLOOKUP("electricity|NOx|Premature mortality", US_national_yearly!$D:$AM, 10, FALSE), 1)</f>
        <v>1.5714546430089886E-3</v>
      </c>
      <c r="Q2" s="7">
        <f>$B2 * IFERROR(VLOOKUP("electricity|NOx|Premature mortality", US_national_yearly!$D:$AM, 25, FALSE) / VLOOKUP("electricity|NOx|Premature mortality", US_national_yearly!$D:$AM, 10, FALSE), 1)</f>
        <v>1.5889348214364754E-3</v>
      </c>
      <c r="R2" s="7">
        <f>$B2 * IFERROR(VLOOKUP("electricity|NOx|Premature mortality", US_national_yearly!$D:$AM, 26, FALSE) / VLOOKUP("electricity|NOx|Premature mortality", US_national_yearly!$D:$AM, 10, FALSE), 1)</f>
        <v>1.606414999863962E-3</v>
      </c>
      <c r="S2" s="7">
        <f>$B2 * IFERROR(VLOOKUP("electricity|NOx|Premature mortality", US_national_yearly!$D:$AM, 27, FALSE) / VLOOKUP("electricity|NOx|Premature mortality", US_national_yearly!$D:$AM, 10, FALSE), 1)</f>
        <v>1.6154477399648449E-3</v>
      </c>
      <c r="T2" s="7">
        <f>$B2 * IFERROR(VLOOKUP("electricity|NOx|Premature mortality", US_national_yearly!$D:$AM, 28, FALSE) / VLOOKUP("electricity|NOx|Premature mortality", US_national_yearly!$D:$AM, 10, FALSE), 1)</f>
        <v>1.6244804800657276E-3</v>
      </c>
      <c r="U2" s="7">
        <f>$B2 * IFERROR(VLOOKUP("electricity|NOx|Premature mortality", US_national_yearly!$D:$AM, 29, FALSE) / VLOOKUP("electricity|NOx|Premature mortality", US_national_yearly!$D:$AM, 10, FALSE), 1)</f>
        <v>1.6335132201666109E-3</v>
      </c>
      <c r="V2" s="7">
        <f>$B2 * IFERROR(VLOOKUP("electricity|NOx|Premature mortality", US_national_yearly!$D:$AM, 30, FALSE) / VLOOKUP("electricity|NOx|Premature mortality", US_national_yearly!$D:$AM, 10, FALSE), 1)</f>
        <v>1.6425459602674938E-3</v>
      </c>
      <c r="W2" s="7">
        <f>$B2 * IFERROR(VLOOKUP("electricity|NOx|Premature mortality", US_national_yearly!$D:$AM, 31, FALSE) / VLOOKUP("electricity|NOx|Premature mortality", US_national_yearly!$D:$AM, 10, FALSE), 1)</f>
        <v>1.6515787003683767E-3</v>
      </c>
      <c r="X2" s="7">
        <f>$B2 * IFERROR(VLOOKUP("electricity|NOx|Premature mortality", US_national_yearly!$D:$AM, 32, FALSE) / VLOOKUP("electricity|NOx|Premature mortality", US_national_yearly!$D:$AM, 10, FALSE), 1)</f>
        <v>1.6536221867926289E-3</v>
      </c>
      <c r="Y2" s="7">
        <f>$B2 * IFERROR(VLOOKUP("electricity|NOx|Premature mortality", US_national_yearly!$D:$AM, 33, FALSE) / VLOOKUP("electricity|NOx|Premature mortality", US_national_yearly!$D:$AM, 10, FALSE), 1)</f>
        <v>1.6556656732168811E-3</v>
      </c>
      <c r="Z2" s="7">
        <f>$B2 * IFERROR(VLOOKUP("electricity|NOx|Premature mortality", US_national_yearly!$D:$AM, 34, FALSE) / VLOOKUP("electricity|NOx|Premature mortality", US_national_yearly!$D:$AM, 10, FALSE), 1)</f>
        <v>1.6577091596411333E-3</v>
      </c>
      <c r="AA2" s="7">
        <f>$B2 * IFERROR(VLOOKUP("electricity|NOx|Premature mortality", US_national_yearly!$D:$AM, 35, FALSE) / VLOOKUP("electricity|NOx|Premature mortality", US_national_yearly!$D:$AM, 10, FALSE), 1)</f>
        <v>1.6597526460653852E-3</v>
      </c>
      <c r="AB2" s="7">
        <f>$B2 * IFERROR(VLOOKUP("electricity|NOx|Premature mortality", US_national_yearly!$D:$AM, 36, FALSE) / VLOOKUP("electricity|NOx|Premature mortality", US_national_yearly!$D:$AM, 10, FALSE), 1)</f>
        <v>1.6617961324896374E-3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3.2842396901035206E-6</v>
      </c>
      <c r="C3" s="7">
        <f>$B3 * IFERROR(VLOOKUP("electricity|NOx|Infant mortality", US_national_yearly!$D:$AM, 11, FALSE) / VLOOKUP("electricity|NOx|Infant mortality", US_national_yearly!$D:$AM, 10, FALSE), 1)</f>
        <v>3.2535137513473147E-6</v>
      </c>
      <c r="D3" s="7">
        <f>$B3 * IFERROR(VLOOKUP("electricity|NOx|Infant mortality", US_national_yearly!$D:$AM, 12, FALSE) / VLOOKUP("electricity|NOx|Infant mortality", US_national_yearly!$D:$AM, 10, FALSE), 1)</f>
        <v>3.222787812591108E-6</v>
      </c>
      <c r="E3" s="7">
        <f>$B3 * IFERROR(VLOOKUP("electricity|NOx|Infant mortality", US_national_yearly!$D:$AM, 13, FALSE) / VLOOKUP("electricity|NOx|Infant mortality", US_national_yearly!$D:$AM, 10, FALSE), 1)</f>
        <v>3.1920618738349021E-6</v>
      </c>
      <c r="F3" s="7">
        <f>$B3 * IFERROR(VLOOKUP("electricity|NOx|Infant mortality", US_national_yearly!$D:$AM, 14, FALSE) / VLOOKUP("electricity|NOx|Infant mortality", US_national_yearly!$D:$AM, 10, FALSE), 1)</f>
        <v>3.1613359350786954E-6</v>
      </c>
      <c r="G3" s="7">
        <f>$B3 * IFERROR(VLOOKUP("electricity|NOx|Infant mortality", US_national_yearly!$D:$AM, 15, FALSE) / VLOOKUP("electricity|NOx|Infant mortality", US_national_yearly!$D:$AM, 10, FALSE), 1)</f>
        <v>2.0945416809989216E-6</v>
      </c>
      <c r="H3" s="7">
        <f>$B3 * IFERROR(VLOOKUP("electricity|NOx|Infant mortality", US_national_yearly!$D:$AM, 16, FALSE) / VLOOKUP("electricity|NOx|Infant mortality", US_national_yearly!$D:$AM, 10, FALSE), 1)</f>
        <v>1.0277474269191481E-6</v>
      </c>
      <c r="I3" s="7">
        <f>$B3 * IFERROR(VLOOKUP("electricity|NOx|Infant mortality", US_national_yearly!$D:$AM, 17, FALSE) / VLOOKUP("electricity|NOx|Infant mortality", US_national_yearly!$D:$AM, 10, FALSE), 1)</f>
        <v>1.0202730860095943E-6</v>
      </c>
      <c r="J3" s="7">
        <f>$B3 * IFERROR(VLOOKUP("electricity|NOx|Infant mortality", US_national_yearly!$D:$AM, 18, FALSE) / VLOOKUP("electricity|NOx|Infant mortality", US_national_yearly!$D:$AM, 10, FALSE), 1)</f>
        <v>1.0127987451000404E-6</v>
      </c>
      <c r="K3" s="7">
        <f>$B3 * IFERROR(VLOOKUP("electricity|NOx|Infant mortality", US_national_yearly!$D:$AM, 19, FALSE) / VLOOKUP("electricity|NOx|Infant mortality", US_national_yearly!$D:$AM, 10, FALSE), 1)</f>
        <v>1.0053244041904866E-6</v>
      </c>
      <c r="L3" s="7">
        <f>$B3 * IFERROR(VLOOKUP("electricity|NOx|Infant mortality", US_national_yearly!$D:$AM, 20, FALSE) / VLOOKUP("electricity|NOx|Infant mortality", US_national_yearly!$D:$AM, 10, FALSE), 1)</f>
        <v>9.9785006328093269E-7</v>
      </c>
      <c r="M3" s="7">
        <f>$B3 * IFERROR(VLOOKUP("electricity|NOx|Infant mortality", US_national_yearly!$D:$AM, 21, FALSE) / VLOOKUP("electricity|NOx|Infant mortality", US_national_yearly!$D:$AM, 10, FALSE), 1)</f>
        <v>9.9037572237137873E-7</v>
      </c>
      <c r="N3" s="7">
        <f>$B3 * IFERROR(VLOOKUP("electricity|NOx|Infant mortality", US_national_yearly!$D:$AM, 22, FALSE) / VLOOKUP("electricity|NOx|Infant mortality", US_national_yearly!$D:$AM, 10, FALSE), 1)</f>
        <v>9.8535664875936143E-7</v>
      </c>
      <c r="O3" s="7">
        <f>$B3 * IFERROR(VLOOKUP("electricity|NOx|Infant mortality", US_national_yearly!$D:$AM, 23, FALSE) / VLOOKUP("electricity|NOx|Infant mortality", US_national_yearly!$D:$AM, 10, FALSE), 1)</f>
        <v>9.8033757514734392E-7</v>
      </c>
      <c r="P3" s="7">
        <f>$B3 * IFERROR(VLOOKUP("electricity|NOx|Infant mortality", US_national_yearly!$D:$AM, 24, FALSE) / VLOOKUP("electricity|NOx|Infant mortality", US_national_yearly!$D:$AM, 10, FALSE), 1)</f>
        <v>9.753185015353264E-7</v>
      </c>
      <c r="Q3" s="7">
        <f>$B3 * IFERROR(VLOOKUP("electricity|NOx|Infant mortality", US_national_yearly!$D:$AM, 25, FALSE) / VLOOKUP("electricity|NOx|Infant mortality", US_national_yearly!$D:$AM, 10, FALSE), 1)</f>
        <v>9.7029942792330889E-7</v>
      </c>
      <c r="R3" s="7">
        <f>$B3 * IFERROR(VLOOKUP("electricity|NOx|Infant mortality", US_national_yearly!$D:$AM, 26, FALSE) / VLOOKUP("electricity|NOx|Infant mortality", US_national_yearly!$D:$AM, 10, FALSE), 1)</f>
        <v>9.6528035431129137E-7</v>
      </c>
      <c r="S3" s="7">
        <f>$B3 * IFERROR(VLOOKUP("electricity|NOx|Infant mortality", US_national_yearly!$D:$AM, 27, FALSE) / VLOOKUP("electricity|NOx|Infant mortality", US_national_yearly!$D:$AM, 10, FALSE), 1)</f>
        <v>9.5932183988990233E-7</v>
      </c>
      <c r="T3" s="7">
        <f>$B3 * IFERROR(VLOOKUP("electricity|NOx|Infant mortality", US_national_yearly!$D:$AM, 28, FALSE) / VLOOKUP("electricity|NOx|Infant mortality", US_national_yearly!$D:$AM, 10, FALSE), 1)</f>
        <v>9.5336332546851319E-7</v>
      </c>
      <c r="U3" s="7">
        <f>$B3 * IFERROR(VLOOKUP("electricity|NOx|Infant mortality", US_national_yearly!$D:$AM, 29, FALSE) / VLOOKUP("electricity|NOx|Infant mortality", US_national_yearly!$D:$AM, 10, FALSE), 1)</f>
        <v>9.4740481104712426E-7</v>
      </c>
      <c r="V3" s="7">
        <f>$B3 * IFERROR(VLOOKUP("electricity|NOx|Infant mortality", US_national_yearly!$D:$AM, 30, FALSE) / VLOOKUP("electricity|NOx|Infant mortality", US_national_yearly!$D:$AM, 10, FALSE), 1)</f>
        <v>9.4144629662573533E-7</v>
      </c>
      <c r="W3" s="7">
        <f>$B3 * IFERROR(VLOOKUP("electricity|NOx|Infant mortality", US_national_yearly!$D:$AM, 31, FALSE) / VLOOKUP("electricity|NOx|Infant mortality", US_national_yearly!$D:$AM, 10, FALSE), 1)</f>
        <v>9.3548778220434619E-7</v>
      </c>
      <c r="X3" s="7">
        <f>$B3 * IFERROR(VLOOKUP("electricity|NOx|Infant mortality", US_national_yearly!$D:$AM, 32, FALSE) / VLOOKUP("electricity|NOx|Infant mortality", US_national_yearly!$D:$AM, 10, FALSE), 1)</f>
        <v>9.293524526087352E-7</v>
      </c>
      <c r="Y3" s="7">
        <f>$B3 * IFERROR(VLOOKUP("electricity|NOx|Infant mortality", US_national_yearly!$D:$AM, 33, FALSE) / VLOOKUP("electricity|NOx|Infant mortality", US_national_yearly!$D:$AM, 10, FALSE), 1)</f>
        <v>9.2321712301312411E-7</v>
      </c>
      <c r="Z3" s="7">
        <f>$B3 * IFERROR(VLOOKUP("electricity|NOx|Infant mortality", US_national_yearly!$D:$AM, 34, FALSE) / VLOOKUP("electricity|NOx|Infant mortality", US_national_yearly!$D:$AM, 10, FALSE), 1)</f>
        <v>9.1708179341751312E-7</v>
      </c>
      <c r="AA3" s="7">
        <f>$B3 * IFERROR(VLOOKUP("electricity|NOx|Infant mortality", US_national_yearly!$D:$AM, 35, FALSE) / VLOOKUP("electricity|NOx|Infant mortality", US_national_yearly!$D:$AM, 10, FALSE), 1)</f>
        <v>9.1094646382190214E-7</v>
      </c>
      <c r="AB3" s="7">
        <f>$B3 * IFERROR(VLOOKUP("electricity|NOx|Infant mortality", US_national_yearly!$D:$AM, 36, FALSE) / VLOOKUP("electricity|NOx|Infant mortality", US_national_yearly!$D:$AM, 10, FALSE), 1)</f>
        <v>9.0481113422629094E-7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3.0329214728723676E-3</v>
      </c>
      <c r="C6" s="7">
        <f>$B6 * IFERROR(VLOOKUP("electricity|NOx|Asthma symptoms cough", US_national_yearly!$D:$AM, 11, FALSE) / VLOOKUP("electricity|NOx|Asthma symptoms cough", US_national_yearly!$D:$AM, 10, FALSE), 1)</f>
        <v>3.0745596357539457E-3</v>
      </c>
      <c r="D6" s="7">
        <f>$B6 * IFERROR(VLOOKUP("electricity|NOx|Asthma symptoms cough", US_national_yearly!$D:$AM, 12, FALSE) / VLOOKUP("electricity|NOx|Asthma symptoms cough", US_national_yearly!$D:$AM, 10, FALSE), 1)</f>
        <v>3.1161977986355247E-3</v>
      </c>
      <c r="E6" s="7">
        <f>$B6 * IFERROR(VLOOKUP("electricity|NOx|Asthma symptoms cough", US_national_yearly!$D:$AM, 13, FALSE) / VLOOKUP("electricity|NOx|Asthma symptoms cough", US_national_yearly!$D:$AM, 10, FALSE), 1)</f>
        <v>3.1578359615171028E-3</v>
      </c>
      <c r="F6" s="7">
        <f>$B6 * IFERROR(VLOOKUP("electricity|NOx|Asthma symptoms cough", US_national_yearly!$D:$AM, 14, FALSE) / VLOOKUP("electricity|NOx|Asthma symptoms cough", US_national_yearly!$D:$AM, 10, FALSE), 1)</f>
        <v>3.1994741243986809E-3</v>
      </c>
      <c r="G6" s="7">
        <f>$B6 * IFERROR(VLOOKUP("electricity|NOx|Asthma symptoms cough", US_national_yearly!$D:$AM, 15, FALSE) / VLOOKUP("electricity|NOx|Asthma symptoms cough", US_national_yearly!$D:$AM, 10, FALSE), 1)</f>
        <v>3.233328158570093E-3</v>
      </c>
      <c r="H6" s="7">
        <f>$B6 * IFERROR(VLOOKUP("electricity|NOx|Asthma symptoms cough", US_national_yearly!$D:$AM, 16, FALSE) / VLOOKUP("electricity|NOx|Asthma symptoms cough", US_national_yearly!$D:$AM, 10, FALSE), 1)</f>
        <v>3.267182192741505E-3</v>
      </c>
      <c r="I6" s="7">
        <f>$B6 * IFERROR(VLOOKUP("electricity|NOx|Asthma symptoms cough", US_national_yearly!$D:$AM, 17, FALSE) / VLOOKUP("electricity|NOx|Asthma symptoms cough", US_national_yearly!$D:$AM, 10, FALSE), 1)</f>
        <v>3.2797670251348376E-3</v>
      </c>
      <c r="J6" s="7">
        <f>$B6 * IFERROR(VLOOKUP("electricity|NOx|Asthma symptoms cough", US_national_yearly!$D:$AM, 18, FALSE) / VLOOKUP("electricity|NOx|Asthma symptoms cough", US_national_yearly!$D:$AM, 10, FALSE), 1)</f>
        <v>3.2923518575281702E-3</v>
      </c>
      <c r="K6" s="7">
        <f>$B6 * IFERROR(VLOOKUP("electricity|NOx|Asthma symptoms cough", US_national_yearly!$D:$AM, 19, FALSE) / VLOOKUP("electricity|NOx|Asthma symptoms cough", US_national_yearly!$D:$AM, 10, FALSE), 1)</f>
        <v>3.3049366899215032E-3</v>
      </c>
      <c r="L6" s="7">
        <f>$B6 * IFERROR(VLOOKUP("electricity|NOx|Asthma symptoms cough", US_national_yearly!$D:$AM, 20, FALSE) / VLOOKUP("electricity|NOx|Asthma symptoms cough", US_national_yearly!$D:$AM, 10, FALSE), 1)</f>
        <v>3.3175215223148358E-3</v>
      </c>
      <c r="M6" s="7">
        <f>$B6 * IFERROR(VLOOKUP("electricity|NOx|Asthma symptoms cough", US_national_yearly!$D:$AM, 21, FALSE) / VLOOKUP("electricity|NOx|Asthma symptoms cough", US_national_yearly!$D:$AM, 10, FALSE), 1)</f>
        <v>3.3301063547081693E-3</v>
      </c>
      <c r="N6" s="7">
        <f>$B6 * IFERROR(VLOOKUP("electricity|NOx|Asthma symptoms cough", US_national_yearly!$D:$AM, 22, FALSE) / VLOOKUP("electricity|NOx|Asthma symptoms cough", US_national_yearly!$D:$AM, 10, FALSE), 1)</f>
        <v>3.3440502441742861E-3</v>
      </c>
      <c r="O6" s="7">
        <f>$B6 * IFERROR(VLOOKUP("electricity|NOx|Asthma symptoms cough", US_national_yearly!$D:$AM, 23, FALSE) / VLOOKUP("electricity|NOx|Asthma symptoms cough", US_national_yearly!$D:$AM, 10, FALSE), 1)</f>
        <v>3.3579941336404034E-3</v>
      </c>
      <c r="P6" s="7">
        <f>$B6 * IFERROR(VLOOKUP("electricity|NOx|Asthma symptoms cough", US_national_yearly!$D:$AM, 24, FALSE) / VLOOKUP("electricity|NOx|Asthma symptoms cough", US_national_yearly!$D:$AM, 10, FALSE), 1)</f>
        <v>3.3719380231065207E-3</v>
      </c>
      <c r="Q6" s="7">
        <f>$B6 * IFERROR(VLOOKUP("electricity|NOx|Asthma symptoms cough", US_national_yearly!$D:$AM, 25, FALSE) / VLOOKUP("electricity|NOx|Asthma symptoms cough", US_national_yearly!$D:$AM, 10, FALSE), 1)</f>
        <v>3.385881912572638E-3</v>
      </c>
      <c r="R6" s="7">
        <f>$B6 * IFERROR(VLOOKUP("electricity|NOx|Asthma symptoms cough", US_national_yearly!$D:$AM, 26, FALSE) / VLOOKUP("electricity|NOx|Asthma symptoms cough", US_national_yearly!$D:$AM, 10, FALSE), 1)</f>
        <v>3.3998258020387548E-3</v>
      </c>
      <c r="S6" s="7">
        <f>$B6 * IFERROR(VLOOKUP("electricity|NOx|Asthma symptoms cough", US_national_yearly!$D:$AM, 27, FALSE) / VLOOKUP("electricity|NOx|Asthma symptoms cough", US_national_yearly!$D:$AM, 10, FALSE), 1)</f>
        <v>3.4172220882112293E-3</v>
      </c>
      <c r="T6" s="7">
        <f>$B6 * IFERROR(VLOOKUP("electricity|NOx|Asthma symptoms cough", US_national_yearly!$D:$AM, 28, FALSE) / VLOOKUP("electricity|NOx|Asthma symptoms cough", US_national_yearly!$D:$AM, 10, FALSE), 1)</f>
        <v>3.4346183743837028E-3</v>
      </c>
      <c r="U6" s="7">
        <f>$B6 * IFERROR(VLOOKUP("electricity|NOx|Asthma symptoms cough", US_national_yearly!$D:$AM, 29, FALSE) / VLOOKUP("electricity|NOx|Asthma symptoms cough", US_national_yearly!$D:$AM, 10, FALSE), 1)</f>
        <v>3.4520146605561777E-3</v>
      </c>
      <c r="V6" s="7">
        <f>$B6 * IFERROR(VLOOKUP("electricity|NOx|Asthma symptoms cough", US_national_yearly!$D:$AM, 30, FALSE) / VLOOKUP("electricity|NOx|Asthma symptoms cough", US_national_yearly!$D:$AM, 10, FALSE), 1)</f>
        <v>3.4694109467286512E-3</v>
      </c>
      <c r="W6" s="7">
        <f>$B6 * IFERROR(VLOOKUP("electricity|NOx|Asthma symptoms cough", US_national_yearly!$D:$AM, 31, FALSE) / VLOOKUP("electricity|NOx|Asthma symptoms cough", US_national_yearly!$D:$AM, 10, FALSE), 1)</f>
        <v>3.4868072329011252E-3</v>
      </c>
      <c r="X6" s="7">
        <f>$B6 * IFERROR(VLOOKUP("electricity|NOx|Asthma symptoms cough", US_national_yearly!$D:$AM, 32, FALSE) / VLOOKUP("electricity|NOx|Asthma symptoms cough", US_national_yearly!$D:$AM, 10, FALSE), 1)</f>
        <v>3.5028345474750751E-3</v>
      </c>
      <c r="Y6" s="7">
        <f>$B6 * IFERROR(VLOOKUP("electricity|NOx|Asthma symptoms cough", US_national_yearly!$D:$AM, 33, FALSE) / VLOOKUP("electricity|NOx|Asthma symptoms cough", US_national_yearly!$D:$AM, 10, FALSE), 1)</f>
        <v>3.5188618620490253E-3</v>
      </c>
      <c r="Z6" s="7">
        <f>$B6 * IFERROR(VLOOKUP("electricity|NOx|Asthma symptoms cough", US_national_yearly!$D:$AM, 34, FALSE) / VLOOKUP("electricity|NOx|Asthma symptoms cough", US_national_yearly!$D:$AM, 10, FALSE), 1)</f>
        <v>3.5348891766229761E-3</v>
      </c>
      <c r="AA6" s="7">
        <f>$B6 * IFERROR(VLOOKUP("electricity|NOx|Asthma symptoms cough", US_national_yearly!$D:$AM, 35, FALSE) / VLOOKUP("electricity|NOx|Asthma symptoms cough", US_national_yearly!$D:$AM, 10, FALSE), 1)</f>
        <v>3.5509164911969259E-3</v>
      </c>
      <c r="AB6" s="7">
        <f>$B6 * IFERROR(VLOOKUP("electricity|NOx|Asthma symptoms cough", US_national_yearly!$D:$AM, 36, FALSE) / VLOOKUP("electricity|NOx|Asthma symptoms cough", US_national_yearly!$D:$AM, 10, FALSE), 1)</f>
        <v>3.5669438057708762E-3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4.08420501255948E-3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4.1402759642008447E-3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4.1963469158422103E-3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4.2524178674835751E-3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4.308488819124939E-3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4.3540774757587948E-3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4.3996661323926498E-3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4.4166131702612719E-3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4.4335602081298931E-3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4.4505072459985152E-3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4.4674542838671356E-3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4.4844013217357577E-3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4.5031784985684643E-3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4.5219556754011727E-3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4.5407328522338794E-3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4.5595100290665878E-3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4.5782872058992945E-3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4.6017134632090452E-3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4.6251397205187943E-3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4.648565977828545E-3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4.6719922351382949E-3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4.6954184924480448E-3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4.7170012596688769E-3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4.7385840268897098E-3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4.7601667941105418E-3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4.7817495613313738E-3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4.8033323285522067E-3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6.2402007092831752E-3</v>
      </c>
      <c r="C8" s="7">
        <f>$B8 * IFERROR(VLOOKUP("electricity|NOx|Asthma symptoms wheeze", US_national_yearly!$D:$AM, 11, FALSE) / VLOOKUP("electricity|NOx|Asthma symptoms wheeze", US_national_yearly!$D:$AM, 10, FALSE), 1)</f>
        <v>6.3258707458480716E-3</v>
      </c>
      <c r="D8" s="7">
        <f>$B8 * IFERROR(VLOOKUP("electricity|NOx|Asthma symptoms wheeze", US_national_yearly!$D:$AM, 12, FALSE) / VLOOKUP("electricity|NOx|Asthma symptoms wheeze", US_national_yearly!$D:$AM, 10, FALSE), 1)</f>
        <v>6.4115407824129689E-3</v>
      </c>
      <c r="E8" s="7">
        <f>$B8 * IFERROR(VLOOKUP("electricity|NOx|Asthma symptoms wheeze", US_national_yearly!$D:$AM, 13, FALSE) / VLOOKUP("electricity|NOx|Asthma symptoms wheeze", US_national_yearly!$D:$AM, 10, FALSE), 1)</f>
        <v>6.4972108189778654E-3</v>
      </c>
      <c r="F8" s="7">
        <f>$B8 * IFERROR(VLOOKUP("electricity|NOx|Asthma symptoms wheeze", US_national_yearly!$D:$AM, 14, FALSE) / VLOOKUP("electricity|NOx|Asthma symptoms wheeze", US_national_yearly!$D:$AM, 10, FALSE), 1)</f>
        <v>6.5828808555427635E-3</v>
      </c>
      <c r="G8" s="7">
        <f>$B8 * IFERROR(VLOOKUP("electricity|NOx|Asthma symptoms wheeze", US_national_yearly!$D:$AM, 15, FALSE) / VLOOKUP("electricity|NOx|Asthma symptoms wheeze", US_national_yearly!$D:$AM, 10, FALSE), 1)</f>
        <v>6.6525351376718481E-3</v>
      </c>
      <c r="H8" s="7">
        <f>$B8 * IFERROR(VLOOKUP("electricity|NOx|Asthma symptoms wheeze", US_national_yearly!$D:$AM, 16, FALSE) / VLOOKUP("electricity|NOx|Asthma symptoms wheeze", US_national_yearly!$D:$AM, 10, FALSE), 1)</f>
        <v>6.7221894198009335E-3</v>
      </c>
      <c r="I8" s="7">
        <f>$B8 * IFERROR(VLOOKUP("electricity|NOx|Asthma symptoms wheeze", US_national_yearly!$D:$AM, 17, FALSE) / VLOOKUP("electricity|NOx|Asthma symptoms wheeze", US_national_yearly!$D:$AM, 10, FALSE), 1)</f>
        <v>6.7480825662552509E-3</v>
      </c>
      <c r="J8" s="7">
        <f>$B8 * IFERROR(VLOOKUP("electricity|NOx|Asthma symptoms wheeze", US_national_yearly!$D:$AM, 18, FALSE) / VLOOKUP("electricity|NOx|Asthma symptoms wheeze", US_national_yearly!$D:$AM, 10, FALSE), 1)</f>
        <v>6.7739757127095691E-3</v>
      </c>
      <c r="K8" s="7">
        <f>$B8 * IFERROR(VLOOKUP("electricity|NOx|Asthma symptoms wheeze", US_national_yearly!$D:$AM, 19, FALSE) / VLOOKUP("electricity|NOx|Asthma symptoms wheeze", US_national_yearly!$D:$AM, 10, FALSE), 1)</f>
        <v>6.799868859163889E-3</v>
      </c>
      <c r="L8" s="7">
        <f>$B8 * IFERROR(VLOOKUP("electricity|NOx|Asthma symptoms wheeze", US_national_yearly!$D:$AM, 20, FALSE) / VLOOKUP("electricity|NOx|Asthma symptoms wheeze", US_national_yearly!$D:$AM, 10, FALSE), 1)</f>
        <v>6.8257620056182064E-3</v>
      </c>
      <c r="M8" s="7">
        <f>$B8 * IFERROR(VLOOKUP("electricity|NOx|Asthma symptoms wheeze", US_national_yearly!$D:$AM, 21, FALSE) / VLOOKUP("electricity|NOx|Asthma symptoms wheeze", US_national_yearly!$D:$AM, 10, FALSE), 1)</f>
        <v>6.8516551520725237E-3</v>
      </c>
      <c r="N8" s="7">
        <f>$B8 * IFERROR(VLOOKUP("electricity|NOx|Asthma symptoms wheeze", US_national_yearly!$D:$AM, 22, FALSE) / VLOOKUP("electricity|NOx|Asthma symptoms wheeze", US_national_yearly!$D:$AM, 10, FALSE), 1)</f>
        <v>6.8803445426694953E-3</v>
      </c>
      <c r="O8" s="7">
        <f>$B8 * IFERROR(VLOOKUP("electricity|NOx|Asthma symptoms wheeze", US_national_yearly!$D:$AM, 23, FALSE) / VLOOKUP("electricity|NOx|Asthma symptoms wheeze", US_national_yearly!$D:$AM, 10, FALSE), 1)</f>
        <v>6.9090339332664678E-3</v>
      </c>
      <c r="P8" s="7">
        <f>$B8 * IFERROR(VLOOKUP("electricity|NOx|Asthma symptoms wheeze", US_national_yearly!$D:$AM, 24, FALSE) / VLOOKUP("electricity|NOx|Asthma symptoms wheeze", US_national_yearly!$D:$AM, 10, FALSE), 1)</f>
        <v>6.9377233238634411E-3</v>
      </c>
      <c r="Q8" s="7">
        <f>$B8 * IFERROR(VLOOKUP("electricity|NOx|Asthma symptoms wheeze", US_national_yearly!$D:$AM, 25, FALSE) / VLOOKUP("electricity|NOx|Asthma symptoms wheeze", US_national_yearly!$D:$AM, 10, FALSE), 1)</f>
        <v>6.9664127144604127E-3</v>
      </c>
      <c r="R8" s="7">
        <f>$B8 * IFERROR(VLOOKUP("electricity|NOx|Asthma symptoms wheeze", US_national_yearly!$D:$AM, 26, FALSE) / VLOOKUP("electricity|NOx|Asthma symptoms wheeze", US_national_yearly!$D:$AM, 10, FALSE), 1)</f>
        <v>6.9951021050573842E-3</v>
      </c>
      <c r="S8" s="7">
        <f>$B8 * IFERROR(VLOOKUP("electricity|NOx|Asthma symptoms wheeze", US_national_yearly!$D:$AM, 27, FALSE) / VLOOKUP("electricity|NOx|Asthma symptoms wheeze", US_national_yearly!$D:$AM, 10, FALSE), 1)</f>
        <v>7.0308947617833996E-3</v>
      </c>
      <c r="T8" s="7">
        <f>$B8 * IFERROR(VLOOKUP("electricity|NOx|Asthma symptoms wheeze", US_national_yearly!$D:$AM, 28, FALSE) / VLOOKUP("electricity|NOx|Asthma symptoms wheeze", US_national_yearly!$D:$AM, 10, FALSE), 1)</f>
        <v>7.0666874185094149E-3</v>
      </c>
      <c r="U8" s="7">
        <f>$B8 * IFERROR(VLOOKUP("electricity|NOx|Asthma symptoms wheeze", US_national_yearly!$D:$AM, 29, FALSE) / VLOOKUP("electricity|NOx|Asthma symptoms wheeze", US_national_yearly!$D:$AM, 10, FALSE), 1)</f>
        <v>7.1024800752354294E-3</v>
      </c>
      <c r="V8" s="7">
        <f>$B8 * IFERROR(VLOOKUP("electricity|NOx|Asthma symptoms wheeze", US_national_yearly!$D:$AM, 30, FALSE) / VLOOKUP("electricity|NOx|Asthma symptoms wheeze", US_national_yearly!$D:$AM, 10, FALSE), 1)</f>
        <v>7.1382727319614448E-3</v>
      </c>
      <c r="W8" s="7">
        <f>$B8 * IFERROR(VLOOKUP("electricity|NOx|Asthma symptoms wheeze", US_national_yearly!$D:$AM, 31, FALSE) / VLOOKUP("electricity|NOx|Asthma symptoms wheeze", US_national_yearly!$D:$AM, 10, FALSE), 1)</f>
        <v>7.1740653886874601E-3</v>
      </c>
      <c r="X8" s="7">
        <f>$B8 * IFERROR(VLOOKUP("electricity|NOx|Asthma symptoms wheeze", US_national_yearly!$D:$AM, 32, FALSE) / VLOOKUP("electricity|NOx|Asthma symptoms wheeze", US_national_yearly!$D:$AM, 10, FALSE), 1)</f>
        <v>7.2070414022459076E-3</v>
      </c>
      <c r="Y8" s="7">
        <f>$B8 * IFERROR(VLOOKUP("electricity|NOx|Asthma symptoms wheeze", US_national_yearly!$D:$AM, 33, FALSE) / VLOOKUP("electricity|NOx|Asthma symptoms wheeze", US_national_yearly!$D:$AM, 10, FALSE), 1)</f>
        <v>7.2400174158043559E-3</v>
      </c>
      <c r="Z8" s="7">
        <f>$B8 * IFERROR(VLOOKUP("electricity|NOx|Asthma symptoms wheeze", US_national_yearly!$D:$AM, 34, FALSE) / VLOOKUP("electricity|NOx|Asthma symptoms wheeze", US_national_yearly!$D:$AM, 10, FALSE), 1)</f>
        <v>7.2729934293628016E-3</v>
      </c>
      <c r="AA8" s="7">
        <f>$B8 * IFERROR(VLOOKUP("electricity|NOx|Asthma symptoms wheeze", US_national_yearly!$D:$AM, 35, FALSE) / VLOOKUP("electricity|NOx|Asthma symptoms wheeze", US_national_yearly!$D:$AM, 10, FALSE), 1)</f>
        <v>7.3059694429212499E-3</v>
      </c>
      <c r="AB8" s="7">
        <f>$B8 * IFERROR(VLOOKUP("electricity|NOx|Asthma symptoms wheeze", US_national_yearly!$D:$AM, 36, FALSE) / VLOOKUP("electricity|NOx|Asthma symptoms wheeze", US_national_yearly!$D:$AM, 10, FALSE), 1)</f>
        <v>7.3389454564796973E-3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9.4048673856466359E-5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9.6457417477521345E-5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9.8866161098576358E-5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1.0127490471963136E-4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1.0368364834068633E-4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1.0600243570869438E-4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1.0832122307670244E-4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1.1031518945031008E-4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1.1230915582391773E-4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1.1430312219752542E-4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1.1629708857113305E-4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1.1829105494474073E-4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1.1965754513899256E-4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1.210240353332444E-4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1.2239052552749625E-4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1.237570157217481E-4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1.2512350591599992E-4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1.2590176567702361E-4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1.2668002543804728E-4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1.2745828519907096E-4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1.2823654496009463E-4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1.290148047211183E-4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1.2958086852821299E-4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1.3014693233530768E-4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1.307129961424024E-4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1.312790599494971E-4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1.3184512375659176E-4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5.593585814802932E-4</v>
      </c>
      <c r="C13" s="7">
        <f>$B13 * IFERROR(VLOOKUP("electricity|NOx|Non-fatal heart attacks", US_national_yearly!$D:$AM, 11, FALSE) / VLOOKUP("electricity|NOx|Non-fatal heart attacks", US_national_yearly!$D:$AM, 10, FALSE), 1)</f>
        <v>5.7541063176415395E-4</v>
      </c>
      <c r="D13" s="7">
        <f>$B13 * IFERROR(VLOOKUP("electricity|NOx|Non-fatal heart attacks", US_national_yearly!$D:$AM, 12, FALSE) / VLOOKUP("electricity|NOx|Non-fatal heart attacks", US_national_yearly!$D:$AM, 10, FALSE), 1)</f>
        <v>5.9146268204801459E-4</v>
      </c>
      <c r="E13" s="7">
        <f>$B13 * IFERROR(VLOOKUP("electricity|NOx|Non-fatal heart attacks", US_national_yearly!$D:$AM, 13, FALSE) / VLOOKUP("electricity|NOx|Non-fatal heart attacks", US_national_yearly!$D:$AM, 10, FALSE), 1)</f>
        <v>6.0751473233187534E-4</v>
      </c>
      <c r="F13" s="7">
        <f>$B13 * IFERROR(VLOOKUP("electricity|NOx|Non-fatal heart attacks", US_national_yearly!$D:$AM, 14, FALSE) / VLOOKUP("electricity|NOx|Non-fatal heart attacks", US_national_yearly!$D:$AM, 10, FALSE), 1)</f>
        <v>6.235667826157362E-4</v>
      </c>
      <c r="G13" s="7">
        <f>$B13 * IFERROR(VLOOKUP("electricity|NOx|Non-fatal heart attacks", US_national_yearly!$D:$AM, 15, FALSE) / VLOOKUP("electricity|NOx|Non-fatal heart attacks", US_national_yearly!$D:$AM, 10, FALSE), 1)</f>
        <v>6.3868842987374792E-4</v>
      </c>
      <c r="H13" s="7">
        <f>$B13 * IFERROR(VLOOKUP("electricity|NOx|Non-fatal heart attacks", US_national_yearly!$D:$AM, 16, FALSE) / VLOOKUP("electricity|NOx|Non-fatal heart attacks", US_national_yearly!$D:$AM, 10, FALSE), 1)</f>
        <v>6.5381007713175975E-4</v>
      </c>
      <c r="I13" s="7">
        <f>$B13 * IFERROR(VLOOKUP("electricity|NOx|Non-fatal heart attacks", US_national_yearly!$D:$AM, 17, FALSE) / VLOOKUP("electricity|NOx|Non-fatal heart attacks", US_national_yearly!$D:$AM, 10, FALSE), 1)</f>
        <v>6.6593610838598975E-4</v>
      </c>
      <c r="J13" s="7">
        <f>$B13 * IFERROR(VLOOKUP("electricity|NOx|Non-fatal heart attacks", US_national_yearly!$D:$AM, 18, FALSE) / VLOOKUP("electricity|NOx|Non-fatal heart attacks", US_national_yearly!$D:$AM, 10, FALSE), 1)</f>
        <v>6.7806213964021974E-4</v>
      </c>
      <c r="K13" s="7">
        <f>$B13 * IFERROR(VLOOKUP("electricity|NOx|Non-fatal heart attacks", US_national_yearly!$D:$AM, 19, FALSE) / VLOOKUP("electricity|NOx|Non-fatal heart attacks", US_national_yearly!$D:$AM, 10, FALSE), 1)</f>
        <v>6.9018817089444909E-4</v>
      </c>
      <c r="L13" s="7">
        <f>$B13 * IFERROR(VLOOKUP("electricity|NOx|Non-fatal heart attacks", US_national_yearly!$D:$AM, 20, FALSE) / VLOOKUP("electricity|NOx|Non-fatal heart attacks", US_national_yearly!$D:$AM, 10, FALSE), 1)</f>
        <v>7.0231420214867909E-4</v>
      </c>
      <c r="M13" s="7">
        <f>$B13 * IFERROR(VLOOKUP("electricity|NOx|Non-fatal heart attacks", US_national_yearly!$D:$AM, 21, FALSE) / VLOOKUP("electricity|NOx|Non-fatal heart attacks", US_national_yearly!$D:$AM, 10, FALSE), 1)</f>
        <v>7.1444023340290919E-4</v>
      </c>
      <c r="N13" s="7">
        <f>$B13 * IFERROR(VLOOKUP("electricity|NOx|Non-fatal heart attacks", US_national_yearly!$D:$AM, 22, FALSE) / VLOOKUP("electricity|NOx|Non-fatal heart attacks", US_national_yearly!$D:$AM, 10, FALSE), 1)</f>
        <v>7.219186088253842E-4</v>
      </c>
      <c r="O13" s="7">
        <f>$B13 * IFERROR(VLOOKUP("electricity|NOx|Non-fatal heart attacks", US_national_yearly!$D:$AM, 23, FALSE) / VLOOKUP("electricity|NOx|Non-fatal heart attacks", US_national_yearly!$D:$AM, 10, FALSE), 1)</f>
        <v>7.2939698424785953E-4</v>
      </c>
      <c r="P13" s="7">
        <f>$B13 * IFERROR(VLOOKUP("electricity|NOx|Non-fatal heart attacks", US_national_yearly!$D:$AM, 24, FALSE) / VLOOKUP("electricity|NOx|Non-fatal heart attacks", US_national_yearly!$D:$AM, 10, FALSE), 1)</f>
        <v>7.3687535967033465E-4</v>
      </c>
      <c r="Q13" s="7">
        <f>$B13 * IFERROR(VLOOKUP("electricity|NOx|Non-fatal heart attacks", US_national_yearly!$D:$AM, 25, FALSE) / VLOOKUP("electricity|NOx|Non-fatal heart attacks", US_national_yearly!$D:$AM, 10, FALSE), 1)</f>
        <v>7.4435373509280976E-4</v>
      </c>
      <c r="R13" s="7">
        <f>$B13 * IFERROR(VLOOKUP("electricity|NOx|Non-fatal heart attacks", US_national_yearly!$D:$AM, 26, FALSE) / VLOOKUP("electricity|NOx|Non-fatal heart attacks", US_national_yearly!$D:$AM, 10, FALSE), 1)</f>
        <v>7.5183211051528488E-4</v>
      </c>
      <c r="S13" s="7">
        <f>$B13 * IFERROR(VLOOKUP("electricity|NOx|Non-fatal heart attacks", US_national_yearly!$D:$AM, 27, FALSE) / VLOOKUP("electricity|NOx|Non-fatal heart attacks", US_national_yearly!$D:$AM, 10, FALSE), 1)</f>
        <v>7.5548601983237075E-4</v>
      </c>
      <c r="T13" s="7">
        <f>$B13 * IFERROR(VLOOKUP("electricity|NOx|Non-fatal heart attacks", US_national_yearly!$D:$AM, 28, FALSE) / VLOOKUP("electricity|NOx|Non-fatal heart attacks", US_national_yearly!$D:$AM, 10, FALSE), 1)</f>
        <v>7.5913992914945641E-4</v>
      </c>
      <c r="U13" s="7">
        <f>$B13 * IFERROR(VLOOKUP("electricity|NOx|Non-fatal heart attacks", US_national_yearly!$D:$AM, 29, FALSE) / VLOOKUP("electricity|NOx|Non-fatal heart attacks", US_national_yearly!$D:$AM, 10, FALSE), 1)</f>
        <v>7.627938384665424E-4</v>
      </c>
      <c r="V13" s="7">
        <f>$B13 * IFERROR(VLOOKUP("electricity|NOx|Non-fatal heart attacks", US_national_yearly!$D:$AM, 30, FALSE) / VLOOKUP("electricity|NOx|Non-fatal heart attacks", US_national_yearly!$D:$AM, 10, FALSE), 1)</f>
        <v>7.6644774778362806E-4</v>
      </c>
      <c r="W13" s="7">
        <f>$B13 * IFERROR(VLOOKUP("electricity|NOx|Non-fatal heart attacks", US_national_yearly!$D:$AM, 31, FALSE) / VLOOKUP("electricity|NOx|Non-fatal heart attacks", US_national_yearly!$D:$AM, 10, FALSE), 1)</f>
        <v>7.7010165710071404E-4</v>
      </c>
      <c r="X13" s="7">
        <f>$B13 * IFERROR(VLOOKUP("electricity|NOx|Non-fatal heart attacks", US_national_yearly!$D:$AM, 32, FALSE) / VLOOKUP("electricity|NOx|Non-fatal heart attacks", US_national_yearly!$D:$AM, 10, FALSE), 1)</f>
        <v>7.7265198870093618E-4</v>
      </c>
      <c r="Y13" s="7">
        <f>$B13 * IFERROR(VLOOKUP("electricity|NOx|Non-fatal heart attacks", US_national_yearly!$D:$AM, 33, FALSE) / VLOOKUP("electricity|NOx|Non-fatal heart attacks", US_national_yearly!$D:$AM, 10, FALSE), 1)</f>
        <v>7.7520232030115865E-4</v>
      </c>
      <c r="Z13" s="7">
        <f>$B13 * IFERROR(VLOOKUP("electricity|NOx|Non-fatal heart attacks", US_national_yearly!$D:$AM, 34, FALSE) / VLOOKUP("electricity|NOx|Non-fatal heart attacks", US_national_yearly!$D:$AM, 10, FALSE), 1)</f>
        <v>7.777526519013809E-4</v>
      </c>
      <c r="AA13" s="7">
        <f>$B13 * IFERROR(VLOOKUP("electricity|NOx|Non-fatal heart attacks", US_national_yearly!$D:$AM, 35, FALSE) / VLOOKUP("electricity|NOx|Non-fatal heart attacks", US_national_yearly!$D:$AM, 10, FALSE), 1)</f>
        <v>7.8030298350160315E-4</v>
      </c>
      <c r="AB13" s="7">
        <f>$B13 * IFERROR(VLOOKUP("electricity|NOx|Non-fatal heart attacks", US_national_yearly!$D:$AM, 36, FALSE) / VLOOKUP("electricity|NOx|Non-fatal heart attacks", US_national_yearly!$D:$AM, 10, FALSE), 1)</f>
        <v>7.8285331510182562E-4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0.3760435629708902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0.3766201198584101</v>
      </c>
      <c r="D14" s="7">
        <f>$B14 * IFERROR(VLOOKUP("electricity|NOx|Minor restricted activity days", US_national_yearly!$D:$AM, 12, FALSE) / VLOOKUP("electricity|NOx|Minor restricted activity days", US_national_yearly!$D:$AM, 10, FALSE), 1)</f>
        <v>0.37719667674592994</v>
      </c>
      <c r="E14" s="7">
        <f>$B14 * IFERROR(VLOOKUP("electricity|NOx|Minor restricted activity days", US_national_yearly!$D:$AM, 13, FALSE) / VLOOKUP("electricity|NOx|Minor restricted activity days", US_national_yearly!$D:$AM, 10, FALSE), 1)</f>
        <v>0.37777323363344983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0.37834979052096979</v>
      </c>
      <c r="G14" s="7">
        <f>$B14 * IFERROR(VLOOKUP("electricity|NOx|Minor restricted activity days", US_national_yearly!$D:$AM, 15, FALSE) / VLOOKUP("electricity|NOx|Minor restricted activity days", US_national_yearly!$D:$AM, 10, FALSE), 1)</f>
        <v>0.3793555072150232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0.38036122390907651</v>
      </c>
      <c r="I14" s="7">
        <f>$B14 * IFERROR(VLOOKUP("electricity|NOx|Minor restricted activity days", US_national_yearly!$D:$AM, 17, FALSE) / VLOOKUP("electricity|NOx|Minor restricted activity days", US_national_yearly!$D:$AM, 10, FALSE), 1)</f>
        <v>0.38235102757739775</v>
      </c>
      <c r="J14" s="7">
        <f>$B14 * IFERROR(VLOOKUP("electricity|NOx|Minor restricted activity days", US_national_yearly!$D:$AM, 18, FALSE) / VLOOKUP("electricity|NOx|Minor restricted activity days", US_national_yearly!$D:$AM, 10, FALSE), 1)</f>
        <v>0.38434083124571888</v>
      </c>
      <c r="K14" s="7">
        <f>$B14 * IFERROR(VLOOKUP("electricity|NOx|Minor restricted activity days", US_national_yearly!$D:$AM, 19, FALSE) / VLOOKUP("electricity|NOx|Minor restricted activity days", US_national_yearly!$D:$AM, 10, FALSE), 1)</f>
        <v>0.38633063491404013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0.3883204385823612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0.39031024225068245</v>
      </c>
      <c r="N14" s="7">
        <f>$B14 * IFERROR(VLOOKUP("electricity|NOx|Minor restricted activity days", US_national_yearly!$D:$AM, 22, FALSE) / VLOOKUP("electricity|NOx|Minor restricted activity days", US_national_yearly!$D:$AM, 10, FALSE), 1)</f>
        <v>0.39318766553908213</v>
      </c>
      <c r="O14" s="7">
        <f>$B14 * IFERROR(VLOOKUP("electricity|NOx|Minor restricted activity days", US_national_yearly!$D:$AM, 23, FALSE) / VLOOKUP("electricity|NOx|Minor restricted activity days", US_national_yearly!$D:$AM, 10, FALSE), 1)</f>
        <v>0.39606508882748165</v>
      </c>
      <c r="P14" s="7">
        <f>$B14 * IFERROR(VLOOKUP("electricity|NOx|Minor restricted activity days", US_national_yearly!$D:$AM, 24, FALSE) / VLOOKUP("electricity|NOx|Minor restricted activity days", US_national_yearly!$D:$AM, 10, FALSE), 1)</f>
        <v>0.39894251211588122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0.40181993540428085</v>
      </c>
      <c r="R14" s="7">
        <f>$B14 * IFERROR(VLOOKUP("electricity|NOx|Minor restricted activity days", US_national_yearly!$D:$AM, 26, FALSE) / VLOOKUP("electricity|NOx|Minor restricted activity days", US_national_yearly!$D:$AM, 10, FALSE), 1)</f>
        <v>0.40469735869268048</v>
      </c>
      <c r="S14" s="7">
        <f>$B14 * IFERROR(VLOOKUP("electricity|NOx|Minor restricted activity days", US_national_yearly!$D:$AM, 27, FALSE) / VLOOKUP("electricity|NOx|Minor restricted activity days", US_national_yearly!$D:$AM, 10, FALSE), 1)</f>
        <v>0.4075965419837001</v>
      </c>
      <c r="T14" s="7">
        <f>$B14 * IFERROR(VLOOKUP("electricity|NOx|Minor restricted activity days", US_national_yearly!$D:$AM, 28, FALSE) / VLOOKUP("electricity|NOx|Minor restricted activity days", US_national_yearly!$D:$AM, 10, FALSE), 1)</f>
        <v>0.41049572527471972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0.41339490856573946</v>
      </c>
      <c r="V14" s="7">
        <f>$B14 * IFERROR(VLOOKUP("electricity|NOx|Minor restricted activity days", US_national_yearly!$D:$AM, 30, FALSE) / VLOOKUP("electricity|NOx|Minor restricted activity days", US_national_yearly!$D:$AM, 10, FALSE), 1)</f>
        <v>0.41629409185675909</v>
      </c>
      <c r="W14" s="7">
        <f>$B14 * IFERROR(VLOOKUP("electricity|NOx|Minor restricted activity days", US_national_yearly!$D:$AM, 31, FALSE) / VLOOKUP("electricity|NOx|Minor restricted activity days", US_national_yearly!$D:$AM, 10, FALSE), 1)</f>
        <v>0.41919327514777865</v>
      </c>
      <c r="X14" s="7">
        <f>$B14 * IFERROR(VLOOKUP("electricity|NOx|Minor restricted activity days", US_national_yearly!$D:$AM, 32, FALSE) / VLOOKUP("electricity|NOx|Minor restricted activity days", US_national_yearly!$D:$AM, 10, FALSE), 1)</f>
        <v>0.42164512503287493</v>
      </c>
      <c r="Y14" s="7">
        <f>$B14 * IFERROR(VLOOKUP("electricity|NOx|Minor restricted activity days", US_national_yearly!$D:$AM, 33, FALSE) / VLOOKUP("electricity|NOx|Minor restricted activity days", US_national_yearly!$D:$AM, 10, FALSE), 1)</f>
        <v>0.42409697491797088</v>
      </c>
      <c r="Z14" s="7">
        <f>$B14 * IFERROR(VLOOKUP("electricity|NOx|Minor restricted activity days", US_national_yearly!$D:$AM, 34, FALSE) / VLOOKUP("electricity|NOx|Minor restricted activity days", US_national_yearly!$D:$AM, 10, FALSE), 1)</f>
        <v>0.42654882480306744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0.42900067468816361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0.43145252457325972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6.3552238714165848E-2</v>
      </c>
      <c r="C15" s="7">
        <f>$B15 * IFERROR(VLOOKUP("electricity|NOx|Work loss days", US_national_yearly!$D:$AM, 11, FALSE) / VLOOKUP("electricity|NOx|Work loss days", US_national_yearly!$D:$AM, 10, FALSE), 1)</f>
        <v>6.3693982920091569E-2</v>
      </c>
      <c r="D15" s="7">
        <f>$B15 * IFERROR(VLOOKUP("electricity|NOx|Work loss days", US_national_yearly!$D:$AM, 12, FALSE) / VLOOKUP("electricity|NOx|Work loss days", US_national_yearly!$D:$AM, 10, FALSE), 1)</f>
        <v>6.3835727126017289E-2</v>
      </c>
      <c r="E15" s="7">
        <f>$B15 * IFERROR(VLOOKUP("electricity|NOx|Work loss days", US_national_yearly!$D:$AM, 13, FALSE) / VLOOKUP("electricity|NOx|Work loss days", US_national_yearly!$D:$AM, 10, FALSE), 1)</f>
        <v>6.3977471331943009E-2</v>
      </c>
      <c r="F15" s="7">
        <f>$B15 * IFERROR(VLOOKUP("electricity|NOx|Work loss days", US_national_yearly!$D:$AM, 14, FALSE) / VLOOKUP("electricity|NOx|Work loss days", US_national_yearly!$D:$AM, 10, FALSE), 1)</f>
        <v>6.4119215537868729E-2</v>
      </c>
      <c r="G15" s="7">
        <f>$B15 * IFERROR(VLOOKUP("electricity|NOx|Work loss days", US_national_yearly!$D:$AM, 15, FALSE) / VLOOKUP("electricity|NOx|Work loss days", US_national_yearly!$D:$AM, 10, FALSE), 1)</f>
        <v>6.4319042374522781E-2</v>
      </c>
      <c r="H15" s="7">
        <f>$B15 * IFERROR(VLOOKUP("electricity|NOx|Work loss days", US_national_yearly!$D:$AM, 16, FALSE) / VLOOKUP("electricity|NOx|Work loss days", US_national_yearly!$D:$AM, 10, FALSE), 1)</f>
        <v>6.4518869211176819E-2</v>
      </c>
      <c r="I15" s="7">
        <f>$B15 * IFERROR(VLOOKUP("electricity|NOx|Work loss days", US_national_yearly!$D:$AM, 17, FALSE) / VLOOKUP("electricity|NOx|Work loss days", US_national_yearly!$D:$AM, 10, FALSE), 1)</f>
        <v>6.4843334350880813E-2</v>
      </c>
      <c r="J15" s="7">
        <f>$B15 * IFERROR(VLOOKUP("electricity|NOx|Work loss days", US_national_yearly!$D:$AM, 18, FALSE) / VLOOKUP("electricity|NOx|Work loss days", US_national_yearly!$D:$AM, 10, FALSE), 1)</f>
        <v>6.5167799490584807E-2</v>
      </c>
      <c r="K15" s="7">
        <f>$B15 * IFERROR(VLOOKUP("electricity|NOx|Work loss days", US_national_yearly!$D:$AM, 19, FALSE) / VLOOKUP("electricity|NOx|Work loss days", US_national_yearly!$D:$AM, 10, FALSE), 1)</f>
        <v>6.5492264630288788E-2</v>
      </c>
      <c r="L15" s="7">
        <f>$B15 * IFERROR(VLOOKUP("electricity|NOx|Work loss days", US_national_yearly!$D:$AM, 20, FALSE) / VLOOKUP("electricity|NOx|Work loss days", US_national_yearly!$D:$AM, 10, FALSE), 1)</f>
        <v>6.5816729769992768E-2</v>
      </c>
      <c r="M15" s="7">
        <f>$B15 * IFERROR(VLOOKUP("electricity|NOx|Work loss days", US_national_yearly!$D:$AM, 21, FALSE) / VLOOKUP("electricity|NOx|Work loss days", US_national_yearly!$D:$AM, 10, FALSE), 1)</f>
        <v>6.6141194909696735E-2</v>
      </c>
      <c r="N15" s="7">
        <f>$B15 * IFERROR(VLOOKUP("electricity|NOx|Work loss days", US_national_yearly!$D:$AM, 22, FALSE) / VLOOKUP("electricity|NOx|Work loss days", US_national_yearly!$D:$AM, 10, FALSE), 1)</f>
        <v>6.6569284176906232E-2</v>
      </c>
      <c r="O15" s="7">
        <f>$B15 * IFERROR(VLOOKUP("electricity|NOx|Work loss days", US_national_yearly!$D:$AM, 23, FALSE) / VLOOKUP("electricity|NOx|Work loss days", US_national_yearly!$D:$AM, 10, FALSE), 1)</f>
        <v>6.6997373444115702E-2</v>
      </c>
      <c r="P15" s="7">
        <f>$B15 * IFERROR(VLOOKUP("electricity|NOx|Work loss days", US_national_yearly!$D:$AM, 24, FALSE) / VLOOKUP("electricity|NOx|Work loss days", US_national_yearly!$D:$AM, 10, FALSE), 1)</f>
        <v>6.7425462711325185E-2</v>
      </c>
      <c r="Q15" s="7">
        <f>$B15 * IFERROR(VLOOKUP("electricity|NOx|Work loss days", US_national_yearly!$D:$AM, 25, FALSE) / VLOOKUP("electricity|NOx|Work loss days", US_national_yearly!$D:$AM, 10, FALSE), 1)</f>
        <v>6.7853551978534668E-2</v>
      </c>
      <c r="R15" s="7">
        <f>$B15 * IFERROR(VLOOKUP("electricity|NOx|Work loss days", US_national_yearly!$D:$AM, 26, FALSE) / VLOOKUP("electricity|NOx|Work loss days", US_national_yearly!$D:$AM, 10, FALSE), 1)</f>
        <v>6.8281641245744124E-2</v>
      </c>
      <c r="S15" s="7">
        <f>$B15 * IFERROR(VLOOKUP("electricity|NOx|Work loss days", US_national_yearly!$D:$AM, 27, FALSE) / VLOOKUP("electricity|NOx|Work loss days", US_national_yearly!$D:$AM, 10, FALSE), 1)</f>
        <v>6.8761369782599696E-2</v>
      </c>
      <c r="T15" s="7">
        <f>$B15 * IFERROR(VLOOKUP("electricity|NOx|Work loss days", US_national_yearly!$D:$AM, 28, FALSE) / VLOOKUP("electricity|NOx|Work loss days", US_national_yearly!$D:$AM, 10, FALSE), 1)</f>
        <v>6.9241098319455241E-2</v>
      </c>
      <c r="U15" s="7">
        <f>$B15 * IFERROR(VLOOKUP("electricity|NOx|Work loss days", US_national_yearly!$D:$AM, 29, FALSE) / VLOOKUP("electricity|NOx|Work loss days", US_national_yearly!$D:$AM, 10, FALSE), 1)</f>
        <v>6.97208268563108E-2</v>
      </c>
      <c r="V15" s="7">
        <f>$B15 * IFERROR(VLOOKUP("electricity|NOx|Work loss days", US_national_yearly!$D:$AM, 30, FALSE) / VLOOKUP("electricity|NOx|Work loss days", US_national_yearly!$D:$AM, 10, FALSE), 1)</f>
        <v>7.0200555393166345E-2</v>
      </c>
      <c r="W15" s="7">
        <f>$B15 * IFERROR(VLOOKUP("electricity|NOx|Work loss days", US_national_yearly!$D:$AM, 31, FALSE) / VLOOKUP("electricity|NOx|Work loss days", US_national_yearly!$D:$AM, 10, FALSE), 1)</f>
        <v>7.0680283930021917E-2</v>
      </c>
      <c r="X15" s="7">
        <f>$B15 * IFERROR(VLOOKUP("electricity|NOx|Work loss days", US_national_yearly!$D:$AM, 32, FALSE) / VLOOKUP("electricity|NOx|Work loss days", US_national_yearly!$D:$AM, 10, FALSE), 1)</f>
        <v>7.1098465372655156E-2</v>
      </c>
      <c r="Y15" s="7">
        <f>$B15 * IFERROR(VLOOKUP("electricity|NOx|Work loss days", US_national_yearly!$D:$AM, 33, FALSE) / VLOOKUP("electricity|NOx|Work loss days", US_national_yearly!$D:$AM, 10, FALSE), 1)</f>
        <v>7.1516646815288409E-2</v>
      </c>
      <c r="Z15" s="7">
        <f>$B15 * IFERROR(VLOOKUP("electricity|NOx|Work loss days", US_national_yearly!$D:$AM, 34, FALSE) / VLOOKUP("electricity|NOx|Work loss days", US_national_yearly!$D:$AM, 10, FALSE), 1)</f>
        <v>7.1934828257921649E-2</v>
      </c>
      <c r="AA15" s="7">
        <f>$B15 * IFERROR(VLOOKUP("electricity|NOx|Work loss days", US_national_yearly!$D:$AM, 35, FALSE) / VLOOKUP("electricity|NOx|Work loss days", US_national_yearly!$D:$AM, 10, FALSE), 1)</f>
        <v>7.2353009700554902E-2</v>
      </c>
      <c r="AB15" s="7">
        <f>$B15 * IFERROR(VLOOKUP("electricity|NOx|Work loss days", US_national_yearly!$D:$AM, 36, FALSE) / VLOOKUP("electricity|NOx|Work loss days", US_national_yearly!$D:$AM, 10, FALSE), 1)</f>
        <v>7.2771191143188141E-2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1.4085787722130036E-4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1.450070760731354E-4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1.4915627492497049E-4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1.5330547377680553E-4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1.574546726286406E-4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1.6142785268712266E-4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1.654010327456047E-4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1.6879234588770766E-4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1.7218365902981061E-4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1.7557497217191359E-4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1.7896628531401657E-4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1.823575984561195E-4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1.8453404869376921E-4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1.8671049893141892E-4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1.8888694916906863E-4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1.9106339940671833E-4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1.9323984964436807E-4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1.9431091916232202E-4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1.95381988680276E-4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1.9645305819822998E-4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1.9752412771618398E-4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1.9859519723413796E-4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1.992371298793567E-4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1.9987906252457544E-4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2.0052099516979418E-4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2.0116292781501293E-4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2.0180486046023167E-4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6.2788270705509196E-4</v>
      </c>
      <c r="C2" s="7">
        <f>$B2 * IFERROR(VLOOKUP("electricity|SO2|Premature mortality", US_national_yearly!$D:$AM, 11, FALSE) / VLOOKUP("electricity|SO2|Premature mortality", US_national_yearly!$D:$AM, 10, FALSE), 1)</f>
        <v>6.3593230821616751E-4</v>
      </c>
      <c r="D2" s="7">
        <f>$B2 * IFERROR(VLOOKUP("electricity|SO2|Premature mortality", US_national_yearly!$D:$AM, 12, FALSE) / VLOOKUP("electricity|SO2|Premature mortality", US_national_yearly!$D:$AM, 10, FALSE), 1)</f>
        <v>6.4398190937724285E-4</v>
      </c>
      <c r="E2" s="7">
        <f>$B2 * IFERROR(VLOOKUP("electricity|SO2|Premature mortality", US_national_yearly!$D:$AM, 13, FALSE) / VLOOKUP("electricity|SO2|Premature mortality", US_national_yearly!$D:$AM, 10, FALSE), 1)</f>
        <v>6.520315105383184E-4</v>
      </c>
      <c r="F2" s="7">
        <f>$B2 * IFERROR(VLOOKUP("electricity|SO2|Premature mortality", US_national_yearly!$D:$AM, 14, FALSE) / VLOOKUP("electricity|SO2|Premature mortality", US_national_yearly!$D:$AM, 10, FALSE), 1)</f>
        <v>6.6008111169939385E-4</v>
      </c>
      <c r="G2" s="7">
        <f>$B2 * IFERROR(VLOOKUP("electricity|SO2|Premature mortality", US_national_yearly!$D:$AM, 15, FALSE) / VLOOKUP("electricity|SO2|Premature mortality", US_national_yearly!$D:$AM, 10, FALSE), 1)</f>
        <v>6.7558787219534943E-4</v>
      </c>
      <c r="H2" s="7">
        <f>$B2 * IFERROR(VLOOKUP("electricity|SO2|Premature mortality", US_national_yearly!$D:$AM, 16, FALSE) / VLOOKUP("electricity|SO2|Premature mortality", US_national_yearly!$D:$AM, 10, FALSE), 1)</f>
        <v>6.910946326913049E-4</v>
      </c>
      <c r="I2" s="7">
        <f>$B2 * IFERROR(VLOOKUP("electricity|SO2|Premature mortality", US_national_yearly!$D:$AM, 17, FALSE) / VLOOKUP("electricity|SO2|Premature mortality", US_national_yearly!$D:$AM, 10, FALSE), 1)</f>
        <v>7.0153282424357806E-4</v>
      </c>
      <c r="J2" s="7">
        <f>$B2 * IFERROR(VLOOKUP("electricity|SO2|Premature mortality", US_national_yearly!$D:$AM, 18, FALSE) / VLOOKUP("electricity|SO2|Premature mortality", US_national_yearly!$D:$AM, 10, FALSE), 1)</f>
        <v>7.1197101579585133E-4</v>
      </c>
      <c r="K2" s="7">
        <f>$B2 * IFERROR(VLOOKUP("electricity|SO2|Premature mortality", US_national_yearly!$D:$AM, 19, FALSE) / VLOOKUP("electricity|SO2|Premature mortality", US_national_yearly!$D:$AM, 10, FALSE), 1)</f>
        <v>7.2240920734812427E-4</v>
      </c>
      <c r="L2" s="7">
        <f>$B2 * IFERROR(VLOOKUP("electricity|SO2|Premature mortality", US_national_yearly!$D:$AM, 20, FALSE) / VLOOKUP("electricity|SO2|Premature mortality", US_national_yearly!$D:$AM, 10, FALSE), 1)</f>
        <v>7.3284739890039764E-4</v>
      </c>
      <c r="M2" s="7">
        <f>$B2 * IFERROR(VLOOKUP("electricity|SO2|Premature mortality", US_national_yearly!$D:$AM, 21, FALSE) / VLOOKUP("electricity|SO2|Premature mortality", US_national_yearly!$D:$AM, 10, FALSE), 1)</f>
        <v>7.4328559045267069E-4</v>
      </c>
      <c r="N2" s="7">
        <f>$B2 * IFERROR(VLOOKUP("electricity|SO2|Premature mortality", US_national_yearly!$D:$AM, 22, FALSE) / VLOOKUP("electricity|SO2|Premature mortality", US_national_yearly!$D:$AM, 10, FALSE), 1)</f>
        <v>7.5165096901244253E-4</v>
      </c>
      <c r="O2" s="7">
        <f>$B2 * IFERROR(VLOOKUP("electricity|SO2|Premature mortality", US_national_yearly!$D:$AM, 23, FALSE) / VLOOKUP("electricity|SO2|Premature mortality", US_national_yearly!$D:$AM, 10, FALSE), 1)</f>
        <v>7.6001634757221458E-4</v>
      </c>
      <c r="P2" s="7">
        <f>$B2 * IFERROR(VLOOKUP("electricity|SO2|Premature mortality", US_national_yearly!$D:$AM, 24, FALSE) / VLOOKUP("electricity|SO2|Premature mortality", US_national_yearly!$D:$AM, 10, FALSE), 1)</f>
        <v>7.6838172613198641E-4</v>
      </c>
      <c r="Q2" s="7">
        <f>$B2 * IFERROR(VLOOKUP("electricity|SO2|Premature mortality", US_national_yearly!$D:$AM, 25, FALSE) / VLOOKUP("electricity|SO2|Premature mortality", US_national_yearly!$D:$AM, 10, FALSE), 1)</f>
        <v>7.7674710469175835E-4</v>
      </c>
      <c r="R2" s="7">
        <f>$B2 * IFERROR(VLOOKUP("electricity|SO2|Premature mortality", US_national_yearly!$D:$AM, 26, FALSE) / VLOOKUP("electricity|SO2|Premature mortality", US_national_yearly!$D:$AM, 10, FALSE), 1)</f>
        <v>7.8511248325153018E-4</v>
      </c>
      <c r="S2" s="7">
        <f>$B2 * IFERROR(VLOOKUP("electricity|SO2|Premature mortality", US_national_yearly!$D:$AM, 27, FALSE) / VLOOKUP("electricity|SO2|Premature mortality", US_national_yearly!$D:$AM, 10, FALSE), 1)</f>
        <v>7.8990859912875353E-4</v>
      </c>
      <c r="T2" s="7">
        <f>$B2 * IFERROR(VLOOKUP("electricity|SO2|Premature mortality", US_national_yearly!$D:$AM, 28, FALSE) / VLOOKUP("electricity|SO2|Premature mortality", US_national_yearly!$D:$AM, 10, FALSE), 1)</f>
        <v>7.9470471500597698E-4</v>
      </c>
      <c r="U2" s="7">
        <f>$B2 * IFERROR(VLOOKUP("electricity|SO2|Premature mortality", US_national_yearly!$D:$AM, 29, FALSE) / VLOOKUP("electricity|SO2|Premature mortality", US_national_yearly!$D:$AM, 10, FALSE), 1)</f>
        <v>7.9950083088320032E-4</v>
      </c>
      <c r="V2" s="7">
        <f>$B2 * IFERROR(VLOOKUP("electricity|SO2|Premature mortality", US_national_yearly!$D:$AM, 30, FALSE) / VLOOKUP("electricity|SO2|Premature mortality", US_national_yearly!$D:$AM, 10, FALSE), 1)</f>
        <v>8.0429694676042377E-4</v>
      </c>
      <c r="W2" s="7">
        <f>$B2 * IFERROR(VLOOKUP("electricity|SO2|Premature mortality", US_national_yearly!$D:$AM, 31, FALSE) / VLOOKUP("electricity|SO2|Premature mortality", US_national_yearly!$D:$AM, 10, FALSE), 1)</f>
        <v>8.0909306263764701E-4</v>
      </c>
      <c r="X2" s="7">
        <f>$B2 * IFERROR(VLOOKUP("electricity|SO2|Premature mortality", US_national_yearly!$D:$AM, 32, FALSE) / VLOOKUP("electricity|SO2|Premature mortality", US_national_yearly!$D:$AM, 10, FALSE), 1)</f>
        <v>8.1050621740581298E-4</v>
      </c>
      <c r="Y2" s="7">
        <f>$B2 * IFERROR(VLOOKUP("electricity|SO2|Premature mortality", US_national_yearly!$D:$AM, 33, FALSE) / VLOOKUP("electricity|SO2|Premature mortality", US_national_yearly!$D:$AM, 10, FALSE), 1)</f>
        <v>8.1191937217397884E-4</v>
      </c>
      <c r="Z2" s="7">
        <f>$B2 * IFERROR(VLOOKUP("electricity|SO2|Premature mortality", US_national_yearly!$D:$AM, 34, FALSE) / VLOOKUP("electricity|SO2|Premature mortality", US_national_yearly!$D:$AM, 10, FALSE), 1)</f>
        <v>8.133325269421447E-4</v>
      </c>
      <c r="AA2" s="7">
        <f>$B2 * IFERROR(VLOOKUP("electricity|SO2|Premature mortality", US_national_yearly!$D:$AM, 35, FALSE) / VLOOKUP("electricity|SO2|Premature mortality", US_national_yearly!$D:$AM, 10, FALSE), 1)</f>
        <v>8.1474568171031067E-4</v>
      </c>
      <c r="AB2" s="7">
        <f>$B2 * IFERROR(VLOOKUP("electricity|SO2|Premature mortality", US_national_yearly!$D:$AM, 36, FALSE) / VLOOKUP("electricity|SO2|Premature mortality", US_national_yearly!$D:$AM, 10, FALSE), 1)</f>
        <v>8.1615883647847653E-4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1.6360935397140929E-6</v>
      </c>
      <c r="C3" s="7">
        <f>$B3 * IFERROR(VLOOKUP("electricity|SO2|Infant mortality", US_national_yearly!$D:$AM, 11, FALSE) / VLOOKUP("electricity|SO2|Infant mortality", US_national_yearly!$D:$AM, 10, FALSE), 1)</f>
        <v>1.6222716601150413E-6</v>
      </c>
      <c r="D3" s="7">
        <f>$B3 * IFERROR(VLOOKUP("electricity|SO2|Infant mortality", US_national_yearly!$D:$AM, 12, FALSE) / VLOOKUP("electricity|SO2|Infant mortality", US_national_yearly!$D:$AM, 10, FALSE), 1)</f>
        <v>1.6084497805159895E-6</v>
      </c>
      <c r="E3" s="7">
        <f>$B3 * IFERROR(VLOOKUP("electricity|SO2|Infant mortality", US_national_yearly!$D:$AM, 13, FALSE) / VLOOKUP("electricity|SO2|Infant mortality", US_national_yearly!$D:$AM, 10, FALSE), 1)</f>
        <v>1.5946279009169379E-6</v>
      </c>
      <c r="F3" s="7">
        <f>$B3 * IFERROR(VLOOKUP("electricity|SO2|Infant mortality", US_national_yearly!$D:$AM, 14, FALSE) / VLOOKUP("electricity|SO2|Infant mortality", US_national_yearly!$D:$AM, 10, FALSE), 1)</f>
        <v>1.5808060213178865E-6</v>
      </c>
      <c r="G3" s="7">
        <f>$B3 * IFERROR(VLOOKUP("electricity|SO2|Infant mortality", US_national_yearly!$D:$AM, 15, FALSE) / VLOOKUP("electricity|SO2|Infant mortality", US_national_yearly!$D:$AM, 10, FALSE), 1)</f>
        <v>1.051317891930813E-6</v>
      </c>
      <c r="H3" s="7">
        <f>$B3 * IFERROR(VLOOKUP("electricity|SO2|Infant mortality", US_national_yearly!$D:$AM, 16, FALSE) / VLOOKUP("electricity|SO2|Infant mortality", US_national_yearly!$D:$AM, 10, FALSE), 1)</f>
        <v>5.2182976254373935E-7</v>
      </c>
      <c r="I3" s="7">
        <f>$B3 * IFERROR(VLOOKUP("electricity|SO2|Infant mortality", US_national_yearly!$D:$AM, 17, FALSE) / VLOOKUP("electricity|SO2|Infant mortality", US_national_yearly!$D:$AM, 10, FALSE), 1)</f>
        <v>5.1849136674072016E-7</v>
      </c>
      <c r="J3" s="7">
        <f>$B3 * IFERROR(VLOOKUP("electricity|SO2|Infant mortality", US_national_yearly!$D:$AM, 18, FALSE) / VLOOKUP("electricity|SO2|Infant mortality", US_national_yearly!$D:$AM, 10, FALSE), 1)</f>
        <v>5.1515297093770087E-7</v>
      </c>
      <c r="K3" s="7">
        <f>$B3 * IFERROR(VLOOKUP("electricity|SO2|Infant mortality", US_national_yearly!$D:$AM, 19, FALSE) / VLOOKUP("electricity|SO2|Infant mortality", US_national_yearly!$D:$AM, 10, FALSE), 1)</f>
        <v>5.1181457513468168E-7</v>
      </c>
      <c r="L3" s="7">
        <f>$B3 * IFERROR(VLOOKUP("electricity|SO2|Infant mortality", US_national_yearly!$D:$AM, 20, FALSE) / VLOOKUP("electricity|SO2|Infant mortality", US_national_yearly!$D:$AM, 10, FALSE), 1)</f>
        <v>5.0847617933166239E-7</v>
      </c>
      <c r="M3" s="7">
        <f>$B3 * IFERROR(VLOOKUP("electricity|SO2|Infant mortality", US_national_yearly!$D:$AM, 21, FALSE) / VLOOKUP("electricity|SO2|Infant mortality", US_national_yearly!$D:$AM, 10, FALSE), 1)</f>
        <v>5.051377835286432E-7</v>
      </c>
      <c r="N3" s="7">
        <f>$B3 * IFERROR(VLOOKUP("electricity|SO2|Infant mortality", US_national_yearly!$D:$AM, 22, FALSE) / VLOOKUP("electricity|SO2|Infant mortality", US_national_yearly!$D:$AM, 10, FALSE), 1)</f>
        <v>5.030224280134182E-7</v>
      </c>
      <c r="O3" s="7">
        <f>$B3 * IFERROR(VLOOKUP("electricity|SO2|Infant mortality", US_national_yearly!$D:$AM, 23, FALSE) / VLOOKUP("electricity|SO2|Infant mortality", US_national_yearly!$D:$AM, 10, FALSE), 1)</f>
        <v>5.0090707249819309E-7</v>
      </c>
      <c r="P3" s="7">
        <f>$B3 * IFERROR(VLOOKUP("electricity|SO2|Infant mortality", US_national_yearly!$D:$AM, 24, FALSE) / VLOOKUP("electricity|SO2|Infant mortality", US_national_yearly!$D:$AM, 10, FALSE), 1)</f>
        <v>4.9879171698296798E-7</v>
      </c>
      <c r="Q3" s="7">
        <f>$B3 * IFERROR(VLOOKUP("electricity|SO2|Infant mortality", US_national_yearly!$D:$AM, 25, FALSE) / VLOOKUP("electricity|SO2|Infant mortality", US_national_yearly!$D:$AM, 10, FALSE), 1)</f>
        <v>4.9667636146774298E-7</v>
      </c>
      <c r="R3" s="7">
        <f>$B3 * IFERROR(VLOOKUP("electricity|SO2|Infant mortality", US_national_yearly!$D:$AM, 26, FALSE) / VLOOKUP("electricity|SO2|Infant mortality", US_national_yearly!$D:$AM, 10, FALSE), 1)</f>
        <v>4.9456100595251798E-7</v>
      </c>
      <c r="S3" s="7">
        <f>$B3 * IFERROR(VLOOKUP("electricity|SO2|Infant mortality", US_national_yearly!$D:$AM, 27, FALSE) / VLOOKUP("electricity|SO2|Infant mortality", US_national_yearly!$D:$AM, 10, FALSE), 1)</f>
        <v>4.919244833412163E-7</v>
      </c>
      <c r="T3" s="7">
        <f>$B3 * IFERROR(VLOOKUP("electricity|SO2|Infant mortality", US_national_yearly!$D:$AM, 28, FALSE) / VLOOKUP("electricity|SO2|Infant mortality", US_national_yearly!$D:$AM, 10, FALSE), 1)</f>
        <v>4.8928796072991462E-7</v>
      </c>
      <c r="U3" s="7">
        <f>$B3 * IFERROR(VLOOKUP("electricity|SO2|Infant mortality", US_national_yearly!$D:$AM, 29, FALSE) / VLOOKUP("electricity|SO2|Infant mortality", US_national_yearly!$D:$AM, 10, FALSE), 1)</f>
        <v>4.8665143811861305E-7</v>
      </c>
      <c r="V3" s="7">
        <f>$B3 * IFERROR(VLOOKUP("electricity|SO2|Infant mortality", US_national_yearly!$D:$AM, 30, FALSE) / VLOOKUP("electricity|SO2|Infant mortality", US_national_yearly!$D:$AM, 10, FALSE), 1)</f>
        <v>4.8401491550731148E-7</v>
      </c>
      <c r="W3" s="7">
        <f>$B3 * IFERROR(VLOOKUP("electricity|SO2|Infant mortality", US_national_yearly!$D:$AM, 31, FALSE) / VLOOKUP("electricity|SO2|Infant mortality", US_national_yearly!$D:$AM, 10, FALSE), 1)</f>
        <v>4.813783928960098E-7</v>
      </c>
      <c r="X3" s="7">
        <f>$B3 * IFERROR(VLOOKUP("electricity|SO2|Infant mortality", US_national_yearly!$D:$AM, 32, FALSE) / VLOOKUP("electricity|SO2|Infant mortality", US_national_yearly!$D:$AM, 10, FALSE), 1)</f>
        <v>4.7856530047746006E-7</v>
      </c>
      <c r="Y3" s="7">
        <f>$B3 * IFERROR(VLOOKUP("electricity|SO2|Infant mortality", US_national_yearly!$D:$AM, 33, FALSE) / VLOOKUP("electricity|SO2|Infant mortality", US_national_yearly!$D:$AM, 10, FALSE), 1)</f>
        <v>4.7575220805891011E-7</v>
      </c>
      <c r="Z3" s="7">
        <f>$B3 * IFERROR(VLOOKUP("electricity|SO2|Infant mortality", US_national_yearly!$D:$AM, 34, FALSE) / VLOOKUP("electricity|SO2|Infant mortality", US_national_yearly!$D:$AM, 10, FALSE), 1)</f>
        <v>4.7293911564036037E-7</v>
      </c>
      <c r="AA3" s="7">
        <f>$B3 * IFERROR(VLOOKUP("electricity|SO2|Infant mortality", US_national_yearly!$D:$AM, 35, FALSE) / VLOOKUP("electricity|SO2|Infant mortality", US_national_yearly!$D:$AM, 10, FALSE), 1)</f>
        <v>4.7012602322181063E-7</v>
      </c>
      <c r="AB3" s="7">
        <f>$B3 * IFERROR(VLOOKUP("electricity|SO2|Infant mortality", US_national_yearly!$D:$AM, 36, FALSE) / VLOOKUP("electricity|SO2|Infant mortality", US_national_yearly!$D:$AM, 10, FALSE), 1)</f>
        <v>4.6731293080326078E-7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1.5709574500909263E-3</v>
      </c>
      <c r="C6" s="7">
        <f>$B6 * IFERROR(VLOOKUP("electricity|SO2|Asthma symptoms cough", US_national_yearly!$D:$AM, 11, FALSE) / VLOOKUP("electricity|SO2|Asthma symptoms cough", US_national_yearly!$D:$AM, 10, FALSE), 1)</f>
        <v>1.5709574500909263E-3</v>
      </c>
      <c r="D6" s="7">
        <f>$B6 * IFERROR(VLOOKUP("electricity|SO2|Asthma symptoms cough", US_national_yearly!$D:$AM, 12, FALSE) / VLOOKUP("electricity|SO2|Asthma symptoms cough", US_national_yearly!$D:$AM, 10, FALSE), 1)</f>
        <v>1.5709574500909263E-3</v>
      </c>
      <c r="E6" s="7">
        <f>$B6 * IFERROR(VLOOKUP("electricity|SO2|Asthma symptoms cough", US_national_yearly!$D:$AM, 13, FALSE) / VLOOKUP("electricity|SO2|Asthma symptoms cough", US_national_yearly!$D:$AM, 10, FALSE), 1)</f>
        <v>1.5709574500909263E-3</v>
      </c>
      <c r="F6" s="7">
        <f>$B6 * IFERROR(VLOOKUP("electricity|SO2|Asthma symptoms cough", US_national_yearly!$D:$AM, 14, FALSE) / VLOOKUP("electricity|SO2|Asthma symptoms cough", US_national_yearly!$D:$AM, 10, FALSE), 1)</f>
        <v>1.5709574500909263E-3</v>
      </c>
      <c r="G6" s="7">
        <f>$B6 * IFERROR(VLOOKUP("electricity|SO2|Asthma symptoms cough", US_national_yearly!$D:$AM, 15, FALSE) / VLOOKUP("electricity|SO2|Asthma symptoms cough", US_national_yearly!$D:$AM, 10, FALSE), 1)</f>
        <v>1.5709574500909263E-3</v>
      </c>
      <c r="H6" s="7">
        <f>$B6 * IFERROR(VLOOKUP("electricity|SO2|Asthma symptoms cough", US_national_yearly!$D:$AM, 16, FALSE) / VLOOKUP("electricity|SO2|Asthma symptoms cough", US_national_yearly!$D:$AM, 10, FALSE), 1)</f>
        <v>1.5709574500909263E-3</v>
      </c>
      <c r="I6" s="7">
        <f>$B6 * IFERROR(VLOOKUP("electricity|SO2|Asthma symptoms cough", US_national_yearly!$D:$AM, 17, FALSE) / VLOOKUP("electricity|SO2|Asthma symptoms cough", US_national_yearly!$D:$AM, 10, FALSE), 1)</f>
        <v>1.5709574500909263E-3</v>
      </c>
      <c r="J6" s="7">
        <f>$B6 * IFERROR(VLOOKUP("electricity|SO2|Asthma symptoms cough", US_national_yearly!$D:$AM, 18, FALSE) / VLOOKUP("electricity|SO2|Asthma symptoms cough", US_national_yearly!$D:$AM, 10, FALSE), 1)</f>
        <v>1.5709574500909263E-3</v>
      </c>
      <c r="K6" s="7">
        <f>$B6 * IFERROR(VLOOKUP("electricity|SO2|Asthma symptoms cough", US_national_yearly!$D:$AM, 19, FALSE) / VLOOKUP("electricity|SO2|Asthma symptoms cough", US_national_yearly!$D:$AM, 10, FALSE), 1)</f>
        <v>1.5709574500909263E-3</v>
      </c>
      <c r="L6" s="7">
        <f>$B6 * IFERROR(VLOOKUP("electricity|SO2|Asthma symptoms cough", US_national_yearly!$D:$AM, 20, FALSE) / VLOOKUP("electricity|SO2|Asthma symptoms cough", US_national_yearly!$D:$AM, 10, FALSE), 1)</f>
        <v>1.5709574500909263E-3</v>
      </c>
      <c r="M6" s="7">
        <f>$B6 * IFERROR(VLOOKUP("electricity|SO2|Asthma symptoms cough", US_national_yearly!$D:$AM, 21, FALSE) / VLOOKUP("electricity|SO2|Asthma symptoms cough", US_national_yearly!$D:$AM, 10, FALSE), 1)</f>
        <v>1.5709574500909263E-3</v>
      </c>
      <c r="N6" s="7">
        <f>$B6 * IFERROR(VLOOKUP("electricity|SO2|Asthma symptoms cough", US_national_yearly!$D:$AM, 22, FALSE) / VLOOKUP("electricity|SO2|Asthma symptoms cough", US_national_yearly!$D:$AM, 10, FALSE), 1)</f>
        <v>1.5709574500909263E-3</v>
      </c>
      <c r="O6" s="7">
        <f>$B6 * IFERROR(VLOOKUP("electricity|SO2|Asthma symptoms cough", US_national_yearly!$D:$AM, 23, FALSE) / VLOOKUP("electricity|SO2|Asthma symptoms cough", US_national_yearly!$D:$AM, 10, FALSE), 1)</f>
        <v>1.5709574500909263E-3</v>
      </c>
      <c r="P6" s="7">
        <f>$B6 * IFERROR(VLOOKUP("electricity|SO2|Asthma symptoms cough", US_national_yearly!$D:$AM, 24, FALSE) / VLOOKUP("electricity|SO2|Asthma symptoms cough", US_national_yearly!$D:$AM, 10, FALSE), 1)</f>
        <v>1.5709574500909263E-3</v>
      </c>
      <c r="Q6" s="7">
        <f>$B6 * IFERROR(VLOOKUP("electricity|SO2|Asthma symptoms cough", US_national_yearly!$D:$AM, 25, FALSE) / VLOOKUP("electricity|SO2|Asthma symptoms cough", US_national_yearly!$D:$AM, 10, FALSE), 1)</f>
        <v>1.5709574500909263E-3</v>
      </c>
      <c r="R6" s="7">
        <f>$B6 * IFERROR(VLOOKUP("electricity|SO2|Asthma symptoms cough", US_national_yearly!$D:$AM, 26, FALSE) / VLOOKUP("electricity|SO2|Asthma symptoms cough", US_national_yearly!$D:$AM, 10, FALSE), 1)</f>
        <v>1.5709574500909263E-3</v>
      </c>
      <c r="S6" s="7">
        <f>$B6 * IFERROR(VLOOKUP("electricity|SO2|Asthma symptoms cough", US_national_yearly!$D:$AM, 27, FALSE) / VLOOKUP("electricity|SO2|Asthma symptoms cough", US_national_yearly!$D:$AM, 10, FALSE), 1)</f>
        <v>1.5709574500909263E-3</v>
      </c>
      <c r="T6" s="7">
        <f>$B6 * IFERROR(VLOOKUP("electricity|SO2|Asthma symptoms cough", US_national_yearly!$D:$AM, 28, FALSE) / VLOOKUP("electricity|SO2|Asthma symptoms cough", US_national_yearly!$D:$AM, 10, FALSE), 1)</f>
        <v>1.5709574500909263E-3</v>
      </c>
      <c r="U6" s="7">
        <f>$B6 * IFERROR(VLOOKUP("electricity|SO2|Asthma symptoms cough", US_national_yearly!$D:$AM, 29, FALSE) / VLOOKUP("electricity|SO2|Asthma symptoms cough", US_national_yearly!$D:$AM, 10, FALSE), 1)</f>
        <v>1.5709574500909263E-3</v>
      </c>
      <c r="V6" s="7">
        <f>$B6 * IFERROR(VLOOKUP("electricity|SO2|Asthma symptoms cough", US_national_yearly!$D:$AM, 30, FALSE) / VLOOKUP("electricity|SO2|Asthma symptoms cough", US_national_yearly!$D:$AM, 10, FALSE), 1)</f>
        <v>1.5709574500909263E-3</v>
      </c>
      <c r="W6" s="7">
        <f>$B6 * IFERROR(VLOOKUP("electricity|SO2|Asthma symptoms cough", US_national_yearly!$D:$AM, 31, FALSE) / VLOOKUP("electricity|SO2|Asthma symptoms cough", US_national_yearly!$D:$AM, 10, FALSE), 1)</f>
        <v>1.5709574500909263E-3</v>
      </c>
      <c r="X6" s="7">
        <f>$B6 * IFERROR(VLOOKUP("electricity|SO2|Asthma symptoms cough", US_national_yearly!$D:$AM, 32, FALSE) / VLOOKUP("electricity|SO2|Asthma symptoms cough", US_national_yearly!$D:$AM, 10, FALSE), 1)</f>
        <v>1.5709574500909263E-3</v>
      </c>
      <c r="Y6" s="7">
        <f>$B6 * IFERROR(VLOOKUP("electricity|SO2|Asthma symptoms cough", US_national_yearly!$D:$AM, 33, FALSE) / VLOOKUP("electricity|SO2|Asthma symptoms cough", US_national_yearly!$D:$AM, 10, FALSE), 1)</f>
        <v>1.5709574500909263E-3</v>
      </c>
      <c r="Z6" s="7">
        <f>$B6 * IFERROR(VLOOKUP("electricity|SO2|Asthma symptoms cough", US_national_yearly!$D:$AM, 34, FALSE) / VLOOKUP("electricity|SO2|Asthma symptoms cough", US_national_yearly!$D:$AM, 10, FALSE), 1)</f>
        <v>1.5709574500909263E-3</v>
      </c>
      <c r="AA6" s="7">
        <f>$B6 * IFERROR(VLOOKUP("electricity|SO2|Asthma symptoms cough", US_national_yearly!$D:$AM, 35, FALSE) / VLOOKUP("electricity|SO2|Asthma symptoms cough", US_national_yearly!$D:$AM, 10, FALSE), 1)</f>
        <v>1.5709574500909263E-3</v>
      </c>
      <c r="AB6" s="7">
        <f>$B6 * IFERROR(VLOOKUP("electricity|SO2|Asthma symptoms cough", US_national_yearly!$D:$AM, 36, FALSE) / VLOOKUP("electricity|SO2|Asthma symptoms cough", US_national_yearly!$D:$AM, 10, FALSE), 1)</f>
        <v>1.5709574500909263E-3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2.1155154140148789E-3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2.1155154140148789E-3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2.1155154140148789E-3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2.1155154140148789E-3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2.1155154140148789E-3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2.1155154140148789E-3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2.1155154140148789E-3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2.1155154140148789E-3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2.1155154140148789E-3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2.1155154140148789E-3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2.1155154140148789E-3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2.1155154140148789E-3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2.1155154140148789E-3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2.1155154140148789E-3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2.1155154140148789E-3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2.1155154140148789E-3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2.1155154140148789E-3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2.1155154140148789E-3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2.1155154140148789E-3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2.1155154140148789E-3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2.1155154140148789E-3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2.1155154140148789E-3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2.1155154140148789E-3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2.1155154140148789E-3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2.1155154140148789E-3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2.1155154140148789E-3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2.1155154140148789E-3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3.2321730823395662E-3</v>
      </c>
      <c r="C8" s="7">
        <f>$B8 * IFERROR(VLOOKUP("electricity|SO2|Asthma symptoms wheeze", US_national_yearly!$D:$AM, 11, FALSE) / VLOOKUP("electricity|SO2|Asthma symptoms wheeze", US_national_yearly!$D:$AM, 10, FALSE), 1)</f>
        <v>3.2321730823395662E-3</v>
      </c>
      <c r="D8" s="7">
        <f>$B8 * IFERROR(VLOOKUP("electricity|SO2|Asthma symptoms wheeze", US_national_yearly!$D:$AM, 12, FALSE) / VLOOKUP("electricity|SO2|Asthma symptoms wheeze", US_national_yearly!$D:$AM, 10, FALSE), 1)</f>
        <v>3.2321730823395662E-3</v>
      </c>
      <c r="E8" s="7">
        <f>$B8 * IFERROR(VLOOKUP("electricity|SO2|Asthma symptoms wheeze", US_national_yearly!$D:$AM, 13, FALSE) / VLOOKUP("electricity|SO2|Asthma symptoms wheeze", US_national_yearly!$D:$AM, 10, FALSE), 1)</f>
        <v>3.2321730823395662E-3</v>
      </c>
      <c r="F8" s="7">
        <f>$B8 * IFERROR(VLOOKUP("electricity|SO2|Asthma symptoms wheeze", US_national_yearly!$D:$AM, 14, FALSE) / VLOOKUP("electricity|SO2|Asthma symptoms wheeze", US_national_yearly!$D:$AM, 10, FALSE), 1)</f>
        <v>3.2321730823395662E-3</v>
      </c>
      <c r="G8" s="7">
        <f>$B8 * IFERROR(VLOOKUP("electricity|SO2|Asthma symptoms wheeze", US_national_yearly!$D:$AM, 15, FALSE) / VLOOKUP("electricity|SO2|Asthma symptoms wheeze", US_national_yearly!$D:$AM, 10, FALSE), 1)</f>
        <v>3.2321730823395662E-3</v>
      </c>
      <c r="H8" s="7">
        <f>$B8 * IFERROR(VLOOKUP("electricity|SO2|Asthma symptoms wheeze", US_national_yearly!$D:$AM, 16, FALSE) / VLOOKUP("electricity|SO2|Asthma symptoms wheeze", US_national_yearly!$D:$AM, 10, FALSE), 1)</f>
        <v>3.2321730823395662E-3</v>
      </c>
      <c r="I8" s="7">
        <f>$B8 * IFERROR(VLOOKUP("electricity|SO2|Asthma symptoms wheeze", US_national_yearly!$D:$AM, 17, FALSE) / VLOOKUP("electricity|SO2|Asthma symptoms wheeze", US_national_yearly!$D:$AM, 10, FALSE), 1)</f>
        <v>3.2321730823395662E-3</v>
      </c>
      <c r="J8" s="7">
        <f>$B8 * IFERROR(VLOOKUP("electricity|SO2|Asthma symptoms wheeze", US_national_yearly!$D:$AM, 18, FALSE) / VLOOKUP("electricity|SO2|Asthma symptoms wheeze", US_national_yearly!$D:$AM, 10, FALSE), 1)</f>
        <v>3.2321730823395662E-3</v>
      </c>
      <c r="K8" s="7">
        <f>$B8 * IFERROR(VLOOKUP("electricity|SO2|Asthma symptoms wheeze", US_national_yearly!$D:$AM, 19, FALSE) / VLOOKUP("electricity|SO2|Asthma symptoms wheeze", US_national_yearly!$D:$AM, 10, FALSE), 1)</f>
        <v>3.2321730823395662E-3</v>
      </c>
      <c r="L8" s="7">
        <f>$B8 * IFERROR(VLOOKUP("electricity|SO2|Asthma symptoms wheeze", US_national_yearly!$D:$AM, 20, FALSE) / VLOOKUP("electricity|SO2|Asthma symptoms wheeze", US_national_yearly!$D:$AM, 10, FALSE), 1)</f>
        <v>3.2321730823395662E-3</v>
      </c>
      <c r="M8" s="7">
        <f>$B8 * IFERROR(VLOOKUP("electricity|SO2|Asthma symptoms wheeze", US_national_yearly!$D:$AM, 21, FALSE) / VLOOKUP("electricity|SO2|Asthma symptoms wheeze", US_national_yearly!$D:$AM, 10, FALSE), 1)</f>
        <v>3.2321730823395662E-3</v>
      </c>
      <c r="N8" s="7">
        <f>$B8 * IFERROR(VLOOKUP("electricity|SO2|Asthma symptoms wheeze", US_national_yearly!$D:$AM, 22, FALSE) / VLOOKUP("electricity|SO2|Asthma symptoms wheeze", US_national_yearly!$D:$AM, 10, FALSE), 1)</f>
        <v>3.2321730823395662E-3</v>
      </c>
      <c r="O8" s="7">
        <f>$B8 * IFERROR(VLOOKUP("electricity|SO2|Asthma symptoms wheeze", US_national_yearly!$D:$AM, 23, FALSE) / VLOOKUP("electricity|SO2|Asthma symptoms wheeze", US_national_yearly!$D:$AM, 10, FALSE), 1)</f>
        <v>3.2321730823395662E-3</v>
      </c>
      <c r="P8" s="7">
        <f>$B8 * IFERROR(VLOOKUP("electricity|SO2|Asthma symptoms wheeze", US_national_yearly!$D:$AM, 24, FALSE) / VLOOKUP("electricity|SO2|Asthma symptoms wheeze", US_national_yearly!$D:$AM, 10, FALSE), 1)</f>
        <v>3.2321730823395662E-3</v>
      </c>
      <c r="Q8" s="7">
        <f>$B8 * IFERROR(VLOOKUP("electricity|SO2|Asthma symptoms wheeze", US_national_yearly!$D:$AM, 25, FALSE) / VLOOKUP("electricity|SO2|Asthma symptoms wheeze", US_national_yearly!$D:$AM, 10, FALSE), 1)</f>
        <v>3.2321730823395662E-3</v>
      </c>
      <c r="R8" s="7">
        <f>$B8 * IFERROR(VLOOKUP("electricity|SO2|Asthma symptoms wheeze", US_national_yearly!$D:$AM, 26, FALSE) / VLOOKUP("electricity|SO2|Asthma symptoms wheeze", US_national_yearly!$D:$AM, 10, FALSE), 1)</f>
        <v>3.2321730823395662E-3</v>
      </c>
      <c r="S8" s="7">
        <f>$B8 * IFERROR(VLOOKUP("electricity|SO2|Asthma symptoms wheeze", US_national_yearly!$D:$AM, 27, FALSE) / VLOOKUP("electricity|SO2|Asthma symptoms wheeze", US_national_yearly!$D:$AM, 10, FALSE), 1)</f>
        <v>3.2321730823395662E-3</v>
      </c>
      <c r="T8" s="7">
        <f>$B8 * IFERROR(VLOOKUP("electricity|SO2|Asthma symptoms wheeze", US_national_yearly!$D:$AM, 28, FALSE) / VLOOKUP("electricity|SO2|Asthma symptoms wheeze", US_national_yearly!$D:$AM, 10, FALSE), 1)</f>
        <v>3.2321730823395662E-3</v>
      </c>
      <c r="U8" s="7">
        <f>$B8 * IFERROR(VLOOKUP("electricity|SO2|Asthma symptoms wheeze", US_national_yearly!$D:$AM, 29, FALSE) / VLOOKUP("electricity|SO2|Asthma symptoms wheeze", US_national_yearly!$D:$AM, 10, FALSE), 1)</f>
        <v>3.2321730823395662E-3</v>
      </c>
      <c r="V8" s="7">
        <f>$B8 * IFERROR(VLOOKUP("electricity|SO2|Asthma symptoms wheeze", US_national_yearly!$D:$AM, 30, FALSE) / VLOOKUP("electricity|SO2|Asthma symptoms wheeze", US_national_yearly!$D:$AM, 10, FALSE), 1)</f>
        <v>3.2321730823395662E-3</v>
      </c>
      <c r="W8" s="7">
        <f>$B8 * IFERROR(VLOOKUP("electricity|SO2|Asthma symptoms wheeze", US_national_yearly!$D:$AM, 31, FALSE) / VLOOKUP("electricity|SO2|Asthma symptoms wheeze", US_national_yearly!$D:$AM, 10, FALSE), 1)</f>
        <v>3.2321730823395662E-3</v>
      </c>
      <c r="X8" s="7">
        <f>$B8 * IFERROR(VLOOKUP("electricity|SO2|Asthma symptoms wheeze", US_national_yearly!$D:$AM, 32, FALSE) / VLOOKUP("electricity|SO2|Asthma symptoms wheeze", US_national_yearly!$D:$AM, 10, FALSE), 1)</f>
        <v>3.2321730823395662E-3</v>
      </c>
      <c r="Y8" s="7">
        <f>$B8 * IFERROR(VLOOKUP("electricity|SO2|Asthma symptoms wheeze", US_national_yearly!$D:$AM, 33, FALSE) / VLOOKUP("electricity|SO2|Asthma symptoms wheeze", US_national_yearly!$D:$AM, 10, FALSE), 1)</f>
        <v>3.2321730823395662E-3</v>
      </c>
      <c r="Z8" s="7">
        <f>$B8 * IFERROR(VLOOKUP("electricity|SO2|Asthma symptoms wheeze", US_national_yearly!$D:$AM, 34, FALSE) / VLOOKUP("electricity|SO2|Asthma symptoms wheeze", US_national_yearly!$D:$AM, 10, FALSE), 1)</f>
        <v>3.2321730823395662E-3</v>
      </c>
      <c r="AA8" s="7">
        <f>$B8 * IFERROR(VLOOKUP("electricity|SO2|Asthma symptoms wheeze", US_national_yearly!$D:$AM, 35, FALSE) / VLOOKUP("electricity|SO2|Asthma symptoms wheeze", US_national_yearly!$D:$AM, 10, FALSE), 1)</f>
        <v>3.2321730823395662E-3</v>
      </c>
      <c r="AB8" s="7">
        <f>$B8 * IFERROR(VLOOKUP("electricity|SO2|Asthma symptoms wheeze", US_national_yearly!$D:$AM, 36, FALSE) / VLOOKUP("electricity|SO2|Asthma symptoms wheeze", US_national_yearly!$D:$AM, 10, FALSE), 1)</f>
        <v>3.2321730823395662E-3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4.7560273598092077E-5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4.7840386055910868E-5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4.8120498513729673E-5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4.8400610971548464E-5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4.8680723429367261E-5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4.8985960731890187E-5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4.929119803441312E-5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4.9584840780243609E-5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4.9878483526074112E-5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5.0172126271904615E-5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5.0465769017735104E-5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5.0759411763565606E-5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5.0970030077520269E-5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5.1180648391474939E-5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5.1391266705429602E-5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5.1601885019384265E-5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5.1812503333338934E-5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5.2011296018871769E-5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5.221008870440461E-5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5.2408881389937445E-5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5.2607674075470287E-5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5.2806466761003128E-5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5.2997173939881766E-5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5.3187881118760424E-5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5.3378588297639081E-5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5.3569295476517719E-5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5.3760002655396377E-5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2.8614210804644541E-4</v>
      </c>
      <c r="C13" s="7">
        <f>$B13 * IFERROR(VLOOKUP("electricity|SO2|Non-fatal heart attacks", US_national_yearly!$D:$AM, 11, FALSE) / VLOOKUP("electricity|SO2|Non-fatal heart attacks", US_national_yearly!$D:$AM, 10, FALSE), 1)</f>
        <v>2.9457058680184195E-4</v>
      </c>
      <c r="D13" s="7">
        <f>$B13 * IFERROR(VLOOKUP("electricity|SO2|Non-fatal heart attacks", US_national_yearly!$D:$AM, 12, FALSE) / VLOOKUP("electricity|SO2|Non-fatal heart attacks", US_national_yearly!$D:$AM, 10, FALSE), 1)</f>
        <v>3.0299906555723833E-4</v>
      </c>
      <c r="E13" s="7">
        <f>$B13 * IFERROR(VLOOKUP("electricity|SO2|Non-fatal heart attacks", US_national_yearly!$D:$AM, 13, FALSE) / VLOOKUP("electricity|SO2|Non-fatal heart attacks", US_national_yearly!$D:$AM, 10, FALSE), 1)</f>
        <v>3.1142754431263487E-4</v>
      </c>
      <c r="F13" s="7">
        <f>$B13 * IFERROR(VLOOKUP("electricity|SO2|Non-fatal heart attacks", US_national_yearly!$D:$AM, 14, FALSE) / VLOOKUP("electricity|SO2|Non-fatal heart attacks", US_national_yearly!$D:$AM, 10, FALSE), 1)</f>
        <v>3.198560230680313E-4</v>
      </c>
      <c r="G13" s="7">
        <f>$B13 * IFERROR(VLOOKUP("electricity|SO2|Non-fatal heart attacks", US_national_yearly!$D:$AM, 15, FALSE) / VLOOKUP("electricity|SO2|Non-fatal heart attacks", US_national_yearly!$D:$AM, 10, FALSE), 1)</f>
        <v>3.2785490228708742E-4</v>
      </c>
      <c r="H13" s="7">
        <f>$B13 * IFERROR(VLOOKUP("electricity|SO2|Non-fatal heart attacks", US_national_yearly!$D:$AM, 16, FALSE) / VLOOKUP("electricity|SO2|Non-fatal heart attacks", US_national_yearly!$D:$AM, 10, FALSE), 1)</f>
        <v>3.3585378150614354E-4</v>
      </c>
      <c r="I13" s="7">
        <f>$B13 * IFERROR(VLOOKUP("electricity|SO2|Non-fatal heart attacks", US_national_yearly!$D:$AM, 17, FALSE) / VLOOKUP("electricity|SO2|Non-fatal heart attacks", US_national_yearly!$D:$AM, 10, FALSE), 1)</f>
        <v>3.4236795306417321E-4</v>
      </c>
      <c r="J13" s="7">
        <f>$B13 * IFERROR(VLOOKUP("electricity|SO2|Non-fatal heart attacks", US_national_yearly!$D:$AM, 18, FALSE) / VLOOKUP("electricity|SO2|Non-fatal heart attacks", US_national_yearly!$D:$AM, 10, FALSE), 1)</f>
        <v>3.4888212462220281E-4</v>
      </c>
      <c r="K13" s="7">
        <f>$B13 * IFERROR(VLOOKUP("electricity|SO2|Non-fatal heart attacks", US_national_yearly!$D:$AM, 19, FALSE) / VLOOKUP("electricity|SO2|Non-fatal heart attacks", US_national_yearly!$D:$AM, 10, FALSE), 1)</f>
        <v>3.5539629618023253E-4</v>
      </c>
      <c r="L13" s="7">
        <f>$B13 * IFERROR(VLOOKUP("electricity|SO2|Non-fatal heart attacks", US_national_yearly!$D:$AM, 20, FALSE) / VLOOKUP("electricity|SO2|Non-fatal heart attacks", US_national_yearly!$D:$AM, 10, FALSE), 1)</f>
        <v>3.6191046773826214E-4</v>
      </c>
      <c r="M13" s="7">
        <f>$B13 * IFERROR(VLOOKUP("electricity|SO2|Non-fatal heart attacks", US_national_yearly!$D:$AM, 21, FALSE) / VLOOKUP("electricity|SO2|Non-fatal heart attacks", US_national_yearly!$D:$AM, 10, FALSE), 1)</f>
        <v>3.684246392962918E-4</v>
      </c>
      <c r="N13" s="7">
        <f>$B13 * IFERROR(VLOOKUP("electricity|SO2|Non-fatal heart attacks", US_national_yearly!$D:$AM, 22, FALSE) / VLOOKUP("electricity|SO2|Non-fatal heart attacks", US_national_yearly!$D:$AM, 10, FALSE), 1)</f>
        <v>3.727204287617352E-4</v>
      </c>
      <c r="O13" s="7">
        <f>$B13 * IFERROR(VLOOKUP("electricity|SO2|Non-fatal heart attacks", US_national_yearly!$D:$AM, 23, FALSE) / VLOOKUP("electricity|SO2|Non-fatal heart attacks", US_national_yearly!$D:$AM, 10, FALSE), 1)</f>
        <v>3.770162182271785E-4</v>
      </c>
      <c r="P13" s="7">
        <f>$B13 * IFERROR(VLOOKUP("electricity|SO2|Non-fatal heart attacks", US_national_yearly!$D:$AM, 24, FALSE) / VLOOKUP("electricity|SO2|Non-fatal heart attacks", US_national_yearly!$D:$AM, 10, FALSE), 1)</f>
        <v>3.813120076926219E-4</v>
      </c>
      <c r="Q13" s="7">
        <f>$B13 * IFERROR(VLOOKUP("electricity|SO2|Non-fatal heart attacks", US_national_yearly!$D:$AM, 25, FALSE) / VLOOKUP("electricity|SO2|Non-fatal heart attacks", US_national_yearly!$D:$AM, 10, FALSE), 1)</f>
        <v>3.856077971580653E-4</v>
      </c>
      <c r="R13" s="7">
        <f>$B13 * IFERROR(VLOOKUP("electricity|SO2|Non-fatal heart attacks", US_national_yearly!$D:$AM, 26, FALSE) / VLOOKUP("electricity|SO2|Non-fatal heart attacks", US_national_yearly!$D:$AM, 10, FALSE), 1)</f>
        <v>3.899035866235087E-4</v>
      </c>
      <c r="S13" s="7">
        <f>$B13 * IFERROR(VLOOKUP("electricity|SO2|Non-fatal heart attacks", US_national_yearly!$D:$AM, 27, FALSE) / VLOOKUP("electricity|SO2|Non-fatal heart attacks", US_national_yearly!$D:$AM, 10, FALSE), 1)</f>
        <v>3.9224125302359333E-4</v>
      </c>
      <c r="T13" s="7">
        <f>$B13 * IFERROR(VLOOKUP("electricity|SO2|Non-fatal heart attacks", US_national_yearly!$D:$AM, 28, FALSE) / VLOOKUP("electricity|SO2|Non-fatal heart attacks", US_national_yearly!$D:$AM, 10, FALSE), 1)</f>
        <v>3.9457891942367806E-4</v>
      </c>
      <c r="U13" s="7">
        <f>$B13 * IFERROR(VLOOKUP("electricity|SO2|Non-fatal heart attacks", US_national_yearly!$D:$AM, 29, FALSE) / VLOOKUP("electricity|SO2|Non-fatal heart attacks", US_national_yearly!$D:$AM, 10, FALSE), 1)</f>
        <v>3.9691658582376274E-4</v>
      </c>
      <c r="V13" s="7">
        <f>$B13 * IFERROR(VLOOKUP("electricity|SO2|Non-fatal heart attacks", US_national_yearly!$D:$AM, 30, FALSE) / VLOOKUP("electricity|SO2|Non-fatal heart attacks", US_national_yearly!$D:$AM, 10, FALSE), 1)</f>
        <v>3.9925425222384731E-4</v>
      </c>
      <c r="W13" s="7">
        <f>$B13 * IFERROR(VLOOKUP("electricity|SO2|Non-fatal heart attacks", US_national_yearly!$D:$AM, 31, FALSE) / VLOOKUP("electricity|SO2|Non-fatal heart attacks", US_national_yearly!$D:$AM, 10, FALSE), 1)</f>
        <v>4.0159191862393205E-4</v>
      </c>
      <c r="X13" s="7">
        <f>$B13 * IFERROR(VLOOKUP("electricity|SO2|Non-fatal heart attacks", US_national_yearly!$D:$AM, 32, FALSE) / VLOOKUP("electricity|SO2|Non-fatal heart attacks", US_national_yearly!$D:$AM, 10, FALSE), 1)</f>
        <v>4.0338763668306294E-4</v>
      </c>
      <c r="Y13" s="7">
        <f>$B13 * IFERROR(VLOOKUP("electricity|SO2|Non-fatal heart attacks", US_national_yearly!$D:$AM, 33, FALSE) / VLOOKUP("electricity|SO2|Non-fatal heart attacks", US_national_yearly!$D:$AM, 10, FALSE), 1)</f>
        <v>4.0518335474219389E-4</v>
      </c>
      <c r="Z13" s="7">
        <f>$B13 * IFERROR(VLOOKUP("electricity|SO2|Non-fatal heart attacks", US_national_yearly!$D:$AM, 34, FALSE) / VLOOKUP("electricity|SO2|Non-fatal heart attacks", US_national_yearly!$D:$AM, 10, FALSE), 1)</f>
        <v>4.0697907280132472E-4</v>
      </c>
      <c r="AA13" s="7">
        <f>$B13 * IFERROR(VLOOKUP("electricity|SO2|Non-fatal heart attacks", US_national_yearly!$D:$AM, 35, FALSE) / VLOOKUP("electricity|SO2|Non-fatal heart attacks", US_national_yearly!$D:$AM, 10, FALSE), 1)</f>
        <v>4.0877479086045562E-4</v>
      </c>
      <c r="AB13" s="7">
        <f>$B13 * IFERROR(VLOOKUP("electricity|SO2|Non-fatal heart attacks", US_national_yearly!$D:$AM, 36, FALSE) / VLOOKUP("electricity|SO2|Non-fatal heart attacks", US_national_yearly!$D:$AM, 10, FALSE), 1)</f>
        <v>4.1057050891958651E-4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0.19688982804502192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0.19738460276418932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0.19787937748335668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0.19837415220252411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0.19886892692169145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0.19958376942382675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0.20029861192596202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0.20152462185369585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0.20275063178142971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0.20397664170916355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0.20520265163689747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0.20642866156463127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0.20811705432912089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0.20980544709361046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0.21149383985810002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0.21318223262258962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0.21487062538707918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0.21660149416032409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0.218332362933569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0.22006323170681388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0.22179410048005879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0.2235249692533037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0.22504794407497125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0.22657091889663877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0.22809389371830627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0.22961686853997382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0.23113984336164134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3.3302652175720572E-2</v>
      </c>
      <c r="C15" s="7">
        <f>$B15 * IFERROR(VLOOKUP("electricity|SO2|Work loss days", US_national_yearly!$D:$AM, 11, FALSE) / VLOOKUP("electricity|SO2|Work loss days", US_national_yearly!$D:$AM, 10, FALSE), 1)</f>
        <v>3.3410487170643398E-2</v>
      </c>
      <c r="D15" s="7">
        <f>$B15 * IFERROR(VLOOKUP("electricity|SO2|Work loss days", US_national_yearly!$D:$AM, 12, FALSE) / VLOOKUP("electricity|SO2|Work loss days", US_national_yearly!$D:$AM, 10, FALSE), 1)</f>
        <v>3.3518322165566217E-2</v>
      </c>
      <c r="E15" s="7">
        <f>$B15 * IFERROR(VLOOKUP("electricity|SO2|Work loss days", US_national_yearly!$D:$AM, 13, FALSE) / VLOOKUP("electricity|SO2|Work loss days", US_national_yearly!$D:$AM, 10, FALSE), 1)</f>
        <v>3.3626157160489049E-2</v>
      </c>
      <c r="F15" s="7">
        <f>$B15 * IFERROR(VLOOKUP("electricity|SO2|Work loss days", US_national_yearly!$D:$AM, 14, FALSE) / VLOOKUP("electricity|SO2|Work loss days", US_national_yearly!$D:$AM, 10, FALSE), 1)</f>
        <v>3.3733992155411868E-2</v>
      </c>
      <c r="G15" s="7">
        <f>$B15 * IFERROR(VLOOKUP("electricity|SO2|Work loss days", US_national_yearly!$D:$AM, 15, FALSE) / VLOOKUP("electricity|SO2|Work loss days", US_national_yearly!$D:$AM, 10, FALSE), 1)</f>
        <v>3.3872135465790071E-2</v>
      </c>
      <c r="H15" s="7">
        <f>$B15 * IFERROR(VLOOKUP("electricity|SO2|Work loss days", US_national_yearly!$D:$AM, 16, FALSE) / VLOOKUP("electricity|SO2|Work loss days", US_national_yearly!$D:$AM, 10, FALSE), 1)</f>
        <v>3.401027877616828E-2</v>
      </c>
      <c r="I15" s="7">
        <f>$B15 * IFERROR(VLOOKUP("electricity|SO2|Work loss days", US_national_yearly!$D:$AM, 17, FALSE) / VLOOKUP("electricity|SO2|Work loss days", US_national_yearly!$D:$AM, 10, FALSE), 1)</f>
        <v>3.4212398688919177E-2</v>
      </c>
      <c r="J15" s="7">
        <f>$B15 * IFERROR(VLOOKUP("electricity|SO2|Work loss days", US_national_yearly!$D:$AM, 18, FALSE) / VLOOKUP("electricity|SO2|Work loss days", US_national_yearly!$D:$AM, 10, FALSE), 1)</f>
        <v>3.4414518601670073E-2</v>
      </c>
      <c r="K15" s="7">
        <f>$B15 * IFERROR(VLOOKUP("electricity|SO2|Work loss days", US_national_yearly!$D:$AM, 19, FALSE) / VLOOKUP("electricity|SO2|Work loss days", US_national_yearly!$D:$AM, 10, FALSE), 1)</f>
        <v>3.4616638514420983E-2</v>
      </c>
      <c r="L15" s="7">
        <f>$B15 * IFERROR(VLOOKUP("electricity|SO2|Work loss days", US_national_yearly!$D:$AM, 20, FALSE) / VLOOKUP("electricity|SO2|Work loss days", US_national_yearly!$D:$AM, 10, FALSE), 1)</f>
        <v>3.4818758427171879E-2</v>
      </c>
      <c r="M15" s="7">
        <f>$B15 * IFERROR(VLOOKUP("electricity|SO2|Work loss days", US_national_yearly!$D:$AM, 21, FALSE) / VLOOKUP("electricity|SO2|Work loss days", US_national_yearly!$D:$AM, 10, FALSE), 1)</f>
        <v>3.5020878339922783E-2</v>
      </c>
      <c r="N15" s="7">
        <f>$B15 * IFERROR(VLOOKUP("electricity|SO2|Work loss days", US_national_yearly!$D:$AM, 22, FALSE) / VLOOKUP("electricity|SO2|Work loss days", US_national_yearly!$D:$AM, 10, FALSE), 1)</f>
        <v>3.5276610295610959E-2</v>
      </c>
      <c r="O15" s="7">
        <f>$B15 * IFERROR(VLOOKUP("electricity|SO2|Work loss days", US_national_yearly!$D:$AM, 23, FALSE) / VLOOKUP("electricity|SO2|Work loss days", US_national_yearly!$D:$AM, 10, FALSE), 1)</f>
        <v>3.5532342251299143E-2</v>
      </c>
      <c r="P15" s="7">
        <f>$B15 * IFERROR(VLOOKUP("electricity|SO2|Work loss days", US_national_yearly!$D:$AM, 24, FALSE) / VLOOKUP("electricity|SO2|Work loss days", US_national_yearly!$D:$AM, 10, FALSE), 1)</f>
        <v>3.5788074206987319E-2</v>
      </c>
      <c r="Q15" s="7">
        <f>$B15 * IFERROR(VLOOKUP("electricity|SO2|Work loss days", US_national_yearly!$D:$AM, 25, FALSE) / VLOOKUP("electricity|SO2|Work loss days", US_national_yearly!$D:$AM, 10, FALSE), 1)</f>
        <v>3.6043806162675496E-2</v>
      </c>
      <c r="R15" s="7">
        <f>$B15 * IFERROR(VLOOKUP("electricity|SO2|Work loss days", US_national_yearly!$D:$AM, 26, FALSE) / VLOOKUP("electricity|SO2|Work loss days", US_national_yearly!$D:$AM, 10, FALSE), 1)</f>
        <v>3.6299538118363672E-2</v>
      </c>
      <c r="S15" s="7">
        <f>$B15 * IFERROR(VLOOKUP("electricity|SO2|Work loss days", US_national_yearly!$D:$AM, 27, FALSE) / VLOOKUP("electricity|SO2|Work loss days", US_national_yearly!$D:$AM, 10, FALSE), 1)</f>
        <v>3.6586237504845222E-2</v>
      </c>
      <c r="T15" s="7">
        <f>$B15 * IFERROR(VLOOKUP("electricity|SO2|Work loss days", US_national_yearly!$D:$AM, 28, FALSE) / VLOOKUP("electricity|SO2|Work loss days", US_national_yearly!$D:$AM, 10, FALSE), 1)</f>
        <v>3.6872936891326771E-2</v>
      </c>
      <c r="U15" s="7">
        <f>$B15 * IFERROR(VLOOKUP("electricity|SO2|Work loss days", US_national_yearly!$D:$AM, 29, FALSE) / VLOOKUP("electricity|SO2|Work loss days", US_national_yearly!$D:$AM, 10, FALSE), 1)</f>
        <v>3.7159636277808321E-2</v>
      </c>
      <c r="V15" s="7">
        <f>$B15 * IFERROR(VLOOKUP("electricity|SO2|Work loss days", US_national_yearly!$D:$AM, 30, FALSE) / VLOOKUP("electricity|SO2|Work loss days", US_national_yearly!$D:$AM, 10, FALSE), 1)</f>
        <v>3.744633566428987E-2</v>
      </c>
      <c r="W15" s="7">
        <f>$B15 * IFERROR(VLOOKUP("electricity|SO2|Work loss days", US_national_yearly!$D:$AM, 31, FALSE) / VLOOKUP("electricity|SO2|Work loss days", US_national_yearly!$D:$AM, 10, FALSE), 1)</f>
        <v>3.773303505077142E-2</v>
      </c>
      <c r="X15" s="7">
        <f>$B15 * IFERROR(VLOOKUP("electricity|SO2|Work loss days", US_national_yearly!$D:$AM, 32, FALSE) / VLOOKUP("electricity|SO2|Work loss days", US_national_yearly!$D:$AM, 10, FALSE), 1)</f>
        <v>3.7991322841738E-2</v>
      </c>
      <c r="Y15" s="7">
        <f>$B15 * IFERROR(VLOOKUP("electricity|SO2|Work loss days", US_national_yearly!$D:$AM, 33, FALSE) / VLOOKUP("electricity|SO2|Work loss days", US_national_yearly!$D:$AM, 10, FALSE), 1)</f>
        <v>3.8249610632704573E-2</v>
      </c>
      <c r="Z15" s="7">
        <f>$B15 * IFERROR(VLOOKUP("electricity|SO2|Work loss days", US_national_yearly!$D:$AM, 34, FALSE) / VLOOKUP("electricity|SO2|Work loss days", US_national_yearly!$D:$AM, 10, FALSE), 1)</f>
        <v>3.8507898423671139E-2</v>
      </c>
      <c r="AA15" s="7">
        <f>$B15 * IFERROR(VLOOKUP("electricity|SO2|Work loss days", US_national_yearly!$D:$AM, 35, FALSE) / VLOOKUP("electricity|SO2|Work loss days", US_national_yearly!$D:$AM, 10, FALSE), 1)</f>
        <v>3.8766186214637711E-2</v>
      </c>
      <c r="AB15" s="7">
        <f>$B15 * IFERROR(VLOOKUP("electricity|SO2|Work loss days", US_national_yearly!$D:$AM, 36, FALSE) / VLOOKUP("electricity|SO2|Work loss days", US_national_yearly!$D:$AM, 10, FALSE), 1)</f>
        <v>3.9024474005604291E-2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7.2016292510031438E-5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7.4198586365560013E-5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7.6380880221088587E-5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7.8563174076617189E-5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8.0745467932145763E-5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8.2849060149728967E-5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8.4952652367312184E-5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8.6773817429689208E-5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8.8594982492066246E-5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9.0416147554443269E-5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9.223731261682028E-5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9.4058477679197317E-5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9.5301417978831642E-5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9.6544358278465953E-5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9.7787298578100318E-5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9.9030238877734629E-5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1.0027317917736895E-4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1.0095458181950891E-4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1.0163598446164885E-4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1.0231738710378881E-4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1.0299878974592875E-4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1.0368019238806869E-4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1.0415055633314186E-4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1.04620920278215E-4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1.0509128422328816E-4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1.0556164816836131E-4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1.0603201211343447E-4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6.0865085189923035E-2</v>
      </c>
      <c r="C2" s="7">
        <f>$B2 * IFERROR(VLOOKUP("buildings|PM25|Premature mortality", US_national_yearly!$D:$AM, 11, FALSE) / VLOOKUP("buildings|PM25|Premature mortality", US_national_yearly!$D:$AM, 10, FALSE), 1)</f>
        <v>6.1620225423766342E-2</v>
      </c>
      <c r="D2" s="7">
        <f>$B2 * IFERROR(VLOOKUP("buildings|PM25|Premature mortality", US_national_yearly!$D:$AM, 12, FALSE) / VLOOKUP("buildings|PM25|Premature mortality", US_national_yearly!$D:$AM, 10, FALSE), 1)</f>
        <v>6.2375365657609649E-2</v>
      </c>
      <c r="E2" s="7">
        <f>$B2 * IFERROR(VLOOKUP("buildings|PM25|Premature mortality", US_national_yearly!$D:$AM, 13, FALSE) / VLOOKUP("buildings|PM25|Premature mortality", US_national_yearly!$D:$AM, 10, FALSE), 1)</f>
        <v>6.3130505891452957E-2</v>
      </c>
      <c r="F2" s="7">
        <f>$B2 * IFERROR(VLOOKUP("buildings|PM25|Premature mortality", US_national_yearly!$D:$AM, 14, FALSE) / VLOOKUP("buildings|PM25|Premature mortality", US_national_yearly!$D:$AM, 10, FALSE), 1)</f>
        <v>6.3885646125296264E-2</v>
      </c>
      <c r="G2" s="7">
        <f>$B2 * IFERROR(VLOOKUP("buildings|PM25|Premature mortality", US_national_yearly!$D:$AM, 15, FALSE) / VLOOKUP("buildings|PM25|Premature mortality", US_national_yearly!$D:$AM, 10, FALSE), 1)</f>
        <v>6.5356059018010143E-2</v>
      </c>
      <c r="H2" s="7">
        <f>$B2 * IFERROR(VLOOKUP("buildings|PM25|Premature mortality", US_national_yearly!$D:$AM, 16, FALSE) / VLOOKUP("buildings|PM25|Premature mortality", US_national_yearly!$D:$AM, 10, FALSE), 1)</f>
        <v>6.6826471910724008E-2</v>
      </c>
      <c r="I2" s="7">
        <f>$B2 * IFERROR(VLOOKUP("buildings|PM25|Premature mortality", US_national_yearly!$D:$AM, 17, FALSE) / VLOOKUP("buildings|PM25|Premature mortality", US_national_yearly!$D:$AM, 10, FALSE), 1)</f>
        <v>6.7793537143818014E-2</v>
      </c>
      <c r="J2" s="7">
        <f>$B2 * IFERROR(VLOOKUP("buildings|PM25|Premature mortality", US_national_yearly!$D:$AM, 18, FALSE) / VLOOKUP("buildings|PM25|Premature mortality", US_national_yearly!$D:$AM, 10, FALSE), 1)</f>
        <v>6.8760602376912006E-2</v>
      </c>
      <c r="K2" s="7">
        <f>$B2 * IFERROR(VLOOKUP("buildings|PM25|Premature mortality", US_national_yearly!$D:$AM, 19, FALSE) / VLOOKUP("buildings|PM25|Premature mortality", US_national_yearly!$D:$AM, 10, FALSE), 1)</f>
        <v>6.9727667610005997E-2</v>
      </c>
      <c r="L2" s="7">
        <f>$B2 * IFERROR(VLOOKUP("buildings|PM25|Premature mortality", US_national_yearly!$D:$AM, 20, FALSE) / VLOOKUP("buildings|PM25|Premature mortality", US_national_yearly!$D:$AM, 10, FALSE), 1)</f>
        <v>7.0694732843100003E-2</v>
      </c>
      <c r="M2" s="7">
        <f>$B2 * IFERROR(VLOOKUP("buildings|PM25|Premature mortality", US_national_yearly!$D:$AM, 21, FALSE) / VLOOKUP("buildings|PM25|Premature mortality", US_national_yearly!$D:$AM, 10, FALSE), 1)</f>
        <v>7.1661798076193994E-2</v>
      </c>
      <c r="N2" s="7">
        <f>$B2 * IFERROR(VLOOKUP("buildings|PM25|Premature mortality", US_national_yearly!$D:$AM, 22, FALSE) / VLOOKUP("buildings|PM25|Premature mortality", US_national_yearly!$D:$AM, 10, FALSE), 1)</f>
        <v>7.2413798776307076E-2</v>
      </c>
      <c r="O2" s="7">
        <f>$B2 * IFERROR(VLOOKUP("buildings|PM25|Premature mortality", US_national_yearly!$D:$AM, 23, FALSE) / VLOOKUP("buildings|PM25|Premature mortality", US_national_yearly!$D:$AM, 10, FALSE), 1)</f>
        <v>7.3165799476420171E-2</v>
      </c>
      <c r="P2" s="7">
        <f>$B2 * IFERROR(VLOOKUP("buildings|PM25|Premature mortality", US_national_yearly!$D:$AM, 24, FALSE) / VLOOKUP("buildings|PM25|Premature mortality", US_national_yearly!$D:$AM, 10, FALSE), 1)</f>
        <v>7.3917800176533266E-2</v>
      </c>
      <c r="Q2" s="7">
        <f>$B2 * IFERROR(VLOOKUP("buildings|PM25|Premature mortality", US_national_yearly!$D:$AM, 25, FALSE) / VLOOKUP("buildings|PM25|Premature mortality", US_national_yearly!$D:$AM, 10, FALSE), 1)</f>
        <v>7.4669800876646375E-2</v>
      </c>
      <c r="R2" s="7">
        <f>$B2 * IFERROR(VLOOKUP("buildings|PM25|Premature mortality", US_national_yearly!$D:$AM, 26, FALSE) / VLOOKUP("buildings|PM25|Premature mortality", US_national_yearly!$D:$AM, 10, FALSE), 1)</f>
        <v>7.5421801576759456E-2</v>
      </c>
      <c r="S2" s="7">
        <f>$B2 * IFERROR(VLOOKUP("buildings|PM25|Premature mortality", US_national_yearly!$D:$AM, 27, FALSE) / VLOOKUP("buildings|PM25|Premature mortality", US_national_yearly!$D:$AM, 10, FALSE), 1)</f>
        <v>7.5821497418400594E-2</v>
      </c>
      <c r="T2" s="7">
        <f>$B2 * IFERROR(VLOOKUP("buildings|PM25|Premature mortality", US_national_yearly!$D:$AM, 28, FALSE) / VLOOKUP("buildings|PM25|Premature mortality", US_national_yearly!$D:$AM, 10, FALSE), 1)</f>
        <v>7.6221193260041745E-2</v>
      </c>
      <c r="U2" s="7">
        <f>$B2 * IFERROR(VLOOKUP("buildings|PM25|Premature mortality", US_national_yearly!$D:$AM, 29, FALSE) / VLOOKUP("buildings|PM25|Premature mortality", US_national_yearly!$D:$AM, 10, FALSE), 1)</f>
        <v>7.6620889101682896E-2</v>
      </c>
      <c r="V2" s="7">
        <f>$B2 * IFERROR(VLOOKUP("buildings|PM25|Premature mortality", US_national_yearly!$D:$AM, 30, FALSE) / VLOOKUP("buildings|PM25|Premature mortality", US_national_yearly!$D:$AM, 10, FALSE), 1)</f>
        <v>7.7020584943324047E-2</v>
      </c>
      <c r="W2" s="7">
        <f>$B2 * IFERROR(VLOOKUP("buildings|PM25|Premature mortality", US_national_yearly!$D:$AM, 31, FALSE) / VLOOKUP("buildings|PM25|Premature mortality", US_national_yearly!$D:$AM, 10, FALSE), 1)</f>
        <v>7.742028078496517E-2</v>
      </c>
      <c r="X2" s="7">
        <f>$B2 * IFERROR(VLOOKUP("buildings|PM25|Premature mortality", US_national_yearly!$D:$AM, 32, FALSE) / VLOOKUP("buildings|PM25|Premature mortality", US_national_yearly!$D:$AM, 10, FALSE), 1)</f>
        <v>7.7492022979715469E-2</v>
      </c>
      <c r="Y2" s="7">
        <f>$B2 * IFERROR(VLOOKUP("buildings|PM25|Premature mortality", US_national_yearly!$D:$AM, 33, FALSE) / VLOOKUP("buildings|PM25|Premature mortality", US_national_yearly!$D:$AM, 10, FALSE), 1)</f>
        <v>7.7563765174465754E-2</v>
      </c>
      <c r="Z2" s="7">
        <f>$B2 * IFERROR(VLOOKUP("buildings|PM25|Premature mortality", US_national_yearly!$D:$AM, 34, FALSE) / VLOOKUP("buildings|PM25|Premature mortality", US_national_yearly!$D:$AM, 10, FALSE), 1)</f>
        <v>7.7635507369216053E-2</v>
      </c>
      <c r="AA2" s="7">
        <f>$B2 * IFERROR(VLOOKUP("buildings|PM25|Premature mortality", US_national_yearly!$D:$AM, 35, FALSE) / VLOOKUP("buildings|PM25|Premature mortality", US_national_yearly!$D:$AM, 10, FALSE), 1)</f>
        <v>7.7707249563966352E-2</v>
      </c>
      <c r="AB2" s="7">
        <f>$B2 * IFERROR(VLOOKUP("buildings|PM25|Premature mortality", US_national_yearly!$D:$AM, 36, FALSE) / VLOOKUP("buildings|PM25|Premature mortality", US_national_yearly!$D:$AM, 10, FALSE), 1)</f>
        <v>7.7778991758716637E-2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1.7685738324118227E-4</v>
      </c>
      <c r="C3" s="7">
        <f>$B3 * IFERROR(VLOOKUP("buildings|PM25|Infant mortality", US_national_yearly!$D:$AM, 11, FALSE) / VLOOKUP("buildings|PM25|Infant mortality", US_national_yearly!$D:$AM, 10, FALSE), 1)</f>
        <v>1.7532551220865417E-4</v>
      </c>
      <c r="D3" s="7">
        <f>$B3 * IFERROR(VLOOKUP("buildings|PM25|Infant mortality", US_national_yearly!$D:$AM, 12, FALSE) / VLOOKUP("buildings|PM25|Infant mortality", US_national_yearly!$D:$AM, 10, FALSE), 1)</f>
        <v>1.737936411761261E-4</v>
      </c>
      <c r="E3" s="7">
        <f>$B3 * IFERROR(VLOOKUP("buildings|PM25|Infant mortality", US_national_yearly!$D:$AM, 13, FALSE) / VLOOKUP("buildings|PM25|Infant mortality", US_national_yearly!$D:$AM, 10, FALSE), 1)</f>
        <v>1.7226177014359801E-4</v>
      </c>
      <c r="F3" s="7">
        <f>$B3 * IFERROR(VLOOKUP("buildings|PM25|Infant mortality", US_national_yearly!$D:$AM, 14, FALSE) / VLOOKUP("buildings|PM25|Infant mortality", US_national_yearly!$D:$AM, 10, FALSE), 1)</f>
        <v>1.7072989911106994E-4</v>
      </c>
      <c r="G3" s="7">
        <f>$B3 * IFERROR(VLOOKUP("buildings|PM25|Infant mortality", US_national_yearly!$D:$AM, 15, FALSE) / VLOOKUP("buildings|PM25|Infant mortality", US_national_yearly!$D:$AM, 10, FALSE), 1)</f>
        <v>1.13529188968936E-4</v>
      </c>
      <c r="H3" s="7">
        <f>$B3 * IFERROR(VLOOKUP("buildings|PM25|Infant mortality", US_national_yearly!$D:$AM, 16, FALSE) / VLOOKUP("buildings|PM25|Infant mortality", US_national_yearly!$D:$AM, 10, FALSE), 1)</f>
        <v>5.6328478826802075E-5</v>
      </c>
      <c r="I3" s="7">
        <f>$B3 * IFERROR(VLOOKUP("buildings|PM25|Infant mortality", US_national_yearly!$D:$AM, 17, FALSE) / VLOOKUP("buildings|PM25|Infant mortality", US_national_yearly!$D:$AM, 10, FALSE), 1)</f>
        <v>5.5961419610198654E-5</v>
      </c>
      <c r="J3" s="7">
        <f>$B3 * IFERROR(VLOOKUP("buildings|PM25|Infant mortality", US_national_yearly!$D:$AM, 18, FALSE) / VLOOKUP("buildings|PM25|Infant mortality", US_national_yearly!$D:$AM, 10, FALSE), 1)</f>
        <v>5.5594360393595233E-5</v>
      </c>
      <c r="K3" s="7">
        <f>$B3 * IFERROR(VLOOKUP("buildings|PM25|Infant mortality", US_national_yearly!$D:$AM, 19, FALSE) / VLOOKUP("buildings|PM25|Infant mortality", US_national_yearly!$D:$AM, 10, FALSE), 1)</f>
        <v>5.5227301176991812E-5</v>
      </c>
      <c r="L3" s="7">
        <f>$B3 * IFERROR(VLOOKUP("buildings|PM25|Infant mortality", US_national_yearly!$D:$AM, 20, FALSE) / VLOOKUP("buildings|PM25|Infant mortality", US_national_yearly!$D:$AM, 10, FALSE), 1)</f>
        <v>5.4860241960388391E-5</v>
      </c>
      <c r="M3" s="7">
        <f>$B3 * IFERROR(VLOOKUP("buildings|PM25|Infant mortality", US_national_yearly!$D:$AM, 21, FALSE) / VLOOKUP("buildings|PM25|Infant mortality", US_national_yearly!$D:$AM, 10, FALSE), 1)</f>
        <v>5.449318274378497E-5</v>
      </c>
      <c r="N3" s="7">
        <f>$B3 * IFERROR(VLOOKUP("buildings|PM25|Infant mortality", US_national_yearly!$D:$AM, 22, FALSE) / VLOOKUP("buildings|PM25|Infant mortality", US_national_yearly!$D:$AM, 10, FALSE), 1)</f>
        <v>5.4263515367237864E-5</v>
      </c>
      <c r="O3" s="7">
        <f>$B3 * IFERROR(VLOOKUP("buildings|PM25|Infant mortality", US_national_yearly!$D:$AM, 23, FALSE) / VLOOKUP("buildings|PM25|Infant mortality", US_national_yearly!$D:$AM, 10, FALSE), 1)</f>
        <v>5.4033847990690751E-5</v>
      </c>
      <c r="P3" s="7">
        <f>$B3 * IFERROR(VLOOKUP("buildings|PM25|Infant mortality", US_national_yearly!$D:$AM, 24, FALSE) / VLOOKUP("buildings|PM25|Infant mortality", US_national_yearly!$D:$AM, 10, FALSE), 1)</f>
        <v>5.3804180614143645E-5</v>
      </c>
      <c r="Q3" s="7">
        <f>$B3 * IFERROR(VLOOKUP("buildings|PM25|Infant mortality", US_national_yearly!$D:$AM, 25, FALSE) / VLOOKUP("buildings|PM25|Infant mortality", US_national_yearly!$D:$AM, 10, FALSE), 1)</f>
        <v>5.3574513237596532E-5</v>
      </c>
      <c r="R3" s="7">
        <f>$B3 * IFERROR(VLOOKUP("buildings|PM25|Infant mortality", US_national_yearly!$D:$AM, 26, FALSE) / VLOOKUP("buildings|PM25|Infant mortality", US_national_yearly!$D:$AM, 10, FALSE), 1)</f>
        <v>5.3344845861049426E-5</v>
      </c>
      <c r="S3" s="7">
        <f>$B3 * IFERROR(VLOOKUP("buildings|PM25|Infant mortality", US_national_yearly!$D:$AM, 27, FALSE) / VLOOKUP("buildings|PM25|Infant mortality", US_national_yearly!$D:$AM, 10, FALSE), 1)</f>
        <v>5.3058090348908584E-5</v>
      </c>
      <c r="T3" s="7">
        <f>$B3 * IFERROR(VLOOKUP("buildings|PM25|Infant mortality", US_national_yearly!$D:$AM, 28, FALSE) / VLOOKUP("buildings|PM25|Infant mortality", US_national_yearly!$D:$AM, 10, FALSE), 1)</f>
        <v>5.2771334836767749E-5</v>
      </c>
      <c r="U3" s="7">
        <f>$B3 * IFERROR(VLOOKUP("buildings|PM25|Infant mortality", US_national_yearly!$D:$AM, 29, FALSE) / VLOOKUP("buildings|PM25|Infant mortality", US_national_yearly!$D:$AM, 10, FALSE), 1)</f>
        <v>5.2484579324626893E-5</v>
      </c>
      <c r="V3" s="7">
        <f>$B3 * IFERROR(VLOOKUP("buildings|PM25|Infant mortality", US_national_yearly!$D:$AM, 30, FALSE) / VLOOKUP("buildings|PM25|Infant mortality", US_national_yearly!$D:$AM, 10, FALSE), 1)</f>
        <v>5.2197823812486058E-5</v>
      </c>
      <c r="W3" s="7">
        <f>$B3 * IFERROR(VLOOKUP("buildings|PM25|Infant mortality", US_national_yearly!$D:$AM, 31, FALSE) / VLOOKUP("buildings|PM25|Infant mortality", US_national_yearly!$D:$AM, 10, FALSE), 1)</f>
        <v>5.1911068300345216E-5</v>
      </c>
      <c r="X3" s="7">
        <f>$B3 * IFERROR(VLOOKUP("buildings|PM25|Infant mortality", US_national_yearly!$D:$AM, 32, FALSE) / VLOOKUP("buildings|PM25|Infant mortality", US_national_yearly!$D:$AM, 10, FALSE), 1)</f>
        <v>5.1602339070654249E-5</v>
      </c>
      <c r="Y3" s="7">
        <f>$B3 * IFERROR(VLOOKUP("buildings|PM25|Infant mortality", US_national_yearly!$D:$AM, 33, FALSE) / VLOOKUP("buildings|PM25|Infant mortality", US_national_yearly!$D:$AM, 10, FALSE), 1)</f>
        <v>5.129360984096329E-5</v>
      </c>
      <c r="Z3" s="7">
        <f>$B3 * IFERROR(VLOOKUP("buildings|PM25|Infant mortality", US_national_yearly!$D:$AM, 34, FALSE) / VLOOKUP("buildings|PM25|Infant mortality", US_national_yearly!$D:$AM, 10, FALSE), 1)</f>
        <v>5.0984880611272323E-5</v>
      </c>
      <c r="AA3" s="7">
        <f>$B3 * IFERROR(VLOOKUP("buildings|PM25|Infant mortality", US_national_yearly!$D:$AM, 35, FALSE) / VLOOKUP("buildings|PM25|Infant mortality", US_national_yearly!$D:$AM, 10, FALSE), 1)</f>
        <v>5.0676151381581357E-5</v>
      </c>
      <c r="AB3" s="7">
        <f>$B3 * IFERROR(VLOOKUP("buildings|PM25|Infant mortality", US_national_yearly!$D:$AM, 36, FALSE) / VLOOKUP("buildings|PM25|Infant mortality", US_national_yearly!$D:$AM, 10, FALSE), 1)</f>
        <v>5.0367422151890397E-5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0.17461340540602599</v>
      </c>
      <c r="C6" s="7">
        <f>$B6 * IFERROR(VLOOKUP("buildings|PM25|Asthma symptoms cough", US_national_yearly!$D:$AM, 11, FALSE) / VLOOKUP("buildings|PM25|Asthma symptoms cough", US_national_yearly!$D:$AM, 10, FALSE), 1)</f>
        <v>0.17461340540602599</v>
      </c>
      <c r="D6" s="7">
        <f>$B6 * IFERROR(VLOOKUP("buildings|PM25|Asthma symptoms cough", US_national_yearly!$D:$AM, 12, FALSE) / VLOOKUP("buildings|PM25|Asthma symptoms cough", US_national_yearly!$D:$AM, 10, FALSE), 1)</f>
        <v>0.17461340540602599</v>
      </c>
      <c r="E6" s="7">
        <f>$B6 * IFERROR(VLOOKUP("buildings|PM25|Asthma symptoms cough", US_national_yearly!$D:$AM, 13, FALSE) / VLOOKUP("buildings|PM25|Asthma symptoms cough", US_national_yearly!$D:$AM, 10, FALSE), 1)</f>
        <v>0.17461340540602599</v>
      </c>
      <c r="F6" s="7">
        <f>$B6 * IFERROR(VLOOKUP("buildings|PM25|Asthma symptoms cough", US_national_yearly!$D:$AM, 14, FALSE) / VLOOKUP("buildings|PM25|Asthma symptoms cough", US_national_yearly!$D:$AM, 10, FALSE), 1)</f>
        <v>0.17461340540602599</v>
      </c>
      <c r="G6" s="7">
        <f>$B6 * IFERROR(VLOOKUP("buildings|PM25|Asthma symptoms cough", US_national_yearly!$D:$AM, 15, FALSE) / VLOOKUP("buildings|PM25|Asthma symptoms cough", US_national_yearly!$D:$AM, 10, FALSE), 1)</f>
        <v>0.17461340540602599</v>
      </c>
      <c r="H6" s="7">
        <f>$B6 * IFERROR(VLOOKUP("buildings|PM25|Asthma symptoms cough", US_national_yearly!$D:$AM, 16, FALSE) / VLOOKUP("buildings|PM25|Asthma symptoms cough", US_national_yearly!$D:$AM, 10, FALSE), 1)</f>
        <v>0.17461340540602599</v>
      </c>
      <c r="I6" s="7">
        <f>$B6 * IFERROR(VLOOKUP("buildings|PM25|Asthma symptoms cough", US_national_yearly!$D:$AM, 17, FALSE) / VLOOKUP("buildings|PM25|Asthma symptoms cough", US_national_yearly!$D:$AM, 10, FALSE), 1)</f>
        <v>0.17461340540602599</v>
      </c>
      <c r="J6" s="7">
        <f>$B6 * IFERROR(VLOOKUP("buildings|PM25|Asthma symptoms cough", US_national_yearly!$D:$AM, 18, FALSE) / VLOOKUP("buildings|PM25|Asthma symptoms cough", US_national_yearly!$D:$AM, 10, FALSE), 1)</f>
        <v>0.17461340540602599</v>
      </c>
      <c r="K6" s="7">
        <f>$B6 * IFERROR(VLOOKUP("buildings|PM25|Asthma symptoms cough", US_national_yearly!$D:$AM, 19, FALSE) / VLOOKUP("buildings|PM25|Asthma symptoms cough", US_national_yearly!$D:$AM, 10, FALSE), 1)</f>
        <v>0.17461340540602599</v>
      </c>
      <c r="L6" s="7">
        <f>$B6 * IFERROR(VLOOKUP("buildings|PM25|Asthma symptoms cough", US_national_yearly!$D:$AM, 20, FALSE) / VLOOKUP("buildings|PM25|Asthma symptoms cough", US_national_yearly!$D:$AM, 10, FALSE), 1)</f>
        <v>0.17461340540602599</v>
      </c>
      <c r="M6" s="7">
        <f>$B6 * IFERROR(VLOOKUP("buildings|PM25|Asthma symptoms cough", US_national_yearly!$D:$AM, 21, FALSE) / VLOOKUP("buildings|PM25|Asthma symptoms cough", US_national_yearly!$D:$AM, 10, FALSE), 1)</f>
        <v>0.17461340540602599</v>
      </c>
      <c r="N6" s="7">
        <f>$B6 * IFERROR(VLOOKUP("buildings|PM25|Asthma symptoms cough", US_national_yearly!$D:$AM, 22, FALSE) / VLOOKUP("buildings|PM25|Asthma symptoms cough", US_national_yearly!$D:$AM, 10, FALSE), 1)</f>
        <v>0.17461340540602599</v>
      </c>
      <c r="O6" s="7">
        <f>$B6 * IFERROR(VLOOKUP("buildings|PM25|Asthma symptoms cough", US_national_yearly!$D:$AM, 23, FALSE) / VLOOKUP("buildings|PM25|Asthma symptoms cough", US_national_yearly!$D:$AM, 10, FALSE), 1)</f>
        <v>0.17461340540602599</v>
      </c>
      <c r="P6" s="7">
        <f>$B6 * IFERROR(VLOOKUP("buildings|PM25|Asthma symptoms cough", US_national_yearly!$D:$AM, 24, FALSE) / VLOOKUP("buildings|PM25|Asthma symptoms cough", US_national_yearly!$D:$AM, 10, FALSE), 1)</f>
        <v>0.17461340540602599</v>
      </c>
      <c r="Q6" s="7">
        <f>$B6 * IFERROR(VLOOKUP("buildings|PM25|Asthma symptoms cough", US_national_yearly!$D:$AM, 25, FALSE) / VLOOKUP("buildings|PM25|Asthma symptoms cough", US_national_yearly!$D:$AM, 10, FALSE), 1)</f>
        <v>0.17461340540602599</v>
      </c>
      <c r="R6" s="7">
        <f>$B6 * IFERROR(VLOOKUP("buildings|PM25|Asthma symptoms cough", US_national_yearly!$D:$AM, 26, FALSE) / VLOOKUP("buildings|PM25|Asthma symptoms cough", US_national_yearly!$D:$AM, 10, FALSE), 1)</f>
        <v>0.17461340540602599</v>
      </c>
      <c r="S6" s="7">
        <f>$B6 * IFERROR(VLOOKUP("buildings|PM25|Asthma symptoms cough", US_national_yearly!$D:$AM, 27, FALSE) / VLOOKUP("buildings|PM25|Asthma symptoms cough", US_national_yearly!$D:$AM, 10, FALSE), 1)</f>
        <v>0.17461340540602599</v>
      </c>
      <c r="T6" s="7">
        <f>$B6 * IFERROR(VLOOKUP("buildings|PM25|Asthma symptoms cough", US_national_yearly!$D:$AM, 28, FALSE) / VLOOKUP("buildings|PM25|Asthma symptoms cough", US_national_yearly!$D:$AM, 10, FALSE), 1)</f>
        <v>0.17461340540602599</v>
      </c>
      <c r="U6" s="7">
        <f>$B6 * IFERROR(VLOOKUP("buildings|PM25|Asthma symptoms cough", US_national_yearly!$D:$AM, 29, FALSE) / VLOOKUP("buildings|PM25|Asthma symptoms cough", US_national_yearly!$D:$AM, 10, FALSE), 1)</f>
        <v>0.17461340540602599</v>
      </c>
      <c r="V6" s="7">
        <f>$B6 * IFERROR(VLOOKUP("buildings|PM25|Asthma symptoms cough", US_national_yearly!$D:$AM, 30, FALSE) / VLOOKUP("buildings|PM25|Asthma symptoms cough", US_national_yearly!$D:$AM, 10, FALSE), 1)</f>
        <v>0.17461340540602599</v>
      </c>
      <c r="W6" s="7">
        <f>$B6 * IFERROR(VLOOKUP("buildings|PM25|Asthma symptoms cough", US_national_yearly!$D:$AM, 31, FALSE) / VLOOKUP("buildings|PM25|Asthma symptoms cough", US_national_yearly!$D:$AM, 10, FALSE), 1)</f>
        <v>0.17461340540602599</v>
      </c>
      <c r="X6" s="7">
        <f>$B6 * IFERROR(VLOOKUP("buildings|PM25|Asthma symptoms cough", US_national_yearly!$D:$AM, 32, FALSE) / VLOOKUP("buildings|PM25|Asthma symptoms cough", US_national_yearly!$D:$AM, 10, FALSE), 1)</f>
        <v>0.17461340540602599</v>
      </c>
      <c r="Y6" s="7">
        <f>$B6 * IFERROR(VLOOKUP("buildings|PM25|Asthma symptoms cough", US_national_yearly!$D:$AM, 33, FALSE) / VLOOKUP("buildings|PM25|Asthma symptoms cough", US_national_yearly!$D:$AM, 10, FALSE), 1)</f>
        <v>0.17461340540602599</v>
      </c>
      <c r="Z6" s="7">
        <f>$B6 * IFERROR(VLOOKUP("buildings|PM25|Asthma symptoms cough", US_national_yearly!$D:$AM, 34, FALSE) / VLOOKUP("buildings|PM25|Asthma symptoms cough", US_national_yearly!$D:$AM, 10, FALSE), 1)</f>
        <v>0.17461340540602599</v>
      </c>
      <c r="AA6" s="7">
        <f>$B6 * IFERROR(VLOOKUP("buildings|PM25|Asthma symptoms cough", US_national_yearly!$D:$AM, 35, FALSE) / VLOOKUP("buildings|PM25|Asthma symptoms cough", US_national_yearly!$D:$AM, 10, FALSE), 1)</f>
        <v>0.17461340540602599</v>
      </c>
      <c r="AB6" s="7">
        <f>$B6 * IFERROR(VLOOKUP("buildings|PM25|Asthma symptoms cough", US_national_yearly!$D:$AM, 36, FALSE) / VLOOKUP("buildings|PM25|Asthma symptoms cough", US_national_yearly!$D:$AM, 10, FALSE), 1)</f>
        <v>0.17461340540602599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0.23513983001212865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0.23513983001212865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0.23513983001212865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0.23513983001212865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0.23513983001212865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0.23513983001212865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0.23513983001212865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0.23513983001212865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0.23513983001212865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0.23513983001212865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0.23513983001212865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0.23513983001212865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0.23513983001212865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0.23513983001212865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0.23513983001212865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0.23513983001212865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0.23513983001212865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0.23513983001212865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0.23513983001212865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0.23513983001212865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0.23513983001212865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0.23513983001212865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0.23513983001212865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0.23513983001212865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0.23513983001212865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0.23513983001212865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0.23513983001212865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0.35926257459494632</v>
      </c>
      <c r="C8" s="7">
        <f>$B8 * IFERROR(VLOOKUP("buildings|PM25|Asthma symptoms wheeze", US_national_yearly!$D:$AM, 11, FALSE) / VLOOKUP("buildings|PM25|Asthma symptoms wheeze", US_national_yearly!$D:$AM, 10, FALSE), 1)</f>
        <v>0.35926257459494632</v>
      </c>
      <c r="D8" s="7">
        <f>$B8 * IFERROR(VLOOKUP("buildings|PM25|Asthma symptoms wheeze", US_national_yearly!$D:$AM, 12, FALSE) / VLOOKUP("buildings|PM25|Asthma symptoms wheeze", US_national_yearly!$D:$AM, 10, FALSE), 1)</f>
        <v>0.35926257459494632</v>
      </c>
      <c r="E8" s="7">
        <f>$B8 * IFERROR(VLOOKUP("buildings|PM25|Asthma symptoms wheeze", US_national_yearly!$D:$AM, 13, FALSE) / VLOOKUP("buildings|PM25|Asthma symptoms wheeze", US_national_yearly!$D:$AM, 10, FALSE), 1)</f>
        <v>0.35926257459494632</v>
      </c>
      <c r="F8" s="7">
        <f>$B8 * IFERROR(VLOOKUP("buildings|PM25|Asthma symptoms wheeze", US_national_yearly!$D:$AM, 14, FALSE) / VLOOKUP("buildings|PM25|Asthma symptoms wheeze", US_national_yearly!$D:$AM, 10, FALSE), 1)</f>
        <v>0.35926257459494632</v>
      </c>
      <c r="G8" s="7">
        <f>$B8 * IFERROR(VLOOKUP("buildings|PM25|Asthma symptoms wheeze", US_national_yearly!$D:$AM, 15, FALSE) / VLOOKUP("buildings|PM25|Asthma symptoms wheeze", US_national_yearly!$D:$AM, 10, FALSE), 1)</f>
        <v>0.35926257459494632</v>
      </c>
      <c r="H8" s="7">
        <f>$B8 * IFERROR(VLOOKUP("buildings|PM25|Asthma symptoms wheeze", US_national_yearly!$D:$AM, 16, FALSE) / VLOOKUP("buildings|PM25|Asthma symptoms wheeze", US_national_yearly!$D:$AM, 10, FALSE), 1)</f>
        <v>0.35926257459494632</v>
      </c>
      <c r="I8" s="7">
        <f>$B8 * IFERROR(VLOOKUP("buildings|PM25|Asthma symptoms wheeze", US_national_yearly!$D:$AM, 17, FALSE) / VLOOKUP("buildings|PM25|Asthma symptoms wheeze", US_national_yearly!$D:$AM, 10, FALSE), 1)</f>
        <v>0.35926257459494632</v>
      </c>
      <c r="J8" s="7">
        <f>$B8 * IFERROR(VLOOKUP("buildings|PM25|Asthma symptoms wheeze", US_national_yearly!$D:$AM, 18, FALSE) / VLOOKUP("buildings|PM25|Asthma symptoms wheeze", US_national_yearly!$D:$AM, 10, FALSE), 1)</f>
        <v>0.35926257459494632</v>
      </c>
      <c r="K8" s="7">
        <f>$B8 * IFERROR(VLOOKUP("buildings|PM25|Asthma symptoms wheeze", US_national_yearly!$D:$AM, 19, FALSE) / VLOOKUP("buildings|PM25|Asthma symptoms wheeze", US_national_yearly!$D:$AM, 10, FALSE), 1)</f>
        <v>0.35926257459494632</v>
      </c>
      <c r="L8" s="7">
        <f>$B8 * IFERROR(VLOOKUP("buildings|PM25|Asthma symptoms wheeze", US_national_yearly!$D:$AM, 20, FALSE) / VLOOKUP("buildings|PM25|Asthma symptoms wheeze", US_national_yearly!$D:$AM, 10, FALSE), 1)</f>
        <v>0.35926257459494632</v>
      </c>
      <c r="M8" s="7">
        <f>$B8 * IFERROR(VLOOKUP("buildings|PM25|Asthma symptoms wheeze", US_national_yearly!$D:$AM, 21, FALSE) / VLOOKUP("buildings|PM25|Asthma symptoms wheeze", US_national_yearly!$D:$AM, 10, FALSE), 1)</f>
        <v>0.35926257459494632</v>
      </c>
      <c r="N8" s="7">
        <f>$B8 * IFERROR(VLOOKUP("buildings|PM25|Asthma symptoms wheeze", US_national_yearly!$D:$AM, 22, FALSE) / VLOOKUP("buildings|PM25|Asthma symptoms wheeze", US_national_yearly!$D:$AM, 10, FALSE), 1)</f>
        <v>0.35926257459494632</v>
      </c>
      <c r="O8" s="7">
        <f>$B8 * IFERROR(VLOOKUP("buildings|PM25|Asthma symptoms wheeze", US_national_yearly!$D:$AM, 23, FALSE) / VLOOKUP("buildings|PM25|Asthma symptoms wheeze", US_national_yearly!$D:$AM, 10, FALSE), 1)</f>
        <v>0.35926257459494632</v>
      </c>
      <c r="P8" s="7">
        <f>$B8 * IFERROR(VLOOKUP("buildings|PM25|Asthma symptoms wheeze", US_national_yearly!$D:$AM, 24, FALSE) / VLOOKUP("buildings|PM25|Asthma symptoms wheeze", US_national_yearly!$D:$AM, 10, FALSE), 1)</f>
        <v>0.35926257459494632</v>
      </c>
      <c r="Q8" s="7">
        <f>$B8 * IFERROR(VLOOKUP("buildings|PM25|Asthma symptoms wheeze", US_national_yearly!$D:$AM, 25, FALSE) / VLOOKUP("buildings|PM25|Asthma symptoms wheeze", US_national_yearly!$D:$AM, 10, FALSE), 1)</f>
        <v>0.35926257459494632</v>
      </c>
      <c r="R8" s="7">
        <f>$B8 * IFERROR(VLOOKUP("buildings|PM25|Asthma symptoms wheeze", US_national_yearly!$D:$AM, 26, FALSE) / VLOOKUP("buildings|PM25|Asthma symptoms wheeze", US_national_yearly!$D:$AM, 10, FALSE), 1)</f>
        <v>0.35926257459494632</v>
      </c>
      <c r="S8" s="7">
        <f>$B8 * IFERROR(VLOOKUP("buildings|PM25|Asthma symptoms wheeze", US_national_yearly!$D:$AM, 27, FALSE) / VLOOKUP("buildings|PM25|Asthma symptoms wheeze", US_national_yearly!$D:$AM, 10, FALSE), 1)</f>
        <v>0.35926257459494632</v>
      </c>
      <c r="T8" s="7">
        <f>$B8 * IFERROR(VLOOKUP("buildings|PM25|Asthma symptoms wheeze", US_national_yearly!$D:$AM, 28, FALSE) / VLOOKUP("buildings|PM25|Asthma symptoms wheeze", US_national_yearly!$D:$AM, 10, FALSE), 1)</f>
        <v>0.35926257459494632</v>
      </c>
      <c r="U8" s="7">
        <f>$B8 * IFERROR(VLOOKUP("buildings|PM25|Asthma symptoms wheeze", US_national_yearly!$D:$AM, 29, FALSE) / VLOOKUP("buildings|PM25|Asthma symptoms wheeze", US_national_yearly!$D:$AM, 10, FALSE), 1)</f>
        <v>0.35926257459494632</v>
      </c>
      <c r="V8" s="7">
        <f>$B8 * IFERROR(VLOOKUP("buildings|PM25|Asthma symptoms wheeze", US_national_yearly!$D:$AM, 30, FALSE) / VLOOKUP("buildings|PM25|Asthma symptoms wheeze", US_national_yearly!$D:$AM, 10, FALSE), 1)</f>
        <v>0.35926257459494632</v>
      </c>
      <c r="W8" s="7">
        <f>$B8 * IFERROR(VLOOKUP("buildings|PM25|Asthma symptoms wheeze", US_national_yearly!$D:$AM, 31, FALSE) / VLOOKUP("buildings|PM25|Asthma symptoms wheeze", US_national_yearly!$D:$AM, 10, FALSE), 1)</f>
        <v>0.35926257459494632</v>
      </c>
      <c r="X8" s="7">
        <f>$B8 * IFERROR(VLOOKUP("buildings|PM25|Asthma symptoms wheeze", US_national_yearly!$D:$AM, 32, FALSE) / VLOOKUP("buildings|PM25|Asthma symptoms wheeze", US_national_yearly!$D:$AM, 10, FALSE), 1)</f>
        <v>0.35926257459494632</v>
      </c>
      <c r="Y8" s="7">
        <f>$B8 * IFERROR(VLOOKUP("buildings|PM25|Asthma symptoms wheeze", US_national_yearly!$D:$AM, 33, FALSE) / VLOOKUP("buildings|PM25|Asthma symptoms wheeze", US_national_yearly!$D:$AM, 10, FALSE), 1)</f>
        <v>0.35926257459494632</v>
      </c>
      <c r="Z8" s="7">
        <f>$B8 * IFERROR(VLOOKUP("buildings|PM25|Asthma symptoms wheeze", US_national_yearly!$D:$AM, 34, FALSE) / VLOOKUP("buildings|PM25|Asthma symptoms wheeze", US_national_yearly!$D:$AM, 10, FALSE), 1)</f>
        <v>0.35926257459494632</v>
      </c>
      <c r="AA8" s="7">
        <f>$B8 * IFERROR(VLOOKUP("buildings|PM25|Asthma symptoms wheeze", US_national_yearly!$D:$AM, 35, FALSE) / VLOOKUP("buildings|PM25|Asthma symptoms wheeze", US_national_yearly!$D:$AM, 10, FALSE), 1)</f>
        <v>0.35926257459494632</v>
      </c>
      <c r="AB8" s="7">
        <f>$B8 * IFERROR(VLOOKUP("buildings|PM25|Asthma symptoms wheeze", US_national_yearly!$D:$AM, 36, FALSE) / VLOOKUP("buildings|PM25|Asthma symptoms wheeze", US_national_yearly!$D:$AM, 10, FALSE), 1)</f>
        <v>0.35926257459494632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4.8063082278425396E-3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4.8340125875997245E-3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4.8617169473569111E-3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4.8894213071140969E-3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4.9171256668712835E-3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4.94702123781197E-3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4.9769168087526574E-3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5.0053502001222334E-3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5.0337835914918087E-3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5.0622169828613839E-3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5.09065037423096E-3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5.1190837656005352E-3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5.1395350764628905E-3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5.1599863873252449E-3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5.1804376981876002E-3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5.2008890090499537E-3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5.221340319912309E-3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5.2408257748773474E-3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5.2603112298423883E-3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5.2797966848074267E-3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5.2992821397724651E-3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5.3187675947375061E-3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5.3375874554391313E-3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5.3564073161407582E-3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5.3752271768423834E-3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5.3940470375440103E-3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5.4128668982456355E-3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2.9960767974601451E-2</v>
      </c>
      <c r="C13" s="7">
        <f>$B13 * IFERROR(VLOOKUP("buildings|PM25|Non-fatal heart attacks", US_national_yearly!$D:$AM, 11, FALSE) / VLOOKUP("buildings|PM25|Non-fatal heart attacks", US_national_yearly!$D:$AM, 10, FALSE), 1)</f>
        <v>3.0832219306469448E-2</v>
      </c>
      <c r="D13" s="7">
        <f>$B13 * IFERROR(VLOOKUP("buildings|PM25|Non-fatal heart attacks", US_national_yearly!$D:$AM, 12, FALSE) / VLOOKUP("buildings|PM25|Non-fatal heart attacks", US_national_yearly!$D:$AM, 10, FALSE), 1)</f>
        <v>3.1703670638337442E-2</v>
      </c>
      <c r="E13" s="7">
        <f>$B13 * IFERROR(VLOOKUP("buildings|PM25|Non-fatal heart attacks", US_national_yearly!$D:$AM, 13, FALSE) / VLOOKUP("buildings|PM25|Non-fatal heart attacks", US_national_yearly!$D:$AM, 10, FALSE), 1)</f>
        <v>3.2575121970205428E-2</v>
      </c>
      <c r="F13" s="7">
        <f>$B13 * IFERROR(VLOOKUP("buildings|PM25|Non-fatal heart attacks", US_national_yearly!$D:$AM, 14, FALSE) / VLOOKUP("buildings|PM25|Non-fatal heart attacks", US_national_yearly!$D:$AM, 10, FALSE), 1)</f>
        <v>3.3446573302073429E-2</v>
      </c>
      <c r="G13" s="7">
        <f>$B13 * IFERROR(VLOOKUP("buildings|PM25|Non-fatal heart attacks", US_national_yearly!$D:$AM, 15, FALSE) / VLOOKUP("buildings|PM25|Non-fatal heart attacks", US_national_yearly!$D:$AM, 10, FALSE), 1)</f>
        <v>3.426883740678012E-2</v>
      </c>
      <c r="H13" s="7">
        <f>$B13 * IFERROR(VLOOKUP("buildings|PM25|Non-fatal heart attacks", US_national_yearly!$D:$AM, 16, FALSE) / VLOOKUP("buildings|PM25|Non-fatal heart attacks", US_national_yearly!$D:$AM, 10, FALSE), 1)</f>
        <v>3.5091101511486797E-2</v>
      </c>
      <c r="I13" s="7">
        <f>$B13 * IFERROR(VLOOKUP("buildings|PM25|Non-fatal heart attacks", US_national_yearly!$D:$AM, 17, FALSE) / VLOOKUP("buildings|PM25|Non-fatal heart attacks", US_national_yearly!$D:$AM, 10, FALSE), 1)</f>
        <v>3.5752676848023808E-2</v>
      </c>
      <c r="J13" s="7">
        <f>$B13 * IFERROR(VLOOKUP("buildings|PM25|Non-fatal heart attacks", US_national_yearly!$D:$AM, 18, FALSE) / VLOOKUP("buildings|PM25|Non-fatal heart attacks", US_national_yearly!$D:$AM, 10, FALSE), 1)</f>
        <v>3.6414252184560819E-2</v>
      </c>
      <c r="K13" s="7">
        <f>$B13 * IFERROR(VLOOKUP("buildings|PM25|Non-fatal heart attacks", US_national_yearly!$D:$AM, 19, FALSE) / VLOOKUP("buildings|PM25|Non-fatal heart attacks", US_national_yearly!$D:$AM, 10, FALSE), 1)</f>
        <v>3.707582752109783E-2</v>
      </c>
      <c r="L13" s="7">
        <f>$B13 * IFERROR(VLOOKUP("buildings|PM25|Non-fatal heart attacks", US_national_yearly!$D:$AM, 20, FALSE) / VLOOKUP("buildings|PM25|Non-fatal heart attacks", US_national_yearly!$D:$AM, 10, FALSE), 1)</f>
        <v>3.7737402857634834E-2</v>
      </c>
      <c r="M13" s="7">
        <f>$B13 * IFERROR(VLOOKUP("buildings|PM25|Non-fatal heart attacks", US_national_yearly!$D:$AM, 21, FALSE) / VLOOKUP("buildings|PM25|Non-fatal heart attacks", US_national_yearly!$D:$AM, 10, FALSE), 1)</f>
        <v>3.8398978194171839E-2</v>
      </c>
      <c r="N13" s="7">
        <f>$B13 * IFERROR(VLOOKUP("buildings|PM25|Non-fatal heart attacks", US_national_yearly!$D:$AM, 22, FALSE) / VLOOKUP("buildings|PM25|Non-fatal heart attacks", US_national_yearly!$D:$AM, 10, FALSE), 1)</f>
        <v>3.8826366197550748E-2</v>
      </c>
      <c r="O13" s="7">
        <f>$B13 * IFERROR(VLOOKUP("buildings|PM25|Non-fatal heart attacks", US_national_yearly!$D:$AM, 23, FALSE) / VLOOKUP("buildings|PM25|Non-fatal heart attacks", US_national_yearly!$D:$AM, 10, FALSE), 1)</f>
        <v>3.925375420092965E-2</v>
      </c>
      <c r="P13" s="7">
        <f>$B13 * IFERROR(VLOOKUP("buildings|PM25|Non-fatal heart attacks", US_national_yearly!$D:$AM, 24, FALSE) / VLOOKUP("buildings|PM25|Non-fatal heart attacks", US_national_yearly!$D:$AM, 10, FALSE), 1)</f>
        <v>3.9681142204308559E-2</v>
      </c>
      <c r="Q13" s="7">
        <f>$B13 * IFERROR(VLOOKUP("buildings|PM25|Non-fatal heart attacks", US_national_yearly!$D:$AM, 25, FALSE) / VLOOKUP("buildings|PM25|Non-fatal heart attacks", US_national_yearly!$D:$AM, 10, FALSE), 1)</f>
        <v>4.0108530207687468E-2</v>
      </c>
      <c r="R13" s="7">
        <f>$B13 * IFERROR(VLOOKUP("buildings|PM25|Non-fatal heart attacks", US_national_yearly!$D:$AM, 26, FALSE) / VLOOKUP("buildings|PM25|Non-fatal heart attacks", US_national_yearly!$D:$AM, 10, FALSE), 1)</f>
        <v>4.053591821106637E-2</v>
      </c>
      <c r="S13" s="7">
        <f>$B13 * IFERROR(VLOOKUP("buildings|PM25|Non-fatal heart attacks", US_national_yearly!$D:$AM, 27, FALSE) / VLOOKUP("buildings|PM25|Non-fatal heart attacks", US_national_yearly!$D:$AM, 10, FALSE), 1)</f>
        <v>4.0761967804142353E-2</v>
      </c>
      <c r="T13" s="7">
        <f>$B13 * IFERROR(VLOOKUP("buildings|PM25|Non-fatal heart attacks", US_national_yearly!$D:$AM, 28, FALSE) / VLOOKUP("buildings|PM25|Non-fatal heart attacks", US_national_yearly!$D:$AM, 10, FALSE), 1)</f>
        <v>4.098801739721835E-2</v>
      </c>
      <c r="U13" s="7">
        <f>$B13 * IFERROR(VLOOKUP("buildings|PM25|Non-fatal heart attacks", US_national_yearly!$D:$AM, 29, FALSE) / VLOOKUP("buildings|PM25|Non-fatal heart attacks", US_national_yearly!$D:$AM, 10, FALSE), 1)</f>
        <v>4.1214066990294347E-2</v>
      </c>
      <c r="V13" s="7">
        <f>$B13 * IFERROR(VLOOKUP("buildings|PM25|Non-fatal heart attacks", US_national_yearly!$D:$AM, 30, FALSE) / VLOOKUP("buildings|PM25|Non-fatal heart attacks", US_national_yearly!$D:$AM, 10, FALSE), 1)</f>
        <v>4.1440116583370337E-2</v>
      </c>
      <c r="W13" s="7">
        <f>$B13 * IFERROR(VLOOKUP("buildings|PM25|Non-fatal heart attacks", US_national_yearly!$D:$AM, 31, FALSE) / VLOOKUP("buildings|PM25|Non-fatal heart attacks", US_national_yearly!$D:$AM, 10, FALSE), 1)</f>
        <v>4.1666166176446334E-2</v>
      </c>
      <c r="X13" s="7">
        <f>$B13 * IFERROR(VLOOKUP("buildings|PM25|Non-fatal heart attacks", US_national_yearly!$D:$AM, 32, FALSE) / VLOOKUP("buildings|PM25|Non-fatal heart attacks", US_national_yearly!$D:$AM, 10, FALSE), 1)</f>
        <v>4.18382064270603E-2</v>
      </c>
      <c r="Y13" s="7">
        <f>$B13 * IFERROR(VLOOKUP("buildings|PM25|Non-fatal heart attacks", US_national_yearly!$D:$AM, 33, FALSE) / VLOOKUP("buildings|PM25|Non-fatal heart attacks", US_national_yearly!$D:$AM, 10, FALSE), 1)</f>
        <v>4.2010246677674265E-2</v>
      </c>
      <c r="Z13" s="7">
        <f>$B13 * IFERROR(VLOOKUP("buildings|PM25|Non-fatal heart attacks", US_national_yearly!$D:$AM, 34, FALSE) / VLOOKUP("buildings|PM25|Non-fatal heart attacks", US_national_yearly!$D:$AM, 10, FALSE), 1)</f>
        <v>4.218228692828823E-2</v>
      </c>
      <c r="AA13" s="7">
        <f>$B13 * IFERROR(VLOOKUP("buildings|PM25|Non-fatal heart attacks", US_national_yearly!$D:$AM, 35, FALSE) / VLOOKUP("buildings|PM25|Non-fatal heart attacks", US_national_yearly!$D:$AM, 10, FALSE), 1)</f>
        <v>4.2354327178902196E-2</v>
      </c>
      <c r="AB13" s="7">
        <f>$B13 * IFERROR(VLOOKUP("buildings|PM25|Non-fatal heart attacks", US_national_yearly!$D:$AM, 36, FALSE) / VLOOKUP("buildings|PM25|Non-fatal heart attacks", US_national_yearly!$D:$AM, 10, FALSE), 1)</f>
        <v>4.2526367429516175E-2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22.559688202004111</v>
      </c>
      <c r="C14" s="7">
        <f>$B14 * IFERROR(VLOOKUP("buildings|PM25|Minor restricted activity days", US_national_yearly!$D:$AM, 11, FALSE) / VLOOKUP("buildings|PM25|Minor restricted activity days", US_national_yearly!$D:$AM, 10, FALSE), 1)</f>
        <v>22.615795411314032</v>
      </c>
      <c r="D14" s="7">
        <f>$B14 * IFERROR(VLOOKUP("buildings|PM25|Minor restricted activity days", US_national_yearly!$D:$AM, 12, FALSE) / VLOOKUP("buildings|PM25|Minor restricted activity days", US_national_yearly!$D:$AM, 10, FALSE), 1)</f>
        <v>22.67190262062395</v>
      </c>
      <c r="E14" s="7">
        <f>$B14 * IFERROR(VLOOKUP("buildings|PM25|Minor restricted activity days", US_national_yearly!$D:$AM, 13, FALSE) / VLOOKUP("buildings|PM25|Minor restricted activity days", US_national_yearly!$D:$AM, 10, FALSE), 1)</f>
        <v>22.728009829933871</v>
      </c>
      <c r="F14" s="7">
        <f>$B14 * IFERROR(VLOOKUP("buildings|PM25|Minor restricted activity days", US_national_yearly!$D:$AM, 14, FALSE) / VLOOKUP("buildings|PM25|Minor restricted activity days", US_national_yearly!$D:$AM, 10, FALSE), 1)</f>
        <v>22.784117039243785</v>
      </c>
      <c r="G14" s="7">
        <f>$B14 * IFERROR(VLOOKUP("buildings|PM25|Minor restricted activity days", US_national_yearly!$D:$AM, 15, FALSE) / VLOOKUP("buildings|PM25|Minor restricted activity days", US_national_yearly!$D:$AM, 10, FALSE), 1)</f>
        <v>22.866409279934544</v>
      </c>
      <c r="H14" s="7">
        <f>$B14 * IFERROR(VLOOKUP("buildings|PM25|Minor restricted activity days", US_national_yearly!$D:$AM, 16, FALSE) / VLOOKUP("buildings|PM25|Minor restricted activity days", US_national_yearly!$D:$AM, 10, FALSE), 1)</f>
        <v>22.948701520625296</v>
      </c>
      <c r="I14" s="7">
        <f>$B14 * IFERROR(VLOOKUP("buildings|PM25|Minor restricted activity days", US_national_yearly!$D:$AM, 17, FALSE) / VLOOKUP("buildings|PM25|Minor restricted activity days", US_national_yearly!$D:$AM, 10, FALSE), 1)</f>
        <v>23.088635270882502</v>
      </c>
      <c r="J14" s="7">
        <f>$B14 * IFERROR(VLOOKUP("buildings|PM25|Minor restricted activity days", US_national_yearly!$D:$AM, 18, FALSE) / VLOOKUP("buildings|PM25|Minor restricted activity days", US_national_yearly!$D:$AM, 10, FALSE), 1)</f>
        <v>23.228569021139723</v>
      </c>
      <c r="K14" s="7">
        <f>$B14 * IFERROR(VLOOKUP("buildings|PM25|Minor restricted activity days", US_national_yearly!$D:$AM, 19, FALSE) / VLOOKUP("buildings|PM25|Minor restricted activity days", US_national_yearly!$D:$AM, 10, FALSE), 1)</f>
        <v>23.368502771396919</v>
      </c>
      <c r="L14" s="7">
        <f>$B14 * IFERROR(VLOOKUP("buildings|PM25|Minor restricted activity days", US_national_yearly!$D:$AM, 20, FALSE) / VLOOKUP("buildings|PM25|Minor restricted activity days", US_national_yearly!$D:$AM, 10, FALSE), 1)</f>
        <v>23.508436521654122</v>
      </c>
      <c r="M14" s="7">
        <f>$B14 * IFERROR(VLOOKUP("buildings|PM25|Minor restricted activity days", US_national_yearly!$D:$AM, 21, FALSE) / VLOOKUP("buildings|PM25|Minor restricted activity days", US_national_yearly!$D:$AM, 10, FALSE), 1)</f>
        <v>23.648370271911325</v>
      </c>
      <c r="N14" s="7">
        <f>$B14 * IFERROR(VLOOKUP("buildings|PM25|Minor restricted activity days", US_national_yearly!$D:$AM, 22, FALSE) / VLOOKUP("buildings|PM25|Minor restricted activity days", US_national_yearly!$D:$AM, 10, FALSE), 1)</f>
        <v>23.838506477577219</v>
      </c>
      <c r="O14" s="7">
        <f>$B14 * IFERROR(VLOOKUP("buildings|PM25|Minor restricted activity days", US_national_yearly!$D:$AM, 23, FALSE) / VLOOKUP("buildings|PM25|Minor restricted activity days", US_national_yearly!$D:$AM, 10, FALSE), 1)</f>
        <v>24.028642683243106</v>
      </c>
      <c r="P14" s="7">
        <f>$B14 * IFERROR(VLOOKUP("buildings|PM25|Minor restricted activity days", US_national_yearly!$D:$AM, 24, FALSE) / VLOOKUP("buildings|PM25|Minor restricted activity days", US_national_yearly!$D:$AM, 10, FALSE), 1)</f>
        <v>24.218778888908993</v>
      </c>
      <c r="Q14" s="7">
        <f>$B14 * IFERROR(VLOOKUP("buildings|PM25|Minor restricted activity days", US_national_yearly!$D:$AM, 25, FALSE) / VLOOKUP("buildings|PM25|Minor restricted activity days", US_national_yearly!$D:$AM, 10, FALSE), 1)</f>
        <v>24.408915094574876</v>
      </c>
      <c r="R14" s="7">
        <f>$B14 * IFERROR(VLOOKUP("buildings|PM25|Minor restricted activity days", US_national_yearly!$D:$AM, 26, FALSE) / VLOOKUP("buildings|PM25|Minor restricted activity days", US_national_yearly!$D:$AM, 10, FALSE), 1)</f>
        <v>24.599051300240763</v>
      </c>
      <c r="S14" s="7">
        <f>$B14 * IFERROR(VLOOKUP("buildings|PM25|Minor restricted activity days", US_national_yearly!$D:$AM, 27, FALSE) / VLOOKUP("buildings|PM25|Minor restricted activity days", US_national_yearly!$D:$AM, 10, FALSE), 1)</f>
        <v>24.790365790258619</v>
      </c>
      <c r="T14" s="7">
        <f>$B14 * IFERROR(VLOOKUP("buildings|PM25|Minor restricted activity days", US_national_yearly!$D:$AM, 28, FALSE) / VLOOKUP("buildings|PM25|Minor restricted activity days", US_national_yearly!$D:$AM, 10, FALSE), 1)</f>
        <v>24.981680280276468</v>
      </c>
      <c r="U14" s="7">
        <f>$B14 * IFERROR(VLOOKUP("buildings|PM25|Minor restricted activity days", US_national_yearly!$D:$AM, 29, FALSE) / VLOOKUP("buildings|PM25|Minor restricted activity days", US_national_yearly!$D:$AM, 10, FALSE), 1)</f>
        <v>25.172994770294324</v>
      </c>
      <c r="V14" s="7">
        <f>$B14 * IFERROR(VLOOKUP("buildings|PM25|Minor restricted activity days", US_national_yearly!$D:$AM, 30, FALSE) / VLOOKUP("buildings|PM25|Minor restricted activity days", US_national_yearly!$D:$AM, 10, FALSE), 1)</f>
        <v>25.364309260312172</v>
      </c>
      <c r="W14" s="7">
        <f>$B14 * IFERROR(VLOOKUP("buildings|PM25|Minor restricted activity days", US_national_yearly!$D:$AM, 31, FALSE) / VLOOKUP("buildings|PM25|Minor restricted activity days", US_national_yearly!$D:$AM, 10, FALSE), 1)</f>
        <v>25.555623750330028</v>
      </c>
      <c r="X14" s="7">
        <f>$B14 * IFERROR(VLOOKUP("buildings|PM25|Minor restricted activity days", US_national_yearly!$D:$AM, 32, FALSE) / VLOOKUP("buildings|PM25|Minor restricted activity days", US_national_yearly!$D:$AM, 10, FALSE), 1)</f>
        <v>25.721743191529253</v>
      </c>
      <c r="Y14" s="7">
        <f>$B14 * IFERROR(VLOOKUP("buildings|PM25|Minor restricted activity days", US_national_yearly!$D:$AM, 33, FALSE) / VLOOKUP("buildings|PM25|Minor restricted activity days", US_national_yearly!$D:$AM, 10, FALSE), 1)</f>
        <v>25.887862632728474</v>
      </c>
      <c r="Z14" s="7">
        <f>$B14 * IFERROR(VLOOKUP("buildings|PM25|Minor restricted activity days", US_national_yearly!$D:$AM, 34, FALSE) / VLOOKUP("buildings|PM25|Minor restricted activity days", US_national_yearly!$D:$AM, 10, FALSE), 1)</f>
        <v>26.053982073927692</v>
      </c>
      <c r="AA14" s="7">
        <f>$B14 * IFERROR(VLOOKUP("buildings|PM25|Minor restricted activity days", US_national_yearly!$D:$AM, 35, FALSE) / VLOOKUP("buildings|PM25|Minor restricted activity days", US_national_yearly!$D:$AM, 10, FALSE), 1)</f>
        <v>26.220101515126913</v>
      </c>
      <c r="AB14" s="7">
        <f>$B14 * IFERROR(VLOOKUP("buildings|PM25|Minor restricted activity days", US_national_yearly!$D:$AM, 36, FALSE) / VLOOKUP("buildings|PM25|Minor restricted activity days", US_national_yearly!$D:$AM, 10, FALSE), 1)</f>
        <v>26.386220956326135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3.8396447085414382</v>
      </c>
      <c r="C15" s="7">
        <f>$B15 * IFERROR(VLOOKUP("buildings|PM25|Work loss days", US_national_yearly!$D:$AM, 11, FALSE) / VLOOKUP("buildings|PM25|Work loss days", US_national_yearly!$D:$AM, 10, FALSE), 1)</f>
        <v>3.8516943416950751</v>
      </c>
      <c r="D15" s="7">
        <f>$B15 * IFERROR(VLOOKUP("buildings|PM25|Work loss days", US_national_yearly!$D:$AM, 12, FALSE) / VLOOKUP("buildings|PM25|Work loss days", US_national_yearly!$D:$AM, 10, FALSE), 1)</f>
        <v>3.863743974848711</v>
      </c>
      <c r="E15" s="7">
        <f>$B15 * IFERROR(VLOOKUP("buildings|PM25|Work loss days", US_national_yearly!$D:$AM, 13, FALSE) / VLOOKUP("buildings|PM25|Work loss days", US_national_yearly!$D:$AM, 10, FALSE), 1)</f>
        <v>3.875793608002347</v>
      </c>
      <c r="F15" s="7">
        <f>$B15 * IFERROR(VLOOKUP("buildings|PM25|Work loss days", US_national_yearly!$D:$AM, 14, FALSE) / VLOOKUP("buildings|PM25|Work loss days", US_national_yearly!$D:$AM, 10, FALSE), 1)</f>
        <v>3.8878432411559829</v>
      </c>
      <c r="G15" s="7">
        <f>$B15 * IFERROR(VLOOKUP("buildings|PM25|Work loss days", US_national_yearly!$D:$AM, 15, FALSE) / VLOOKUP("buildings|PM25|Work loss days", US_national_yearly!$D:$AM, 10, FALSE), 1)</f>
        <v>3.9035931915052688</v>
      </c>
      <c r="H15" s="7">
        <f>$B15 * IFERROR(VLOOKUP("buildings|PM25|Work loss days", US_national_yearly!$D:$AM, 16, FALSE) / VLOOKUP("buildings|PM25|Work loss days", US_national_yearly!$D:$AM, 10, FALSE), 1)</f>
        <v>3.9193431418545543</v>
      </c>
      <c r="I15" s="7">
        <f>$B15 * IFERROR(VLOOKUP("buildings|PM25|Work loss days", US_national_yearly!$D:$AM, 17, FALSE) / VLOOKUP("buildings|PM25|Work loss days", US_national_yearly!$D:$AM, 10, FALSE), 1)</f>
        <v>3.9424745632416958</v>
      </c>
      <c r="J15" s="7">
        <f>$B15 * IFERROR(VLOOKUP("buildings|PM25|Work loss days", US_national_yearly!$D:$AM, 18, FALSE) / VLOOKUP("buildings|PM25|Work loss days", US_national_yearly!$D:$AM, 10, FALSE), 1)</f>
        <v>3.9656059846288367</v>
      </c>
      <c r="K15" s="7">
        <f>$B15 * IFERROR(VLOOKUP("buildings|PM25|Work loss days", US_national_yearly!$D:$AM, 19, FALSE) / VLOOKUP("buildings|PM25|Work loss days", US_national_yearly!$D:$AM, 10, FALSE), 1)</f>
        <v>3.9887374060159781</v>
      </c>
      <c r="L15" s="7">
        <f>$B15 * IFERROR(VLOOKUP("buildings|PM25|Work loss days", US_national_yearly!$D:$AM, 20, FALSE) / VLOOKUP("buildings|PM25|Work loss days", US_national_yearly!$D:$AM, 10, FALSE), 1)</f>
        <v>4.0118688274031191</v>
      </c>
      <c r="M15" s="7">
        <f>$B15 * IFERROR(VLOOKUP("buildings|PM25|Work loss days", US_national_yearly!$D:$AM, 21, FALSE) / VLOOKUP("buildings|PM25|Work loss days", US_national_yearly!$D:$AM, 10, FALSE), 1)</f>
        <v>4.0350002487902614</v>
      </c>
      <c r="N15" s="7">
        <f>$B15 * IFERROR(VLOOKUP("buildings|PM25|Work loss days", US_national_yearly!$D:$AM, 22, FALSE) / VLOOKUP("buildings|PM25|Work loss days", US_national_yearly!$D:$AM, 10, FALSE), 1)</f>
        <v>4.0640825852108966</v>
      </c>
      <c r="O15" s="7">
        <f>$B15 * IFERROR(VLOOKUP("buildings|PM25|Work loss days", US_national_yearly!$D:$AM, 23, FALSE) / VLOOKUP("buildings|PM25|Work loss days", US_national_yearly!$D:$AM, 10, FALSE), 1)</f>
        <v>4.0931649216315336</v>
      </c>
      <c r="P15" s="7">
        <f>$B15 * IFERROR(VLOOKUP("buildings|PM25|Work loss days", US_national_yearly!$D:$AM, 24, FALSE) / VLOOKUP("buildings|PM25|Work loss days", US_national_yearly!$D:$AM, 10, FALSE), 1)</f>
        <v>4.1222472580521687</v>
      </c>
      <c r="Q15" s="7">
        <f>$B15 * IFERROR(VLOOKUP("buildings|PM25|Work loss days", US_national_yearly!$D:$AM, 25, FALSE) / VLOOKUP("buildings|PM25|Work loss days", US_national_yearly!$D:$AM, 10, FALSE), 1)</f>
        <v>4.1513295944728048</v>
      </c>
      <c r="R15" s="7">
        <f>$B15 * IFERROR(VLOOKUP("buildings|PM25|Work loss days", US_national_yearly!$D:$AM, 26, FALSE) / VLOOKUP("buildings|PM25|Work loss days", US_national_yearly!$D:$AM, 10, FALSE), 1)</f>
        <v>4.1804119308934409</v>
      </c>
      <c r="S15" s="7">
        <f>$B15 * IFERROR(VLOOKUP("buildings|PM25|Work loss days", US_national_yearly!$D:$AM, 27, FALSE) / VLOOKUP("buildings|PM25|Work loss days", US_national_yearly!$D:$AM, 10, FALSE), 1)</f>
        <v>4.2125369859219806</v>
      </c>
      <c r="T15" s="7">
        <f>$B15 * IFERROR(VLOOKUP("buildings|PM25|Work loss days", US_national_yearly!$D:$AM, 28, FALSE) / VLOOKUP("buildings|PM25|Work loss days", US_national_yearly!$D:$AM, 10, FALSE), 1)</f>
        <v>4.2446620409505202</v>
      </c>
      <c r="U15" s="7">
        <f>$B15 * IFERROR(VLOOKUP("buildings|PM25|Work loss days", US_national_yearly!$D:$AM, 29, FALSE) / VLOOKUP("buildings|PM25|Work loss days", US_national_yearly!$D:$AM, 10, FALSE), 1)</f>
        <v>4.2767870959790599</v>
      </c>
      <c r="V15" s="7">
        <f>$B15 * IFERROR(VLOOKUP("buildings|PM25|Work loss days", US_national_yearly!$D:$AM, 30, FALSE) / VLOOKUP("buildings|PM25|Work loss days", US_national_yearly!$D:$AM, 10, FALSE), 1)</f>
        <v>4.3089121510075996</v>
      </c>
      <c r="W15" s="7">
        <f>$B15 * IFERROR(VLOOKUP("buildings|PM25|Work loss days", US_national_yearly!$D:$AM, 31, FALSE) / VLOOKUP("buildings|PM25|Work loss days", US_national_yearly!$D:$AM, 10, FALSE), 1)</f>
        <v>4.3410372060361393</v>
      </c>
      <c r="X15" s="7">
        <f>$B15 * IFERROR(VLOOKUP("buildings|PM25|Work loss days", US_national_yearly!$D:$AM, 32, FALSE) / VLOOKUP("buildings|PM25|Work loss days", US_national_yearly!$D:$AM, 10, FALSE), 1)</f>
        <v>4.3695451305539104</v>
      </c>
      <c r="Y15" s="7">
        <f>$B15 * IFERROR(VLOOKUP("buildings|PM25|Work loss days", US_national_yearly!$D:$AM, 33, FALSE) / VLOOKUP("buildings|PM25|Work loss days", US_national_yearly!$D:$AM, 10, FALSE), 1)</f>
        <v>4.3980530550716823</v>
      </c>
      <c r="Z15" s="7">
        <f>$B15 * IFERROR(VLOOKUP("buildings|PM25|Work loss days", US_national_yearly!$D:$AM, 34, FALSE) / VLOOKUP("buildings|PM25|Work loss days", US_national_yearly!$D:$AM, 10, FALSE), 1)</f>
        <v>4.4265609795894525</v>
      </c>
      <c r="AA15" s="7">
        <f>$B15 * IFERROR(VLOOKUP("buildings|PM25|Work loss days", US_national_yearly!$D:$AM, 35, FALSE) / VLOOKUP("buildings|PM25|Work loss days", US_national_yearly!$D:$AM, 10, FALSE), 1)</f>
        <v>4.4550689041072244</v>
      </c>
      <c r="AB15" s="7">
        <f>$B15 * IFERROR(VLOOKUP("buildings|PM25|Work loss days", US_national_yearly!$D:$AM, 36, FALSE) / VLOOKUP("buildings|PM25|Work loss days", US_national_yearly!$D:$AM, 10, FALSE), 1)</f>
        <v>4.4835768286249955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7.5571336123037196E-3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7.7829887275327851E-3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8.0088438427618498E-3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8.2346989579909127E-3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8.460554073219979E-3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8.6769574615834684E-3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8.8933608499469595E-3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9.0786220612525427E-3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9.2638832725581276E-3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9.4491444838637143E-3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9.634405695169301E-3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9.8196669064748877E-3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9.9433752284423631E-3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1.006708355040984E-2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1.0190791872377316E-2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1.0314500194344793E-2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1.043820851631227E-2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1.0503942966969677E-2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1.0569677417627082E-2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1.0635411868284489E-2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1.0701146318941894E-2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1.0766880769599302E-2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1.0811327545384981E-2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1.0855774321170656E-2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1.0900221096956333E-2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1.0944667872742011E-2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1.0989114648527688E-2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2.1337851022457696E-3</v>
      </c>
      <c r="C2" s="7">
        <f>$B2 * IFERROR(VLOOKUP("buildings|NOx|Premature mortality", US_national_yearly!$D:$AM, 11, FALSE) / VLOOKUP("buildings|NOx|Premature mortality", US_national_yearly!$D:$AM, 10, FALSE), 1)</f>
        <v>2.1651702729057337E-3</v>
      </c>
      <c r="D2" s="7">
        <f>$B2 * IFERROR(VLOOKUP("buildings|NOx|Premature mortality", US_national_yearly!$D:$AM, 12, FALSE) / VLOOKUP("buildings|NOx|Premature mortality", US_national_yearly!$D:$AM, 10, FALSE), 1)</f>
        <v>2.1965554435656974E-3</v>
      </c>
      <c r="E2" s="7">
        <f>$B2 * IFERROR(VLOOKUP("buildings|NOx|Premature mortality", US_national_yearly!$D:$AM, 13, FALSE) / VLOOKUP("buildings|NOx|Premature mortality", US_national_yearly!$D:$AM, 10, FALSE), 1)</f>
        <v>2.2279406142256615E-3</v>
      </c>
      <c r="F2" s="7">
        <f>$B2 * IFERROR(VLOOKUP("buildings|NOx|Premature mortality", US_national_yearly!$D:$AM, 14, FALSE) / VLOOKUP("buildings|NOx|Premature mortality", US_national_yearly!$D:$AM, 10, FALSE), 1)</f>
        <v>2.2593257848856252E-3</v>
      </c>
      <c r="G2" s="7">
        <f>$B2 * IFERROR(VLOOKUP("buildings|NOx|Premature mortality", US_national_yearly!$D:$AM, 15, FALSE) / VLOOKUP("buildings|NOx|Premature mortality", US_national_yearly!$D:$AM, 10, FALSE), 1)</f>
        <v>2.3156735392744618E-3</v>
      </c>
      <c r="H2" s="7">
        <f>$B2 * IFERROR(VLOOKUP("buildings|NOx|Premature mortality", US_national_yearly!$D:$AM, 16, FALSE) / VLOOKUP("buildings|NOx|Premature mortality", US_national_yearly!$D:$AM, 10, FALSE), 1)</f>
        <v>2.3720212936632987E-3</v>
      </c>
      <c r="I2" s="7">
        <f>$B2 * IFERROR(VLOOKUP("buildings|NOx|Premature mortality", US_national_yearly!$D:$AM, 17, FALSE) / VLOOKUP("buildings|NOx|Premature mortality", US_national_yearly!$D:$AM, 10, FALSE), 1)</f>
        <v>2.4084362478823647E-3</v>
      </c>
      <c r="J2" s="7">
        <f>$B2 * IFERROR(VLOOKUP("buildings|NOx|Premature mortality", US_national_yearly!$D:$AM, 18, FALSE) / VLOOKUP("buildings|NOx|Premature mortality", US_national_yearly!$D:$AM, 10, FALSE), 1)</f>
        <v>2.4448512021014298E-3</v>
      </c>
      <c r="K2" s="7">
        <f>$B2 * IFERROR(VLOOKUP("buildings|NOx|Premature mortality", US_national_yearly!$D:$AM, 19, FALSE) / VLOOKUP("buildings|NOx|Premature mortality", US_national_yearly!$D:$AM, 10, FALSE), 1)</f>
        <v>2.4812661563204958E-3</v>
      </c>
      <c r="L2" s="7">
        <f>$B2 * IFERROR(VLOOKUP("buildings|NOx|Premature mortality", US_national_yearly!$D:$AM, 20, FALSE) / VLOOKUP("buildings|NOx|Premature mortality", US_national_yearly!$D:$AM, 10, FALSE), 1)</f>
        <v>2.5176811105395618E-3</v>
      </c>
      <c r="M2" s="7">
        <f>$B2 * IFERROR(VLOOKUP("buildings|NOx|Premature mortality", US_national_yearly!$D:$AM, 21, FALSE) / VLOOKUP("buildings|NOx|Premature mortality", US_national_yearly!$D:$AM, 10, FALSE), 1)</f>
        <v>2.5540960647586273E-3</v>
      </c>
      <c r="N2" s="7">
        <f>$B2 * IFERROR(VLOOKUP("buildings|NOx|Premature mortality", US_national_yearly!$D:$AM, 22, FALSE) / VLOOKUP("buildings|NOx|Premature mortality", US_national_yearly!$D:$AM, 10, FALSE), 1)</f>
        <v>2.5810781557635875E-3</v>
      </c>
      <c r="O2" s="7">
        <f>$B2 * IFERROR(VLOOKUP("buildings|NOx|Premature mortality", US_national_yearly!$D:$AM, 23, FALSE) / VLOOKUP("buildings|NOx|Premature mortality", US_national_yearly!$D:$AM, 10, FALSE), 1)</f>
        <v>2.6080602467685476E-3</v>
      </c>
      <c r="P2" s="7">
        <f>$B2 * IFERROR(VLOOKUP("buildings|NOx|Premature mortality", US_national_yearly!$D:$AM, 24, FALSE) / VLOOKUP("buildings|NOx|Premature mortality", US_national_yearly!$D:$AM, 10, FALSE), 1)</f>
        <v>2.6350423377735077E-3</v>
      </c>
      <c r="Q2" s="7">
        <f>$B2 * IFERROR(VLOOKUP("buildings|NOx|Premature mortality", US_national_yearly!$D:$AM, 25, FALSE) / VLOOKUP("buildings|NOx|Premature mortality", US_national_yearly!$D:$AM, 10, FALSE), 1)</f>
        <v>2.6620244287784678E-3</v>
      </c>
      <c r="R2" s="7">
        <f>$B2 * IFERROR(VLOOKUP("buildings|NOx|Premature mortality", US_national_yearly!$D:$AM, 26, FALSE) / VLOOKUP("buildings|NOx|Premature mortality", US_national_yearly!$D:$AM, 10, FALSE), 1)</f>
        <v>2.689006519783428E-3</v>
      </c>
      <c r="S2" s="7">
        <f>$B2 * IFERROR(VLOOKUP("buildings|NOx|Premature mortality", US_national_yearly!$D:$AM, 27, FALSE) / VLOOKUP("buildings|NOx|Premature mortality", US_national_yearly!$D:$AM, 10, FALSE), 1)</f>
        <v>2.7012736421417063E-3</v>
      </c>
      <c r="T2" s="7">
        <f>$B2 * IFERROR(VLOOKUP("buildings|NOx|Premature mortality", US_national_yearly!$D:$AM, 28, FALSE) / VLOOKUP("buildings|NOx|Premature mortality", US_national_yearly!$D:$AM, 10, FALSE), 1)</f>
        <v>2.7135407644999837E-3</v>
      </c>
      <c r="U2" s="7">
        <f>$B2 * IFERROR(VLOOKUP("buildings|NOx|Premature mortality", US_national_yearly!$D:$AM, 29, FALSE) / VLOOKUP("buildings|NOx|Premature mortality", US_national_yearly!$D:$AM, 10, FALSE), 1)</f>
        <v>2.725807886858262E-3</v>
      </c>
      <c r="V2" s="7">
        <f>$B2 * IFERROR(VLOOKUP("buildings|NOx|Premature mortality", US_national_yearly!$D:$AM, 30, FALSE) / VLOOKUP("buildings|NOx|Premature mortality", US_national_yearly!$D:$AM, 10, FALSE), 1)</f>
        <v>2.7380750092165398E-3</v>
      </c>
      <c r="W2" s="7">
        <f>$B2 * IFERROR(VLOOKUP("buildings|NOx|Premature mortality", US_national_yearly!$D:$AM, 31, FALSE) / VLOOKUP("buildings|NOx|Premature mortality", US_national_yearly!$D:$AM, 10, FALSE), 1)</f>
        <v>2.7503421315748177E-3</v>
      </c>
      <c r="X2" s="7">
        <f>$B2 * IFERROR(VLOOKUP("buildings|NOx|Premature mortality", US_national_yearly!$D:$AM, 32, FALSE) / VLOOKUP("buildings|NOx|Premature mortality", US_national_yearly!$D:$AM, 10, FALSE), 1)</f>
        <v>2.7507741696245033E-3</v>
      </c>
      <c r="Y2" s="7">
        <f>$B2 * IFERROR(VLOOKUP("buildings|NOx|Premature mortality", US_national_yearly!$D:$AM, 33, FALSE) / VLOOKUP("buildings|NOx|Premature mortality", US_national_yearly!$D:$AM, 10, FALSE), 1)</f>
        <v>2.751206207674189E-3</v>
      </c>
      <c r="Z2" s="7">
        <f>$B2 * IFERROR(VLOOKUP("buildings|NOx|Premature mortality", US_national_yearly!$D:$AM, 34, FALSE) / VLOOKUP("buildings|NOx|Premature mortality", US_national_yearly!$D:$AM, 10, FALSE), 1)</f>
        <v>2.7516382457238747E-3</v>
      </c>
      <c r="AA2" s="7">
        <f>$B2 * IFERROR(VLOOKUP("buildings|NOx|Premature mortality", US_national_yearly!$D:$AM, 35, FALSE) / VLOOKUP("buildings|NOx|Premature mortality", US_national_yearly!$D:$AM, 10, FALSE), 1)</f>
        <v>2.7520702837735599E-3</v>
      </c>
      <c r="AB2" s="7">
        <f>$B2 * IFERROR(VLOOKUP("buildings|NOx|Premature mortality", US_national_yearly!$D:$AM, 36, FALSE) / VLOOKUP("buildings|NOx|Premature mortality", US_national_yearly!$D:$AM, 10, FALSE), 1)</f>
        <v>2.752502321823246E-3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6.2114523340969385E-6</v>
      </c>
      <c r="C3" s="7">
        <f>$B3 * IFERROR(VLOOKUP("buildings|NOx|Infant mortality", US_national_yearly!$D:$AM, 11, FALSE) / VLOOKUP("buildings|NOx|Infant mortality", US_national_yearly!$D:$AM, 10, FALSE), 1)</f>
        <v>6.1524508269105842E-6</v>
      </c>
      <c r="D3" s="7">
        <f>$B3 * IFERROR(VLOOKUP("buildings|NOx|Infant mortality", US_national_yearly!$D:$AM, 12, FALSE) / VLOOKUP("buildings|NOx|Infant mortality", US_national_yearly!$D:$AM, 10, FALSE), 1)</f>
        <v>6.0934493197242282E-6</v>
      </c>
      <c r="E3" s="7">
        <f>$B3 * IFERROR(VLOOKUP("buildings|NOx|Infant mortality", US_national_yearly!$D:$AM, 13, FALSE) / VLOOKUP("buildings|NOx|Infant mortality", US_national_yearly!$D:$AM, 10, FALSE), 1)</f>
        <v>6.034447812537874E-6</v>
      </c>
      <c r="F3" s="7">
        <f>$B3 * IFERROR(VLOOKUP("buildings|NOx|Infant mortality", US_national_yearly!$D:$AM, 14, FALSE) / VLOOKUP("buildings|NOx|Infant mortality", US_national_yearly!$D:$AM, 10, FALSE), 1)</f>
        <v>5.975446305351518E-6</v>
      </c>
      <c r="G3" s="7">
        <f>$B3 * IFERROR(VLOOKUP("buildings|NOx|Infant mortality", US_national_yearly!$D:$AM, 15, FALSE) / VLOOKUP("buildings|NOx|Infant mortality", US_national_yearly!$D:$AM, 10, FALSE), 1)</f>
        <v>3.9661274759319478E-6</v>
      </c>
      <c r="H3" s="7">
        <f>$B3 * IFERROR(VLOOKUP("buildings|NOx|Infant mortality", US_national_yearly!$D:$AM, 16, FALSE) / VLOOKUP("buildings|NOx|Infant mortality", US_national_yearly!$D:$AM, 10, FALSE), 1)</f>
        <v>1.9568086465123773E-6</v>
      </c>
      <c r="I3" s="7">
        <f>$B3 * IFERROR(VLOOKUP("buildings|NOx|Infant mortality", US_national_yearly!$D:$AM, 17, FALSE) / VLOOKUP("buildings|NOx|Infant mortality", US_national_yearly!$D:$AM, 10, FALSE), 1)</f>
        <v>1.9429846575974297E-6</v>
      </c>
      <c r="J3" s="7">
        <f>$B3 * IFERROR(VLOOKUP("buildings|NOx|Infant mortality", US_national_yearly!$D:$AM, 18, FALSE) / VLOOKUP("buildings|NOx|Infant mortality", US_national_yearly!$D:$AM, 10, FALSE), 1)</f>
        <v>1.9291606686824817E-6</v>
      </c>
      <c r="K3" s="7">
        <f>$B3 * IFERROR(VLOOKUP("buildings|NOx|Infant mortality", US_national_yearly!$D:$AM, 19, FALSE) / VLOOKUP("buildings|NOx|Infant mortality", US_national_yearly!$D:$AM, 10, FALSE), 1)</f>
        <v>1.9153366797675337E-6</v>
      </c>
      <c r="L3" s="7">
        <f>$B3 * IFERROR(VLOOKUP("buildings|NOx|Infant mortality", US_national_yearly!$D:$AM, 20, FALSE) / VLOOKUP("buildings|NOx|Infant mortality", US_national_yearly!$D:$AM, 10, FALSE), 1)</f>
        <v>1.9015126908525861E-6</v>
      </c>
      <c r="M3" s="7">
        <f>$B3 * IFERROR(VLOOKUP("buildings|NOx|Infant mortality", US_national_yearly!$D:$AM, 21, FALSE) / VLOOKUP("buildings|NOx|Infant mortality", US_national_yearly!$D:$AM, 10, FALSE), 1)</f>
        <v>1.8876887019376379E-6</v>
      </c>
      <c r="N3" s="7">
        <f>$B3 * IFERROR(VLOOKUP("buildings|NOx|Infant mortality", US_national_yearly!$D:$AM, 22, FALSE) / VLOOKUP("buildings|NOx|Infant mortality", US_national_yearly!$D:$AM, 10, FALSE), 1)</f>
        <v>1.8785283184878301E-6</v>
      </c>
      <c r="O3" s="7">
        <f>$B3 * IFERROR(VLOOKUP("buildings|NOx|Infant mortality", US_national_yearly!$D:$AM, 23, FALSE) / VLOOKUP("buildings|NOx|Infant mortality", US_national_yearly!$D:$AM, 10, FALSE), 1)</f>
        <v>1.8693679350380223E-6</v>
      </c>
      <c r="P3" s="7">
        <f>$B3 * IFERROR(VLOOKUP("buildings|NOx|Infant mortality", US_national_yearly!$D:$AM, 24, FALSE) / VLOOKUP("buildings|NOx|Infant mortality", US_national_yearly!$D:$AM, 10, FALSE), 1)</f>
        <v>1.8602075515882148E-6</v>
      </c>
      <c r="Q3" s="7">
        <f>$B3 * IFERROR(VLOOKUP("buildings|NOx|Infant mortality", US_national_yearly!$D:$AM, 25, FALSE) / VLOOKUP("buildings|NOx|Infant mortality", US_national_yearly!$D:$AM, 10, FALSE), 1)</f>
        <v>1.8510471681384072E-6</v>
      </c>
      <c r="R3" s="7">
        <f>$B3 * IFERROR(VLOOKUP("buildings|NOx|Infant mortality", US_national_yearly!$D:$AM, 26, FALSE) / VLOOKUP("buildings|NOx|Infant mortality", US_national_yearly!$D:$AM, 10, FALSE), 1)</f>
        <v>1.8418867846885995E-6</v>
      </c>
      <c r="S3" s="7">
        <f>$B3 * IFERROR(VLOOKUP("buildings|NOx|Infant mortality", US_national_yearly!$D:$AM, 27, FALSE) / VLOOKUP("buildings|NOx|Infant mortality", US_national_yearly!$D:$AM, 10, FALSE), 1)</f>
        <v>1.8308674284522878E-6</v>
      </c>
      <c r="T3" s="7">
        <f>$B3 * IFERROR(VLOOKUP("buildings|NOx|Infant mortality", US_national_yearly!$D:$AM, 28, FALSE) / VLOOKUP("buildings|NOx|Infant mortality", US_national_yearly!$D:$AM, 10, FALSE), 1)</f>
        <v>1.8198480722159761E-6</v>
      </c>
      <c r="U3" s="7">
        <f>$B3 * IFERROR(VLOOKUP("buildings|NOx|Infant mortality", US_national_yearly!$D:$AM, 29, FALSE) / VLOOKUP("buildings|NOx|Infant mortality", US_national_yearly!$D:$AM, 10, FALSE), 1)</f>
        <v>1.8088287159796644E-6</v>
      </c>
      <c r="V3" s="7">
        <f>$B3 * IFERROR(VLOOKUP("buildings|NOx|Infant mortality", US_national_yearly!$D:$AM, 30, FALSE) / VLOOKUP("buildings|NOx|Infant mortality", US_national_yearly!$D:$AM, 10, FALSE), 1)</f>
        <v>1.7978093597433524E-6</v>
      </c>
      <c r="W3" s="7">
        <f>$B3 * IFERROR(VLOOKUP("buildings|NOx|Infant mortality", US_national_yearly!$D:$AM, 31, FALSE) / VLOOKUP("buildings|NOx|Infant mortality", US_national_yearly!$D:$AM, 10, FALSE), 1)</f>
        <v>1.7867900035070407E-6</v>
      </c>
      <c r="X3" s="7">
        <f>$B3 * IFERROR(VLOOKUP("buildings|NOx|Infant mortality", US_national_yearly!$D:$AM, 32, FALSE) / VLOOKUP("buildings|NOx|Infant mortality", US_national_yearly!$D:$AM, 10, FALSE), 1)</f>
        <v>1.7751305588271404E-6</v>
      </c>
      <c r="Y3" s="7">
        <f>$B3 * IFERROR(VLOOKUP("buildings|NOx|Infant mortality", US_national_yearly!$D:$AM, 33, FALSE) / VLOOKUP("buildings|NOx|Infant mortality", US_national_yearly!$D:$AM, 10, FALSE), 1)</f>
        <v>1.7634711141472403E-6</v>
      </c>
      <c r="Z3" s="7">
        <f>$B3 * IFERROR(VLOOKUP("buildings|NOx|Infant mortality", US_national_yearly!$D:$AM, 34, FALSE) / VLOOKUP("buildings|NOx|Infant mortality", US_national_yearly!$D:$AM, 10, FALSE), 1)</f>
        <v>1.75181166946734E-6</v>
      </c>
      <c r="AA3" s="7">
        <f>$B3 * IFERROR(VLOOKUP("buildings|NOx|Infant mortality", US_national_yearly!$D:$AM, 35, FALSE) / VLOOKUP("buildings|NOx|Infant mortality", US_national_yearly!$D:$AM, 10, FALSE), 1)</f>
        <v>1.7401522247874397E-6</v>
      </c>
      <c r="AB3" s="7">
        <f>$B3 * IFERROR(VLOOKUP("buildings|NOx|Infant mortality", US_national_yearly!$D:$AM, 36, FALSE) / VLOOKUP("buildings|NOx|Infant mortality", US_national_yearly!$D:$AM, 10, FALSE), 1)</f>
        <v>1.7284927801075394E-6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6.093651902457229E-3</v>
      </c>
      <c r="C6" s="7">
        <f>$B6 * IFERROR(VLOOKUP("buildings|NOx|Asthma symptoms cough", US_national_yearly!$D:$AM, 11, FALSE) / VLOOKUP("buildings|NOx|Asthma symptoms cough", US_national_yearly!$D:$AM, 10, FALSE), 1)</f>
        <v>6.1770451885404653E-3</v>
      </c>
      <c r="D6" s="7">
        <f>$B6 * IFERROR(VLOOKUP("buildings|NOx|Asthma symptoms cough", US_national_yearly!$D:$AM, 12, FALSE) / VLOOKUP("buildings|NOx|Asthma symptoms cough", US_national_yearly!$D:$AM, 10, FALSE), 1)</f>
        <v>6.2604384746237033E-3</v>
      </c>
      <c r="E6" s="7">
        <f>$B6 * IFERROR(VLOOKUP("buildings|NOx|Asthma symptoms cough", US_national_yearly!$D:$AM, 13, FALSE) / VLOOKUP("buildings|NOx|Asthma symptoms cough", US_national_yearly!$D:$AM, 10, FALSE), 1)</f>
        <v>6.3438317607069387E-3</v>
      </c>
      <c r="F6" s="7">
        <f>$B6 * IFERROR(VLOOKUP("buildings|NOx|Asthma symptoms cough", US_national_yearly!$D:$AM, 14, FALSE) / VLOOKUP("buildings|NOx|Asthma symptoms cough", US_national_yearly!$D:$AM, 10, FALSE), 1)</f>
        <v>6.427225046790175E-3</v>
      </c>
      <c r="G6" s="7">
        <f>$B6 * IFERROR(VLOOKUP("buildings|NOx|Asthma symptoms cough", US_national_yearly!$D:$AM, 15, FALSE) / VLOOKUP("buildings|NOx|Asthma symptoms cough", US_national_yearly!$D:$AM, 10, FALSE), 1)</f>
        <v>6.4938719085724968E-3</v>
      </c>
      <c r="H6" s="7">
        <f>$B6 * IFERROR(VLOOKUP("buildings|NOx|Asthma symptoms cough", US_national_yearly!$D:$AM, 16, FALSE) / VLOOKUP("buildings|NOx|Asthma symptoms cough", US_national_yearly!$D:$AM, 10, FALSE), 1)</f>
        <v>6.5605187703548186E-3</v>
      </c>
      <c r="I6" s="7">
        <f>$B6 * IFERROR(VLOOKUP("buildings|NOx|Asthma symptoms cough", US_national_yearly!$D:$AM, 17, FALSE) / VLOOKUP("buildings|NOx|Asthma symptoms cough", US_national_yearly!$D:$AM, 10, FALSE), 1)</f>
        <v>6.5835832808121856E-3</v>
      </c>
      <c r="J6" s="7">
        <f>$B6 * IFERROR(VLOOKUP("buildings|NOx|Asthma symptoms cough", US_national_yearly!$D:$AM, 18, FALSE) / VLOOKUP("buildings|NOx|Asthma symptoms cough", US_national_yearly!$D:$AM, 10, FALSE), 1)</f>
        <v>6.6066477912695536E-3</v>
      </c>
      <c r="K6" s="7">
        <f>$B6 * IFERROR(VLOOKUP("buildings|NOx|Asthma symptoms cough", US_national_yearly!$D:$AM, 19, FALSE) / VLOOKUP("buildings|NOx|Asthma symptoms cough", US_national_yearly!$D:$AM, 10, FALSE), 1)</f>
        <v>6.6297123017269189E-3</v>
      </c>
      <c r="L6" s="7">
        <f>$B6 * IFERROR(VLOOKUP("buildings|NOx|Asthma symptoms cough", US_national_yearly!$D:$AM, 20, FALSE) / VLOOKUP("buildings|NOx|Asthma symptoms cough", US_national_yearly!$D:$AM, 10, FALSE), 1)</f>
        <v>6.6527768121842868E-3</v>
      </c>
      <c r="M6" s="7">
        <f>$B6 * IFERROR(VLOOKUP("buildings|NOx|Asthma symptoms cough", US_national_yearly!$D:$AM, 21, FALSE) / VLOOKUP("buildings|NOx|Asthma symptoms cough", US_national_yearly!$D:$AM, 10, FALSE), 1)</f>
        <v>6.6758413226416522E-3</v>
      </c>
      <c r="N6" s="7">
        <f>$B6 * IFERROR(VLOOKUP("buildings|NOx|Asthma symptoms cough", US_national_yearly!$D:$AM, 22, FALSE) / VLOOKUP("buildings|NOx|Asthma symptoms cough", US_national_yearly!$D:$AM, 10, FALSE), 1)</f>
        <v>6.702511099974817E-3</v>
      </c>
      <c r="O6" s="7">
        <f>$B6 * IFERROR(VLOOKUP("buildings|NOx|Asthma symptoms cough", US_national_yearly!$D:$AM, 23, FALSE) / VLOOKUP("buildings|NOx|Asthma symptoms cough", US_national_yearly!$D:$AM, 10, FALSE), 1)</f>
        <v>6.729180877307981E-3</v>
      </c>
      <c r="P6" s="7">
        <f>$B6 * IFERROR(VLOOKUP("buildings|NOx|Asthma symptoms cough", US_national_yearly!$D:$AM, 24, FALSE) / VLOOKUP("buildings|NOx|Asthma symptoms cough", US_national_yearly!$D:$AM, 10, FALSE), 1)</f>
        <v>6.7558506546411441E-3</v>
      </c>
      <c r="Q6" s="7">
        <f>$B6 * IFERROR(VLOOKUP("buildings|NOx|Asthma symptoms cough", US_national_yearly!$D:$AM, 25, FALSE) / VLOOKUP("buildings|NOx|Asthma symptoms cough", US_national_yearly!$D:$AM, 10, FALSE), 1)</f>
        <v>6.782520431974309E-3</v>
      </c>
      <c r="R6" s="7">
        <f>$B6 * IFERROR(VLOOKUP("buildings|NOx|Asthma symptoms cough", US_national_yearly!$D:$AM, 26, FALSE) / VLOOKUP("buildings|NOx|Asthma symptoms cough", US_national_yearly!$D:$AM, 10, FALSE), 1)</f>
        <v>6.809190209307473E-3</v>
      </c>
      <c r="S6" s="7">
        <f>$B6 * IFERROR(VLOOKUP("buildings|NOx|Asthma symptoms cough", US_national_yearly!$D:$AM, 27, FALSE) / VLOOKUP("buildings|NOx|Asthma symptoms cough", US_national_yearly!$D:$AM, 10, FALSE), 1)</f>
        <v>6.8440215037101574E-3</v>
      </c>
      <c r="T6" s="7">
        <f>$B6 * IFERROR(VLOOKUP("buildings|NOx|Asthma symptoms cough", US_national_yearly!$D:$AM, 28, FALSE) / VLOOKUP("buildings|NOx|Asthma symptoms cough", US_national_yearly!$D:$AM, 10, FALSE), 1)</f>
        <v>6.878852798112841E-3</v>
      </c>
      <c r="U6" s="7">
        <f>$B6 * IFERROR(VLOOKUP("buildings|NOx|Asthma symptoms cough", US_national_yearly!$D:$AM, 29, FALSE) / VLOOKUP("buildings|NOx|Asthma symptoms cough", US_national_yearly!$D:$AM, 10, FALSE), 1)</f>
        <v>6.9136840925155246E-3</v>
      </c>
      <c r="V6" s="7">
        <f>$B6 * IFERROR(VLOOKUP("buildings|NOx|Asthma symptoms cough", US_national_yearly!$D:$AM, 30, FALSE) / VLOOKUP("buildings|NOx|Asthma symptoms cough", US_national_yearly!$D:$AM, 10, FALSE), 1)</f>
        <v>6.9485153869182107E-3</v>
      </c>
      <c r="W6" s="7">
        <f>$B6 * IFERROR(VLOOKUP("buildings|NOx|Asthma symptoms cough", US_national_yearly!$D:$AM, 31, FALSE) / VLOOKUP("buildings|NOx|Asthma symptoms cough", US_national_yearly!$D:$AM, 10, FALSE), 1)</f>
        <v>6.9833466813208943E-3</v>
      </c>
      <c r="X6" s="7">
        <f>$B6 * IFERROR(VLOOKUP("buildings|NOx|Asthma symptoms cough", US_national_yearly!$D:$AM, 32, FALSE) / VLOOKUP("buildings|NOx|Asthma symptoms cough", US_national_yearly!$D:$AM, 10, FALSE), 1)</f>
        <v>7.0157097466998965E-3</v>
      </c>
      <c r="Y6" s="7">
        <f>$B6 * IFERROR(VLOOKUP("buildings|NOx|Asthma symptoms cough", US_national_yearly!$D:$AM, 33, FALSE) / VLOOKUP("buildings|NOx|Asthma symptoms cough", US_national_yearly!$D:$AM, 10, FALSE), 1)</f>
        <v>7.0480728120789005E-3</v>
      </c>
      <c r="Z6" s="7">
        <f>$B6 * IFERROR(VLOOKUP("buildings|NOx|Asthma symptoms cough", US_national_yearly!$D:$AM, 34, FALSE) / VLOOKUP("buildings|NOx|Asthma symptoms cough", US_national_yearly!$D:$AM, 10, FALSE), 1)</f>
        <v>7.0804358774579036E-3</v>
      </c>
      <c r="AA6" s="7">
        <f>$B6 * IFERROR(VLOOKUP("buildings|NOx|Asthma symptoms cough", US_national_yearly!$D:$AM, 35, FALSE) / VLOOKUP("buildings|NOx|Asthma symptoms cough", US_national_yearly!$D:$AM, 10, FALSE), 1)</f>
        <v>7.1127989428369075E-3</v>
      </c>
      <c r="AB6" s="7">
        <f>$B6 * IFERROR(VLOOKUP("buildings|NOx|Asthma symptoms cough", US_national_yearly!$D:$AM, 36, FALSE) / VLOOKUP("buildings|NOx|Asthma symptoms cough", US_national_yearly!$D:$AM, 10, FALSE), 1)</f>
        <v>7.1451620082159115E-3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8.2058040397668831E-3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8.3181027029381061E-3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8.4304013661093292E-3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8.5427000292805522E-3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8.6549986924517753E-3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8.7447463666296445E-3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8.8344940408075136E-3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8.8655530598495246E-3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8.8966120788915339E-3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8.9276710979335466E-3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8.9587301169755575E-3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8.9897891360175685E-3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9.0257030621546282E-3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9.0616169882916896E-3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9.0975309144287492E-3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9.1334448405658106E-3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9.1693587667028703E-3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9.2162631155901613E-3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9.2631674644774505E-3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9.3100718133647415E-3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9.3569761622520307E-3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9.40388051113932E-3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9.4474611053918453E-3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9.4910416996443689E-3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9.5346222938968925E-3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9.5782028881494143E-3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9.6217834824019396E-3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1.2537728542393059E-2</v>
      </c>
      <c r="C8" s="7">
        <f>$B8 * IFERROR(VLOOKUP("buildings|NOx|Asthma symptoms wheeze", US_national_yearly!$D:$AM, 11, FALSE) / VLOOKUP("buildings|NOx|Asthma symptoms wheeze", US_national_yearly!$D:$AM, 10, FALSE), 1)</f>
        <v>1.2709310772608931E-2</v>
      </c>
      <c r="D8" s="7">
        <f>$B8 * IFERROR(VLOOKUP("buildings|NOx|Asthma symptoms wheeze", US_national_yearly!$D:$AM, 12, FALSE) / VLOOKUP("buildings|NOx|Asthma symptoms wheeze", US_national_yearly!$D:$AM, 10, FALSE), 1)</f>
        <v>1.2880893002824804E-2</v>
      </c>
      <c r="E8" s="7">
        <f>$B8 * IFERROR(VLOOKUP("buildings|NOx|Asthma symptoms wheeze", US_national_yearly!$D:$AM, 13, FALSE) / VLOOKUP("buildings|NOx|Asthma symptoms wheeze", US_national_yearly!$D:$AM, 10, FALSE), 1)</f>
        <v>1.3052475233040674E-2</v>
      </c>
      <c r="F8" s="7">
        <f>$B8 * IFERROR(VLOOKUP("buildings|NOx|Asthma symptoms wheeze", US_national_yearly!$D:$AM, 14, FALSE) / VLOOKUP("buildings|NOx|Asthma symptoms wheeze", US_national_yearly!$D:$AM, 10, FALSE), 1)</f>
        <v>1.3224057463256549E-2</v>
      </c>
      <c r="G8" s="7">
        <f>$B8 * IFERROR(VLOOKUP("buildings|NOx|Asthma symptoms wheeze", US_national_yearly!$D:$AM, 15, FALSE) / VLOOKUP("buildings|NOx|Asthma symptoms wheeze", US_national_yearly!$D:$AM, 10, FALSE), 1)</f>
        <v>1.336118381621392E-2</v>
      </c>
      <c r="H8" s="7">
        <f>$B8 * IFERROR(VLOOKUP("buildings|NOx|Asthma symptoms wheeze", US_national_yearly!$D:$AM, 16, FALSE) / VLOOKUP("buildings|NOx|Asthma symptoms wheeze", US_national_yearly!$D:$AM, 10, FALSE), 1)</f>
        <v>1.3498310169171288E-2</v>
      </c>
      <c r="I8" s="7">
        <f>$B8 * IFERROR(VLOOKUP("buildings|NOx|Asthma symptoms wheeze", US_national_yearly!$D:$AM, 17, FALSE) / VLOOKUP("buildings|NOx|Asthma symptoms wheeze", US_national_yearly!$D:$AM, 10, FALSE), 1)</f>
        <v>1.3545765549930002E-2</v>
      </c>
      <c r="J8" s="7">
        <f>$B8 * IFERROR(VLOOKUP("buildings|NOx|Asthma symptoms wheeze", US_national_yearly!$D:$AM, 18, FALSE) / VLOOKUP("buildings|NOx|Asthma symptoms wheeze", US_national_yearly!$D:$AM, 10, FALSE), 1)</f>
        <v>1.3593220930688715E-2</v>
      </c>
      <c r="K8" s="7">
        <f>$B8 * IFERROR(VLOOKUP("buildings|NOx|Asthma symptoms wheeze", US_national_yearly!$D:$AM, 19, FALSE) / VLOOKUP("buildings|NOx|Asthma symptoms wheeze", US_national_yearly!$D:$AM, 10, FALSE), 1)</f>
        <v>1.3640676311447428E-2</v>
      </c>
      <c r="L8" s="7">
        <f>$B8 * IFERROR(VLOOKUP("buildings|NOx|Asthma symptoms wheeze", US_national_yearly!$D:$AM, 20, FALSE) / VLOOKUP("buildings|NOx|Asthma symptoms wheeze", US_national_yearly!$D:$AM, 10, FALSE), 1)</f>
        <v>1.3688131692206141E-2</v>
      </c>
      <c r="M8" s="7">
        <f>$B8 * IFERROR(VLOOKUP("buildings|NOx|Asthma symptoms wheeze", US_national_yearly!$D:$AM, 21, FALSE) / VLOOKUP("buildings|NOx|Asthma symptoms wheeze", US_national_yearly!$D:$AM, 10, FALSE), 1)</f>
        <v>1.3735587072964855E-2</v>
      </c>
      <c r="N8" s="7">
        <f>$B8 * IFERROR(VLOOKUP("buildings|NOx|Asthma symptoms wheeze", US_national_yearly!$D:$AM, 22, FALSE) / VLOOKUP("buildings|NOx|Asthma symptoms wheeze", US_national_yearly!$D:$AM, 10, FALSE), 1)</f>
        <v>1.379046031384641E-2</v>
      </c>
      <c r="O8" s="7">
        <f>$B8 * IFERROR(VLOOKUP("buildings|NOx|Asthma symptoms wheeze", US_national_yearly!$D:$AM, 23, FALSE) / VLOOKUP("buildings|NOx|Asthma symptoms wheeze", US_national_yearly!$D:$AM, 10, FALSE), 1)</f>
        <v>1.3845333554727966E-2</v>
      </c>
      <c r="P8" s="7">
        <f>$B8 * IFERROR(VLOOKUP("buildings|NOx|Asthma symptoms wheeze", US_national_yearly!$D:$AM, 24, FALSE) / VLOOKUP("buildings|NOx|Asthma symptoms wheeze", US_national_yearly!$D:$AM, 10, FALSE), 1)</f>
        <v>1.3900206795609521E-2</v>
      </c>
      <c r="Q8" s="7">
        <f>$B8 * IFERROR(VLOOKUP("buildings|NOx|Asthma symptoms wheeze", US_national_yearly!$D:$AM, 25, FALSE) / VLOOKUP("buildings|NOx|Asthma symptoms wheeze", US_national_yearly!$D:$AM, 10, FALSE), 1)</f>
        <v>1.3955080036491077E-2</v>
      </c>
      <c r="R8" s="7">
        <f>$B8 * IFERROR(VLOOKUP("buildings|NOx|Asthma symptoms wheeze", US_national_yearly!$D:$AM, 26, FALSE) / VLOOKUP("buildings|NOx|Asthma symptoms wheeze", US_national_yearly!$D:$AM, 10, FALSE), 1)</f>
        <v>1.4009953277372632E-2</v>
      </c>
      <c r="S8" s="7">
        <f>$B8 * IFERROR(VLOOKUP("buildings|NOx|Asthma symptoms wheeze", US_national_yearly!$D:$AM, 27, FALSE) / VLOOKUP("buildings|NOx|Asthma symptoms wheeze", US_national_yearly!$D:$AM, 10, FALSE), 1)</f>
        <v>1.4081618892895017E-2</v>
      </c>
      <c r="T8" s="7">
        <f>$B8 * IFERROR(VLOOKUP("buildings|NOx|Asthma symptoms wheeze", US_national_yearly!$D:$AM, 28, FALSE) / VLOOKUP("buildings|NOx|Asthma symptoms wheeze", US_national_yearly!$D:$AM, 10, FALSE), 1)</f>
        <v>1.4153284508417404E-2</v>
      </c>
      <c r="U8" s="7">
        <f>$B8 * IFERROR(VLOOKUP("buildings|NOx|Asthma symptoms wheeze", US_national_yearly!$D:$AM, 29, FALSE) / VLOOKUP("buildings|NOx|Asthma symptoms wheeze", US_national_yearly!$D:$AM, 10, FALSE), 1)</f>
        <v>1.4224950123939791E-2</v>
      </c>
      <c r="V8" s="7">
        <f>$B8 * IFERROR(VLOOKUP("buildings|NOx|Asthma symptoms wheeze", US_national_yearly!$D:$AM, 30, FALSE) / VLOOKUP("buildings|NOx|Asthma symptoms wheeze", US_national_yearly!$D:$AM, 10, FALSE), 1)</f>
        <v>1.4296615739462176E-2</v>
      </c>
      <c r="W8" s="7">
        <f>$B8 * IFERROR(VLOOKUP("buildings|NOx|Asthma symptoms wheeze", US_national_yearly!$D:$AM, 31, FALSE) / VLOOKUP("buildings|NOx|Asthma symptoms wheeze", US_national_yearly!$D:$AM, 10, FALSE), 1)</f>
        <v>1.4368281354984563E-2</v>
      </c>
      <c r="X8" s="7">
        <f>$B8 * IFERROR(VLOOKUP("buildings|NOx|Asthma symptoms wheeze", US_national_yearly!$D:$AM, 32, FALSE) / VLOOKUP("buildings|NOx|Asthma symptoms wheeze", US_national_yearly!$D:$AM, 10, FALSE), 1)</f>
        <v>1.4434868573187916E-2</v>
      </c>
      <c r="Y8" s="7">
        <f>$B8 * IFERROR(VLOOKUP("buildings|NOx|Asthma symptoms wheeze", US_national_yearly!$D:$AM, 33, FALSE) / VLOOKUP("buildings|NOx|Asthma symptoms wheeze", US_national_yearly!$D:$AM, 10, FALSE), 1)</f>
        <v>1.4501455791391268E-2</v>
      </c>
      <c r="Z8" s="7">
        <f>$B8 * IFERROR(VLOOKUP("buildings|NOx|Asthma symptoms wheeze", US_national_yearly!$D:$AM, 34, FALSE) / VLOOKUP("buildings|NOx|Asthma symptoms wheeze", US_national_yearly!$D:$AM, 10, FALSE), 1)</f>
        <v>1.4568043009594623E-2</v>
      </c>
      <c r="AA8" s="7">
        <f>$B8 * IFERROR(VLOOKUP("buildings|NOx|Asthma symptoms wheeze", US_national_yearly!$D:$AM, 35, FALSE) / VLOOKUP("buildings|NOx|Asthma symptoms wheeze", US_national_yearly!$D:$AM, 10, FALSE), 1)</f>
        <v>1.4634630227797976E-2</v>
      </c>
      <c r="AB8" s="7">
        <f>$B8 * IFERROR(VLOOKUP("buildings|NOx|Asthma symptoms wheeze", US_national_yearly!$D:$AM, 36, FALSE) / VLOOKUP("buildings|NOx|Asthma symptoms wheeze", US_national_yearly!$D:$AM, 10, FALSE), 1)</f>
        <v>1.470121744600133E-2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1.6739373417762595E-4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1.7157595790207833E-4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1.7575818162653069E-4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1.7994040535098307E-4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1.8412262907543546E-4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1.8812096222017204E-4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1.9211929536490854E-4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1.9551578516957205E-4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1.9891227497423553E-4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2.0230876477889904E-4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2.0570525458356252E-4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2.0910174438822603E-4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2.1137227913445287E-4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2.1364281388067973E-4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2.1591334862690659E-4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2.1818388337313345E-4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2.2045441811936029E-4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2.2167181009017907E-4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2.2288920206099788E-4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2.2410659403181667E-4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2.2532398600263548E-4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2.2654137797345424E-4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2.2737474021960726E-4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2.2820810246576022E-4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2.2904146471191327E-4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2.2987482695806626E-4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2.3070818920421928E-4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1.0431314888427376E-3</v>
      </c>
      <c r="C13" s="7">
        <f>$B13 * IFERROR(VLOOKUP("buildings|NOx|Non-fatal heart attacks", US_national_yearly!$D:$AM, 11, FALSE) / VLOOKUP("buildings|NOx|Non-fatal heart attacks", US_national_yearly!$D:$AM, 10, FALSE), 1)</f>
        <v>1.0729733539362953E-3</v>
      </c>
      <c r="D13" s="7">
        <f>$B13 * IFERROR(VLOOKUP("buildings|NOx|Non-fatal heart attacks", US_national_yearly!$D:$AM, 12, FALSE) / VLOOKUP("buildings|NOx|Non-fatal heart attacks", US_national_yearly!$D:$AM, 10, FALSE), 1)</f>
        <v>1.1028152190298535E-3</v>
      </c>
      <c r="E13" s="7">
        <f>$B13 * IFERROR(VLOOKUP("buildings|NOx|Non-fatal heart attacks", US_national_yearly!$D:$AM, 13, FALSE) / VLOOKUP("buildings|NOx|Non-fatal heart attacks", US_national_yearly!$D:$AM, 10, FALSE), 1)</f>
        <v>1.1326570841234112E-3</v>
      </c>
      <c r="F13" s="7">
        <f>$B13 * IFERROR(VLOOKUP("buildings|NOx|Non-fatal heart attacks", US_national_yearly!$D:$AM, 14, FALSE) / VLOOKUP("buildings|NOx|Non-fatal heart attacks", US_national_yearly!$D:$AM, 10, FALSE), 1)</f>
        <v>1.1624989492169688E-3</v>
      </c>
      <c r="G13" s="7">
        <f>$B13 * IFERROR(VLOOKUP("buildings|NOx|Non-fatal heart attacks", US_national_yearly!$D:$AM, 15, FALSE) / VLOOKUP("buildings|NOx|Non-fatal heart attacks", US_national_yearly!$D:$AM, 10, FALSE), 1)</f>
        <v>1.1903920401486094E-3</v>
      </c>
      <c r="H13" s="7">
        <f>$B13 * IFERROR(VLOOKUP("buildings|NOx|Non-fatal heart attacks", US_national_yearly!$D:$AM, 16, FALSE) / VLOOKUP("buildings|NOx|Non-fatal heart attacks", US_national_yearly!$D:$AM, 10, FALSE), 1)</f>
        <v>1.2182851310802503E-3</v>
      </c>
      <c r="I13" s="7">
        <f>$B13 * IFERROR(VLOOKUP("buildings|NOx|Non-fatal heart attacks", US_national_yearly!$D:$AM, 17, FALSE) / VLOOKUP("buildings|NOx|Non-fatal heart attacks", US_national_yearly!$D:$AM, 10, FALSE), 1)</f>
        <v>1.2402907747430412E-3</v>
      </c>
      <c r="J13" s="7">
        <f>$B13 * IFERROR(VLOOKUP("buildings|NOx|Non-fatal heart attacks", US_national_yearly!$D:$AM, 18, FALSE) / VLOOKUP("buildings|NOx|Non-fatal heart attacks", US_national_yearly!$D:$AM, 10, FALSE), 1)</f>
        <v>1.2622964184058319E-3</v>
      </c>
      <c r="K13" s="7">
        <f>$B13 * IFERROR(VLOOKUP("buildings|NOx|Non-fatal heart attacks", US_national_yearly!$D:$AM, 19, FALSE) / VLOOKUP("buildings|NOx|Non-fatal heart attacks", US_national_yearly!$D:$AM, 10, FALSE), 1)</f>
        <v>1.2843020620686232E-3</v>
      </c>
      <c r="L13" s="7">
        <f>$B13 * IFERROR(VLOOKUP("buildings|NOx|Non-fatal heart attacks", US_national_yearly!$D:$AM, 20, FALSE) / VLOOKUP("buildings|NOx|Non-fatal heart attacks", US_national_yearly!$D:$AM, 10, FALSE), 1)</f>
        <v>1.3063077057314132E-3</v>
      </c>
      <c r="M13" s="7">
        <f>$B13 * IFERROR(VLOOKUP("buildings|NOx|Non-fatal heart attacks", US_national_yearly!$D:$AM, 21, FALSE) / VLOOKUP("buildings|NOx|Non-fatal heart attacks", US_national_yearly!$D:$AM, 10, FALSE), 1)</f>
        <v>1.3283133493942043E-3</v>
      </c>
      <c r="N13" s="7">
        <f>$B13 * IFERROR(VLOOKUP("buildings|NOx|Non-fatal heart attacks", US_national_yearly!$D:$AM, 22, FALSE) / VLOOKUP("buildings|NOx|Non-fatal heart attacks", US_national_yearly!$D:$AM, 10, FALSE), 1)</f>
        <v>1.3415570128301958E-3</v>
      </c>
      <c r="O13" s="7">
        <f>$B13 * IFERROR(VLOOKUP("buildings|NOx|Non-fatal heart attacks", US_national_yearly!$D:$AM, 23, FALSE) / VLOOKUP("buildings|NOx|Non-fatal heart attacks", US_national_yearly!$D:$AM, 10, FALSE), 1)</f>
        <v>1.3548006762661871E-3</v>
      </c>
      <c r="P13" s="7">
        <f>$B13 * IFERROR(VLOOKUP("buildings|NOx|Non-fatal heart attacks", US_national_yearly!$D:$AM, 24, FALSE) / VLOOKUP("buildings|NOx|Non-fatal heart attacks", US_national_yearly!$D:$AM, 10, FALSE), 1)</f>
        <v>1.3680443397021786E-3</v>
      </c>
      <c r="Q13" s="7">
        <f>$B13 * IFERROR(VLOOKUP("buildings|NOx|Non-fatal heart attacks", US_national_yearly!$D:$AM, 25, FALSE) / VLOOKUP("buildings|NOx|Non-fatal heart attacks", US_national_yearly!$D:$AM, 10, FALSE), 1)</f>
        <v>1.3812880031381701E-3</v>
      </c>
      <c r="R13" s="7">
        <f>$B13 * IFERROR(VLOOKUP("buildings|NOx|Non-fatal heart attacks", US_national_yearly!$D:$AM, 26, FALSE) / VLOOKUP("buildings|NOx|Non-fatal heart attacks", US_national_yearly!$D:$AM, 10, FALSE), 1)</f>
        <v>1.3945316665741614E-3</v>
      </c>
      <c r="S13" s="7">
        <f>$B13 * IFERROR(VLOOKUP("buildings|NOx|Non-fatal heart attacks", US_national_yearly!$D:$AM, 27, FALSE) / VLOOKUP("buildings|NOx|Non-fatal heart attacks", US_national_yearly!$D:$AM, 10, FALSE), 1)</f>
        <v>1.4005501067904365E-3</v>
      </c>
      <c r="T13" s="7">
        <f>$B13 * IFERROR(VLOOKUP("buildings|NOx|Non-fatal heart attacks", US_national_yearly!$D:$AM, 28, FALSE) / VLOOKUP("buildings|NOx|Non-fatal heart attacks", US_national_yearly!$D:$AM, 10, FALSE), 1)</f>
        <v>1.406568547006712E-3</v>
      </c>
      <c r="U13" s="7">
        <f>$B13 * IFERROR(VLOOKUP("buildings|NOx|Non-fatal heart attacks", US_national_yearly!$D:$AM, 29, FALSE) / VLOOKUP("buildings|NOx|Non-fatal heart attacks", US_national_yearly!$D:$AM, 10, FALSE), 1)</f>
        <v>1.4125869872229871E-3</v>
      </c>
      <c r="V13" s="7">
        <f>$B13 * IFERROR(VLOOKUP("buildings|NOx|Non-fatal heart attacks", US_national_yearly!$D:$AM, 30, FALSE) / VLOOKUP("buildings|NOx|Non-fatal heart attacks", US_national_yearly!$D:$AM, 10, FALSE), 1)</f>
        <v>1.4186054274392625E-3</v>
      </c>
      <c r="W13" s="7">
        <f>$B13 * IFERROR(VLOOKUP("buildings|NOx|Non-fatal heart attacks", US_national_yearly!$D:$AM, 31, FALSE) / VLOOKUP("buildings|NOx|Non-fatal heart attacks", US_national_yearly!$D:$AM, 10, FALSE), 1)</f>
        <v>1.4246238676555378E-3</v>
      </c>
      <c r="X13" s="7">
        <f>$B13 * IFERROR(VLOOKUP("buildings|NOx|Non-fatal heart attacks", US_national_yearly!$D:$AM, 32, FALSE) / VLOOKUP("buildings|NOx|Non-fatal heart attacks", US_national_yearly!$D:$AM, 10, FALSE), 1)</f>
        <v>1.4286497140696191E-3</v>
      </c>
      <c r="Y13" s="7">
        <f>$B13 * IFERROR(VLOOKUP("buildings|NOx|Non-fatal heart attacks", US_national_yearly!$D:$AM, 33, FALSE) / VLOOKUP("buildings|NOx|Non-fatal heart attacks", US_national_yearly!$D:$AM, 10, FALSE), 1)</f>
        <v>1.4326755604837005E-3</v>
      </c>
      <c r="Z13" s="7">
        <f>$B13 * IFERROR(VLOOKUP("buildings|NOx|Non-fatal heart attacks", US_national_yearly!$D:$AM, 34, FALSE) / VLOOKUP("buildings|NOx|Non-fatal heart attacks", US_national_yearly!$D:$AM, 10, FALSE), 1)</f>
        <v>1.436701406897782E-3</v>
      </c>
      <c r="AA13" s="7">
        <f>$B13 * IFERROR(VLOOKUP("buildings|NOx|Non-fatal heart attacks", US_national_yearly!$D:$AM, 35, FALSE) / VLOOKUP("buildings|NOx|Non-fatal heart attacks", US_national_yearly!$D:$AM, 10, FALSE), 1)</f>
        <v>1.4407272533118634E-3</v>
      </c>
      <c r="AB13" s="7">
        <f>$B13 * IFERROR(VLOOKUP("buildings|NOx|Non-fatal heart attacks", US_national_yearly!$D:$AM, 36, FALSE) / VLOOKUP("buildings|NOx|Non-fatal heart attacks", US_national_yearly!$D:$AM, 10, FALSE), 1)</f>
        <v>1.4447530997259447E-3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0.78523764380780448</v>
      </c>
      <c r="C14" s="7">
        <f>$B14 * IFERROR(VLOOKUP("buildings|NOx|Minor restricted activity days", US_national_yearly!$D:$AM, 11, FALSE) / VLOOKUP("buildings|NOx|Minor restricted activity days", US_national_yearly!$D:$AM, 10, FALSE), 1)</f>
        <v>0.78645614692786026</v>
      </c>
      <c r="D14" s="7">
        <f>$B14 * IFERROR(VLOOKUP("buildings|NOx|Minor restricted activity days", US_national_yearly!$D:$AM, 12, FALSE) / VLOOKUP("buildings|NOx|Minor restricted activity days", US_national_yearly!$D:$AM, 10, FALSE), 1)</f>
        <v>0.78767465004791593</v>
      </c>
      <c r="E14" s="7">
        <f>$B14 * IFERROR(VLOOKUP("buildings|NOx|Minor restricted activity days", US_national_yearly!$D:$AM, 13, FALSE) / VLOOKUP("buildings|NOx|Minor restricted activity days", US_national_yearly!$D:$AM, 10, FALSE), 1)</f>
        <v>0.78889315316797171</v>
      </c>
      <c r="F14" s="7">
        <f>$B14 * IFERROR(VLOOKUP("buildings|NOx|Minor restricted activity days", US_national_yearly!$D:$AM, 14, FALSE) / VLOOKUP("buildings|NOx|Minor restricted activity days", US_national_yearly!$D:$AM, 10, FALSE), 1)</f>
        <v>0.79011165628802749</v>
      </c>
      <c r="G14" s="7">
        <f>$B14 * IFERROR(VLOOKUP("buildings|NOx|Minor restricted activity days", US_national_yearly!$D:$AM, 15, FALSE) / VLOOKUP("buildings|NOx|Minor restricted activity days", US_national_yearly!$D:$AM, 10, FALSE), 1)</f>
        <v>0.79230069925769764</v>
      </c>
      <c r="H14" s="7">
        <f>$B14 * IFERROR(VLOOKUP("buildings|NOx|Minor restricted activity days", US_national_yearly!$D:$AM, 16, FALSE) / VLOOKUP("buildings|NOx|Minor restricted activity days", US_national_yearly!$D:$AM, 10, FALSE), 1)</f>
        <v>0.79448974222736779</v>
      </c>
      <c r="I14" s="7">
        <f>$B14 * IFERROR(VLOOKUP("buildings|NOx|Minor restricted activity days", US_national_yearly!$D:$AM, 17, FALSE) / VLOOKUP("buildings|NOx|Minor restricted activity days", US_national_yearly!$D:$AM, 10, FALSE), 1)</f>
        <v>0.79875775148111283</v>
      </c>
      <c r="J14" s="7">
        <f>$B14 * IFERROR(VLOOKUP("buildings|NOx|Minor restricted activity days", US_national_yearly!$D:$AM, 18, FALSE) / VLOOKUP("buildings|NOx|Minor restricted activity days", US_national_yearly!$D:$AM, 10, FALSE), 1)</f>
        <v>0.80302576073485787</v>
      </c>
      <c r="K14" s="7">
        <f>$B14 * IFERROR(VLOOKUP("buildings|NOx|Minor restricted activity days", US_national_yearly!$D:$AM, 19, FALSE) / VLOOKUP("buildings|NOx|Minor restricted activity days", US_national_yearly!$D:$AM, 10, FALSE), 1)</f>
        <v>0.80729376998860292</v>
      </c>
      <c r="L14" s="7">
        <f>$B14 * IFERROR(VLOOKUP("buildings|NOx|Minor restricted activity days", US_national_yearly!$D:$AM, 20, FALSE) / VLOOKUP("buildings|NOx|Minor restricted activity days", US_national_yearly!$D:$AM, 10, FALSE), 1)</f>
        <v>0.81156177924234796</v>
      </c>
      <c r="M14" s="7">
        <f>$B14 * IFERROR(VLOOKUP("buildings|NOx|Minor restricted activity days", US_national_yearly!$D:$AM, 21, FALSE) / VLOOKUP("buildings|NOx|Minor restricted activity days", US_national_yearly!$D:$AM, 10, FALSE), 1)</f>
        <v>0.815829788496093</v>
      </c>
      <c r="N14" s="7">
        <f>$B14 * IFERROR(VLOOKUP("buildings|NOx|Minor restricted activity days", US_national_yearly!$D:$AM, 22, FALSE) / VLOOKUP("buildings|NOx|Minor restricted activity days", US_national_yearly!$D:$AM, 10, FALSE), 1)</f>
        <v>0.82193563789518809</v>
      </c>
      <c r="O14" s="7">
        <f>$B14 * IFERROR(VLOOKUP("buildings|NOx|Minor restricted activity days", US_national_yearly!$D:$AM, 23, FALSE) / VLOOKUP("buildings|NOx|Minor restricted activity days", US_national_yearly!$D:$AM, 10, FALSE), 1)</f>
        <v>0.82804148729428306</v>
      </c>
      <c r="P14" s="7">
        <f>$B14 * IFERROR(VLOOKUP("buildings|NOx|Minor restricted activity days", US_national_yearly!$D:$AM, 24, FALSE) / VLOOKUP("buildings|NOx|Minor restricted activity days", US_national_yearly!$D:$AM, 10, FALSE), 1)</f>
        <v>0.83414733669337815</v>
      </c>
      <c r="Q14" s="7">
        <f>$B14 * IFERROR(VLOOKUP("buildings|NOx|Minor restricted activity days", US_national_yearly!$D:$AM, 25, FALSE) / VLOOKUP("buildings|NOx|Minor restricted activity days", US_national_yearly!$D:$AM, 10, FALSE), 1)</f>
        <v>0.84025318609247301</v>
      </c>
      <c r="R14" s="7">
        <f>$B14 * IFERROR(VLOOKUP("buildings|NOx|Minor restricted activity days", US_national_yearly!$D:$AM, 26, FALSE) / VLOOKUP("buildings|NOx|Minor restricted activity days", US_national_yearly!$D:$AM, 10, FALSE), 1)</f>
        <v>0.84635903549156799</v>
      </c>
      <c r="S14" s="7">
        <f>$B14 * IFERROR(VLOOKUP("buildings|NOx|Minor restricted activity days", US_national_yearly!$D:$AM, 27, FALSE) / VLOOKUP("buildings|NOx|Minor restricted activity days", US_national_yearly!$D:$AM, 10, FALSE), 1)</f>
        <v>0.85246312718240291</v>
      </c>
      <c r="T14" s="7">
        <f>$B14 * IFERROR(VLOOKUP("buildings|NOx|Minor restricted activity days", US_national_yearly!$D:$AM, 28, FALSE) / VLOOKUP("buildings|NOx|Minor restricted activity days", US_national_yearly!$D:$AM, 10, FALSE), 1)</f>
        <v>0.85856721887323784</v>
      </c>
      <c r="U14" s="7">
        <f>$B14 * IFERROR(VLOOKUP("buildings|NOx|Minor restricted activity days", US_national_yearly!$D:$AM, 29, FALSE) / VLOOKUP("buildings|NOx|Minor restricted activity days", US_national_yearly!$D:$AM, 10, FALSE), 1)</f>
        <v>0.86467131056407298</v>
      </c>
      <c r="V14" s="7">
        <f>$B14 * IFERROR(VLOOKUP("buildings|NOx|Minor restricted activity days", US_national_yearly!$D:$AM, 30, FALSE) / VLOOKUP("buildings|NOx|Minor restricted activity days", US_national_yearly!$D:$AM, 10, FALSE), 1)</f>
        <v>0.8707754022549079</v>
      </c>
      <c r="W14" s="7">
        <f>$B14 * IFERROR(VLOOKUP("buildings|NOx|Minor restricted activity days", US_national_yearly!$D:$AM, 31, FALSE) / VLOOKUP("buildings|NOx|Minor restricted activity days", US_national_yearly!$D:$AM, 10, FALSE), 1)</f>
        <v>0.87687949394574283</v>
      </c>
      <c r="X14" s="7">
        <f>$B14 * IFERROR(VLOOKUP("buildings|NOx|Minor restricted activity days", US_national_yearly!$D:$AM, 32, FALSE) / VLOOKUP("buildings|NOx|Minor restricted activity days", US_national_yearly!$D:$AM, 10, FALSE), 1)</f>
        <v>0.88204197502575021</v>
      </c>
      <c r="Y14" s="7">
        <f>$B14 * IFERROR(VLOOKUP("buildings|NOx|Minor restricted activity days", US_national_yearly!$D:$AM, 33, FALSE) / VLOOKUP("buildings|NOx|Minor restricted activity days", US_national_yearly!$D:$AM, 10, FALSE), 1)</f>
        <v>0.88720445610575782</v>
      </c>
      <c r="Z14" s="7">
        <f>$B14 * IFERROR(VLOOKUP("buildings|NOx|Minor restricted activity days", US_national_yearly!$D:$AM, 34, FALSE) / VLOOKUP("buildings|NOx|Minor restricted activity days", US_national_yearly!$D:$AM, 10, FALSE), 1)</f>
        <v>0.8923669371857651</v>
      </c>
      <c r="AA14" s="7">
        <f>$B14 * IFERROR(VLOOKUP("buildings|NOx|Minor restricted activity days", US_national_yearly!$D:$AM, 35, FALSE) / VLOOKUP("buildings|NOx|Minor restricted activity days", US_national_yearly!$D:$AM, 10, FALSE), 1)</f>
        <v>0.8975294182657727</v>
      </c>
      <c r="AB14" s="7">
        <f>$B14 * IFERROR(VLOOKUP("buildings|NOx|Minor restricted activity days", US_national_yearly!$D:$AM, 36, FALSE) / VLOOKUP("buildings|NOx|Minor restricted activity days", US_national_yearly!$D:$AM, 10, FALSE), 1)</f>
        <v>0.90269189934578009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0.13361173217172881</v>
      </c>
      <c r="C15" s="7">
        <f>$B15 * IFERROR(VLOOKUP("buildings|NOx|Work loss days", US_national_yearly!$D:$AM, 11, FALSE) / VLOOKUP("buildings|NOx|Work loss days", US_national_yearly!$D:$AM, 10, FALSE), 1)</f>
        <v>0.13391125427635656</v>
      </c>
      <c r="D15" s="7">
        <f>$B15 * IFERROR(VLOOKUP("buildings|NOx|Work loss days", US_national_yearly!$D:$AM, 12, FALSE) / VLOOKUP("buildings|NOx|Work loss days", US_national_yearly!$D:$AM, 10, FALSE), 1)</f>
        <v>0.13421077638098428</v>
      </c>
      <c r="E15" s="7">
        <f>$B15 * IFERROR(VLOOKUP("buildings|NOx|Work loss days", US_national_yearly!$D:$AM, 13, FALSE) / VLOOKUP("buildings|NOx|Work loss days", US_national_yearly!$D:$AM, 10, FALSE), 1)</f>
        <v>0.13451029848561197</v>
      </c>
      <c r="F15" s="7">
        <f>$B15 * IFERROR(VLOOKUP("buildings|NOx|Work loss days", US_national_yearly!$D:$AM, 14, FALSE) / VLOOKUP("buildings|NOx|Work loss days", US_national_yearly!$D:$AM, 10, FALSE), 1)</f>
        <v>0.13480982059023972</v>
      </c>
      <c r="G15" s="7">
        <f>$B15 * IFERROR(VLOOKUP("buildings|NOx|Work loss days", US_national_yearly!$D:$AM, 15, FALSE) / VLOOKUP("buildings|NOx|Work loss days", US_national_yearly!$D:$AM, 10, FALSE), 1)</f>
        <v>0.13524610811657711</v>
      </c>
      <c r="H15" s="7">
        <f>$B15 * IFERROR(VLOOKUP("buildings|NOx|Work loss days", US_national_yearly!$D:$AM, 16, FALSE) / VLOOKUP("buildings|NOx|Work loss days", US_national_yearly!$D:$AM, 10, FALSE), 1)</f>
        <v>0.13568239564291448</v>
      </c>
      <c r="I15" s="7">
        <f>$B15 * IFERROR(VLOOKUP("buildings|NOx|Work loss days", US_national_yearly!$D:$AM, 17, FALSE) / VLOOKUP("buildings|NOx|Work loss days", US_national_yearly!$D:$AM, 10, FALSE), 1)</f>
        <v>0.13638800407791249</v>
      </c>
      <c r="J15" s="7">
        <f>$B15 * IFERROR(VLOOKUP("buildings|NOx|Work loss days", US_national_yearly!$D:$AM, 18, FALSE) / VLOOKUP("buildings|NOx|Work loss days", US_national_yearly!$D:$AM, 10, FALSE), 1)</f>
        <v>0.13709361251291044</v>
      </c>
      <c r="K15" s="7">
        <f>$B15 * IFERROR(VLOOKUP("buildings|NOx|Work loss days", US_national_yearly!$D:$AM, 19, FALSE) / VLOOKUP("buildings|NOx|Work loss days", US_national_yearly!$D:$AM, 10, FALSE), 1)</f>
        <v>0.13779922094790845</v>
      </c>
      <c r="L15" s="7">
        <f>$B15 * IFERROR(VLOOKUP("buildings|NOx|Work loss days", US_national_yearly!$D:$AM, 20, FALSE) / VLOOKUP("buildings|NOx|Work loss days", US_national_yearly!$D:$AM, 10, FALSE), 1)</f>
        <v>0.13850482938290642</v>
      </c>
      <c r="M15" s="7">
        <f>$B15 * IFERROR(VLOOKUP("buildings|NOx|Work loss days", US_national_yearly!$D:$AM, 21, FALSE) / VLOOKUP("buildings|NOx|Work loss days", US_national_yearly!$D:$AM, 10, FALSE), 1)</f>
        <v>0.1392104378179044</v>
      </c>
      <c r="N15" s="7">
        <f>$B15 * IFERROR(VLOOKUP("buildings|NOx|Work loss days", US_national_yearly!$D:$AM, 22, FALSE) / VLOOKUP("buildings|NOx|Work loss days", US_national_yearly!$D:$AM, 10, FALSE), 1)</f>
        <v>0.14012843555572649</v>
      </c>
      <c r="O15" s="7">
        <f>$B15 * IFERROR(VLOOKUP("buildings|NOx|Work loss days", US_national_yearly!$D:$AM, 23, FALSE) / VLOOKUP("buildings|NOx|Work loss days", US_national_yearly!$D:$AM, 10, FALSE), 1)</f>
        <v>0.14104643329354857</v>
      </c>
      <c r="P15" s="7">
        <f>$B15 * IFERROR(VLOOKUP("buildings|NOx|Work loss days", US_national_yearly!$D:$AM, 24, FALSE) / VLOOKUP("buildings|NOx|Work loss days", US_national_yearly!$D:$AM, 10, FALSE), 1)</f>
        <v>0.14196443103137066</v>
      </c>
      <c r="Q15" s="7">
        <f>$B15 * IFERROR(VLOOKUP("buildings|NOx|Work loss days", US_national_yearly!$D:$AM, 25, FALSE) / VLOOKUP("buildings|NOx|Work loss days", US_national_yearly!$D:$AM, 10, FALSE), 1)</f>
        <v>0.14288242876919277</v>
      </c>
      <c r="R15" s="7">
        <f>$B15 * IFERROR(VLOOKUP("buildings|NOx|Work loss days", US_national_yearly!$D:$AM, 26, FALSE) / VLOOKUP("buildings|NOx|Work loss days", US_national_yearly!$D:$AM, 10, FALSE), 1)</f>
        <v>0.14380042650701486</v>
      </c>
      <c r="S15" s="7">
        <f>$B15 * IFERROR(VLOOKUP("buildings|NOx|Work loss days", US_national_yearly!$D:$AM, 27, FALSE) / VLOOKUP("buildings|NOx|Work loss days", US_national_yearly!$D:$AM, 10, FALSE), 1)</f>
        <v>0.1448233741079307</v>
      </c>
      <c r="T15" s="7">
        <f>$B15 * IFERROR(VLOOKUP("buildings|NOx|Work loss days", US_national_yearly!$D:$AM, 28, FALSE) / VLOOKUP("buildings|NOx|Work loss days", US_national_yearly!$D:$AM, 10, FALSE), 1)</f>
        <v>0.14584632170884657</v>
      </c>
      <c r="U15" s="7">
        <f>$B15 * IFERROR(VLOOKUP("buildings|NOx|Work loss days", US_national_yearly!$D:$AM, 29, FALSE) / VLOOKUP("buildings|NOx|Work loss days", US_national_yearly!$D:$AM, 10, FALSE), 1)</f>
        <v>0.14686926930976238</v>
      </c>
      <c r="V15" s="7">
        <f>$B15 * IFERROR(VLOOKUP("buildings|NOx|Work loss days", US_national_yearly!$D:$AM, 30, FALSE) / VLOOKUP("buildings|NOx|Work loss days", US_national_yearly!$D:$AM, 10, FALSE), 1)</f>
        <v>0.14789221691067822</v>
      </c>
      <c r="W15" s="7">
        <f>$B15 * IFERROR(VLOOKUP("buildings|NOx|Work loss days", US_national_yearly!$D:$AM, 31, FALSE) / VLOOKUP("buildings|NOx|Work loss days", US_national_yearly!$D:$AM, 10, FALSE), 1)</f>
        <v>0.14891516451159403</v>
      </c>
      <c r="X15" s="7">
        <f>$B15 * IFERROR(VLOOKUP("buildings|NOx|Work loss days", US_national_yearly!$D:$AM, 32, FALSE) / VLOOKUP("buildings|NOx|Work loss days", US_national_yearly!$D:$AM, 10, FALSE), 1)</f>
        <v>0.14980329676102497</v>
      </c>
      <c r="Y15" s="7">
        <f>$B15 * IFERROR(VLOOKUP("buildings|NOx|Work loss days", US_national_yearly!$D:$AM, 33, FALSE) / VLOOKUP("buildings|NOx|Work loss days", US_national_yearly!$D:$AM, 10, FALSE), 1)</f>
        <v>0.1506914290104559</v>
      </c>
      <c r="Z15" s="7">
        <f>$B15 * IFERROR(VLOOKUP("buildings|NOx|Work loss days", US_national_yearly!$D:$AM, 34, FALSE) / VLOOKUP("buildings|NOx|Work loss days", US_national_yearly!$D:$AM, 10, FALSE), 1)</f>
        <v>0.15157956125988681</v>
      </c>
      <c r="AA15" s="7">
        <f>$B15 * IFERROR(VLOOKUP("buildings|NOx|Work loss days", US_national_yearly!$D:$AM, 35, FALSE) / VLOOKUP("buildings|NOx|Work loss days", US_national_yearly!$D:$AM, 10, FALSE), 1)</f>
        <v>0.15246769350931774</v>
      </c>
      <c r="AB15" s="7">
        <f>$B15 * IFERROR(VLOOKUP("buildings|NOx|Work loss days", US_national_yearly!$D:$AM, 36, FALSE) / VLOOKUP("buildings|NOx|Work loss days", US_national_yearly!$D:$AM, 10, FALSE), 1)</f>
        <v>0.15335582575874868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2.6318470070223031E-4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2.7092235428925943E-4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2.7866000787628862E-4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2.8639766146331774E-4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2.9413531505034687E-4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3.0148594522868004E-4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3.0883657540701316E-4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3.1502140497304611E-4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3.2120623453907901E-4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3.2739106410511185E-4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3.3357589367114475E-4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3.397607232371776E-4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3.4362954539987194E-4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3.4749836756256617E-4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3.5136718972526046E-4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3.5523601188795474E-4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3.5910483405064898E-4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3.6087260897621194E-4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3.6264038390177491E-4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3.6440815882733793E-4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3.661759337529009E-4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3.6794370867846392E-4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3.6892904857304716E-4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3.699143884676304E-4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3.7089972836221364E-4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3.7188506825679694E-4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3.7287040815138012E-4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5.5947349961782142E-3</v>
      </c>
      <c r="C2" s="7">
        <f>$B2 * IFERROR(VLOOKUP("buildings|SO2|Premature mortality", US_national_yearly!$D:$AM, 11, FALSE) / VLOOKUP("buildings|SO2|Premature mortality", US_national_yearly!$D:$AM, 10, FALSE), 1)</f>
        <v>5.6656114032150248E-3</v>
      </c>
      <c r="D2" s="7">
        <f>$B2 * IFERROR(VLOOKUP("buildings|SO2|Premature mortality", US_national_yearly!$D:$AM, 12, FALSE) / VLOOKUP("buildings|SO2|Premature mortality", US_national_yearly!$D:$AM, 10, FALSE), 1)</f>
        <v>5.7364878102518346E-3</v>
      </c>
      <c r="E2" s="7">
        <f>$B2 * IFERROR(VLOOKUP("buildings|SO2|Premature mortality", US_national_yearly!$D:$AM, 13, FALSE) / VLOOKUP("buildings|SO2|Premature mortality", US_national_yearly!$D:$AM, 10, FALSE), 1)</f>
        <v>5.8073642172886452E-3</v>
      </c>
      <c r="F2" s="7">
        <f>$B2 * IFERROR(VLOOKUP("buildings|SO2|Premature mortality", US_national_yearly!$D:$AM, 14, FALSE) / VLOOKUP("buildings|SO2|Premature mortality", US_national_yearly!$D:$AM, 10, FALSE), 1)</f>
        <v>5.8782406243254558E-3</v>
      </c>
      <c r="G2" s="7">
        <f>$B2 * IFERROR(VLOOKUP("buildings|SO2|Premature mortality", US_national_yearly!$D:$AM, 15, FALSE) / VLOOKUP("buildings|SO2|Premature mortality", US_national_yearly!$D:$AM, 10, FALSE), 1)</f>
        <v>6.0148050793555185E-3</v>
      </c>
      <c r="H2" s="7">
        <f>$B2 * IFERROR(VLOOKUP("buildings|SO2|Premature mortality", US_national_yearly!$D:$AM, 16, FALSE) / VLOOKUP("buildings|SO2|Premature mortality", US_national_yearly!$D:$AM, 10, FALSE), 1)</f>
        <v>6.1513695343855829E-3</v>
      </c>
      <c r="I2" s="7">
        <f>$B2 * IFERROR(VLOOKUP("buildings|SO2|Premature mortality", US_national_yearly!$D:$AM, 17, FALSE) / VLOOKUP("buildings|SO2|Premature mortality", US_national_yearly!$D:$AM, 10, FALSE), 1)</f>
        <v>6.2416651676480426E-3</v>
      </c>
      <c r="J2" s="7">
        <f>$B2 * IFERROR(VLOOKUP("buildings|SO2|Premature mortality", US_national_yearly!$D:$AM, 18, FALSE) / VLOOKUP("buildings|SO2|Premature mortality", US_national_yearly!$D:$AM, 10, FALSE), 1)</f>
        <v>6.3319608009105013E-3</v>
      </c>
      <c r="K2" s="7">
        <f>$B2 * IFERROR(VLOOKUP("buildings|SO2|Premature mortality", US_national_yearly!$D:$AM, 19, FALSE) / VLOOKUP("buildings|SO2|Premature mortality", US_national_yearly!$D:$AM, 10, FALSE), 1)</f>
        <v>6.4222564341729609E-3</v>
      </c>
      <c r="L2" s="7">
        <f>$B2 * IFERROR(VLOOKUP("buildings|SO2|Premature mortality", US_national_yearly!$D:$AM, 20, FALSE) / VLOOKUP("buildings|SO2|Premature mortality", US_national_yearly!$D:$AM, 10, FALSE), 1)</f>
        <v>6.5125520674354197E-3</v>
      </c>
      <c r="M2" s="7">
        <f>$B2 * IFERROR(VLOOKUP("buildings|SO2|Premature mortality", US_national_yearly!$D:$AM, 21, FALSE) / VLOOKUP("buildings|SO2|Premature mortality", US_national_yearly!$D:$AM, 10, FALSE), 1)</f>
        <v>6.6028477006978793E-3</v>
      </c>
      <c r="N2" s="7">
        <f>$B2 * IFERROR(VLOOKUP("buildings|SO2|Premature mortality", US_national_yearly!$D:$AM, 22, FALSE) / VLOOKUP("buildings|SO2|Premature mortality", US_national_yearly!$D:$AM, 10, FALSE), 1)</f>
        <v>6.6733834777030947E-3</v>
      </c>
      <c r="O2" s="7">
        <f>$B2 * IFERROR(VLOOKUP("buildings|SO2|Premature mortality", US_national_yearly!$D:$AM, 23, FALSE) / VLOOKUP("buildings|SO2|Premature mortality", US_national_yearly!$D:$AM, 10, FALSE), 1)</f>
        <v>6.7439192547083067E-3</v>
      </c>
      <c r="P2" s="7">
        <f>$B2 * IFERROR(VLOOKUP("buildings|SO2|Premature mortality", US_national_yearly!$D:$AM, 24, FALSE) / VLOOKUP("buildings|SO2|Premature mortality", US_national_yearly!$D:$AM, 10, FALSE), 1)</f>
        <v>6.8144550317135212E-3</v>
      </c>
      <c r="Q2" s="7">
        <f>$B2 * IFERROR(VLOOKUP("buildings|SO2|Premature mortality", US_national_yearly!$D:$AM, 25, FALSE) / VLOOKUP("buildings|SO2|Premature mortality", US_national_yearly!$D:$AM, 10, FALSE), 1)</f>
        <v>6.884990808718734E-3</v>
      </c>
      <c r="R2" s="7">
        <f>$B2 * IFERROR(VLOOKUP("buildings|SO2|Premature mortality", US_national_yearly!$D:$AM, 26, FALSE) / VLOOKUP("buildings|SO2|Premature mortality", US_national_yearly!$D:$AM, 10, FALSE), 1)</f>
        <v>6.9555265857239486E-3</v>
      </c>
      <c r="S2" s="7">
        <f>$B2 * IFERROR(VLOOKUP("buildings|SO2|Premature mortality", US_national_yearly!$D:$AM, 27, FALSE) / VLOOKUP("buildings|SO2|Premature mortality", US_national_yearly!$D:$AM, 10, FALSE), 1)</f>
        <v>6.9932781387247716E-3</v>
      </c>
      <c r="T2" s="7">
        <f>$B2 * IFERROR(VLOOKUP("buildings|SO2|Premature mortality", US_national_yearly!$D:$AM, 28, FALSE) / VLOOKUP("buildings|SO2|Premature mortality", US_national_yearly!$D:$AM, 10, FALSE), 1)</f>
        <v>7.0310296917255963E-3</v>
      </c>
      <c r="U2" s="7">
        <f>$B2 * IFERROR(VLOOKUP("buildings|SO2|Premature mortality", US_national_yearly!$D:$AM, 29, FALSE) / VLOOKUP("buildings|SO2|Premature mortality", US_national_yearly!$D:$AM, 10, FALSE), 1)</f>
        <v>7.0687812447264202E-3</v>
      </c>
      <c r="V2" s="7">
        <f>$B2 * IFERROR(VLOOKUP("buildings|SO2|Premature mortality", US_national_yearly!$D:$AM, 30, FALSE) / VLOOKUP("buildings|SO2|Premature mortality", US_national_yearly!$D:$AM, 10, FALSE), 1)</f>
        <v>7.106532797727245E-3</v>
      </c>
      <c r="W2" s="7">
        <f>$B2 * IFERROR(VLOOKUP("buildings|SO2|Premature mortality", US_national_yearly!$D:$AM, 31, FALSE) / VLOOKUP("buildings|SO2|Premature mortality", US_national_yearly!$D:$AM, 10, FALSE), 1)</f>
        <v>7.144284350728068E-3</v>
      </c>
      <c r="X2" s="7">
        <f>$B2 * IFERROR(VLOOKUP("buildings|SO2|Premature mortality", US_national_yearly!$D:$AM, 32, FALSE) / VLOOKUP("buildings|SO2|Premature mortality", US_national_yearly!$D:$AM, 10, FALSE), 1)</f>
        <v>7.1519126166264277E-3</v>
      </c>
      <c r="Y2" s="7">
        <f>$B2 * IFERROR(VLOOKUP("buildings|SO2|Premature mortality", US_national_yearly!$D:$AM, 33, FALSE) / VLOOKUP("buildings|SO2|Premature mortality", US_national_yearly!$D:$AM, 10, FALSE), 1)</f>
        <v>7.1595408825247883E-3</v>
      </c>
      <c r="Z2" s="7">
        <f>$B2 * IFERROR(VLOOKUP("buildings|SO2|Premature mortality", US_national_yearly!$D:$AM, 34, FALSE) / VLOOKUP("buildings|SO2|Premature mortality", US_national_yearly!$D:$AM, 10, FALSE), 1)</f>
        <v>7.1671691484231472E-3</v>
      </c>
      <c r="AA2" s="7">
        <f>$B2 * IFERROR(VLOOKUP("buildings|SO2|Premature mortality", US_national_yearly!$D:$AM, 35, FALSE) / VLOOKUP("buildings|SO2|Premature mortality", US_national_yearly!$D:$AM, 10, FALSE), 1)</f>
        <v>7.1747974143215069E-3</v>
      </c>
      <c r="AB2" s="7">
        <f>$B2 * IFERROR(VLOOKUP("buildings|SO2|Premature mortality", US_national_yearly!$D:$AM, 36, FALSE) / VLOOKUP("buildings|SO2|Premature mortality", US_national_yearly!$D:$AM, 10, FALSE), 1)</f>
        <v>7.1824256802198666E-3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1.6118579590612324E-5</v>
      </c>
      <c r="C3" s="7">
        <f>$B3 * IFERROR(VLOOKUP("buildings|SO2|Infant mortality", US_national_yearly!$D:$AM, 11, FALSE) / VLOOKUP("buildings|SO2|Infant mortality", US_national_yearly!$D:$AM, 10, FALSE), 1)</f>
        <v>1.598042068139712E-5</v>
      </c>
      <c r="D3" s="7">
        <f>$B3 * IFERROR(VLOOKUP("buildings|SO2|Infant mortality", US_national_yearly!$D:$AM, 12, FALSE) / VLOOKUP("buildings|SO2|Infant mortality", US_national_yearly!$D:$AM, 10, FALSE), 1)</f>
        <v>1.5842261772181919E-5</v>
      </c>
      <c r="E3" s="7">
        <f>$B3 * IFERROR(VLOOKUP("buildings|SO2|Infant mortality", US_national_yearly!$D:$AM, 13, FALSE) / VLOOKUP("buildings|SO2|Infant mortality", US_national_yearly!$D:$AM, 10, FALSE), 1)</f>
        <v>1.5704102862966718E-5</v>
      </c>
      <c r="F3" s="7">
        <f>$B3 * IFERROR(VLOOKUP("buildings|SO2|Infant mortality", US_national_yearly!$D:$AM, 14, FALSE) / VLOOKUP("buildings|SO2|Infant mortality", US_national_yearly!$D:$AM, 10, FALSE), 1)</f>
        <v>1.5565943953751516E-5</v>
      </c>
      <c r="G3" s="7">
        <f>$B3 * IFERROR(VLOOKUP("buildings|SO2|Infant mortality", US_national_yearly!$D:$AM, 15, FALSE) / VLOOKUP("buildings|SO2|Infant mortality", US_national_yearly!$D:$AM, 10, FALSE), 1)</f>
        <v>1.0366302001191331E-5</v>
      </c>
      <c r="H3" s="7">
        <f>$B3 * IFERROR(VLOOKUP("buildings|SO2|Infant mortality", US_national_yearly!$D:$AM, 16, FALSE) / VLOOKUP("buildings|SO2|Infant mortality", US_national_yearly!$D:$AM, 10, FALSE), 1)</f>
        <v>5.1666600486311471E-6</v>
      </c>
      <c r="I3" s="7">
        <f>$B3 * IFERROR(VLOOKUP("buildings|SO2|Infant mortality", US_national_yearly!$D:$AM, 17, FALSE) / VLOOKUP("buildings|SO2|Infant mortality", US_national_yearly!$D:$AM, 10, FALSE), 1)</f>
        <v>5.1342438529319482E-6</v>
      </c>
      <c r="J3" s="7">
        <f>$B3 * IFERROR(VLOOKUP("buildings|SO2|Infant mortality", US_national_yearly!$D:$AM, 18, FALSE) / VLOOKUP("buildings|SO2|Infant mortality", US_national_yearly!$D:$AM, 10, FALSE), 1)</f>
        <v>5.1018276572327484E-6</v>
      </c>
      <c r="K3" s="7">
        <f>$B3 * IFERROR(VLOOKUP("buildings|SO2|Infant mortality", US_national_yearly!$D:$AM, 19, FALSE) / VLOOKUP("buildings|SO2|Infant mortality", US_national_yearly!$D:$AM, 10, FALSE), 1)</f>
        <v>5.0694114615335504E-6</v>
      </c>
      <c r="L3" s="7">
        <f>$B3 * IFERROR(VLOOKUP("buildings|SO2|Infant mortality", US_national_yearly!$D:$AM, 20, FALSE) / VLOOKUP("buildings|SO2|Infant mortality", US_national_yearly!$D:$AM, 10, FALSE), 1)</f>
        <v>5.0369952658343506E-6</v>
      </c>
      <c r="M3" s="7">
        <f>$B3 * IFERROR(VLOOKUP("buildings|SO2|Infant mortality", US_national_yearly!$D:$AM, 21, FALSE) / VLOOKUP("buildings|SO2|Infant mortality", US_national_yearly!$D:$AM, 10, FALSE), 1)</f>
        <v>5.0045790701351526E-6</v>
      </c>
      <c r="N3" s="7">
        <f>$B3 * IFERROR(VLOOKUP("buildings|SO2|Infant mortality", US_national_yearly!$D:$AM, 22, FALSE) / VLOOKUP("buildings|SO2|Infant mortality", US_national_yearly!$D:$AM, 10, FALSE), 1)</f>
        <v>4.9842575590698275E-6</v>
      </c>
      <c r="O3" s="7">
        <f>$B3 * IFERROR(VLOOKUP("buildings|SO2|Infant mortality", US_national_yearly!$D:$AM, 23, FALSE) / VLOOKUP("buildings|SO2|Infant mortality", US_national_yearly!$D:$AM, 10, FALSE), 1)</f>
        <v>4.9639360480045023E-6</v>
      </c>
      <c r="P3" s="7">
        <f>$B3 * IFERROR(VLOOKUP("buildings|SO2|Infant mortality", US_national_yearly!$D:$AM, 24, FALSE) / VLOOKUP("buildings|SO2|Infant mortality", US_national_yearly!$D:$AM, 10, FALSE), 1)</f>
        <v>4.9436145369391772E-6</v>
      </c>
      <c r="Q3" s="7">
        <f>$B3 * IFERROR(VLOOKUP("buildings|SO2|Infant mortality", US_national_yearly!$D:$AM, 25, FALSE) / VLOOKUP("buildings|SO2|Infant mortality", US_national_yearly!$D:$AM, 10, FALSE), 1)</f>
        <v>4.9232930258738529E-6</v>
      </c>
      <c r="R3" s="7">
        <f>$B3 * IFERROR(VLOOKUP("buildings|SO2|Infant mortality", US_national_yearly!$D:$AM, 26, FALSE) / VLOOKUP("buildings|SO2|Infant mortality", US_national_yearly!$D:$AM, 10, FALSE), 1)</f>
        <v>4.9029715148085278E-6</v>
      </c>
      <c r="S3" s="7">
        <f>$B3 * IFERROR(VLOOKUP("buildings|SO2|Infant mortality", US_national_yearly!$D:$AM, 27, FALSE) / VLOOKUP("buildings|SO2|Infant mortality", US_national_yearly!$D:$AM, 10, FALSE), 1)</f>
        <v>4.8774541394594096E-6</v>
      </c>
      <c r="T3" s="7">
        <f>$B3 * IFERROR(VLOOKUP("buildings|SO2|Infant mortality", US_national_yearly!$D:$AM, 28, FALSE) / VLOOKUP("buildings|SO2|Infant mortality", US_national_yearly!$D:$AM, 10, FALSE), 1)</f>
        <v>4.8519367641102905E-6</v>
      </c>
      <c r="U3" s="7">
        <f>$B3 * IFERROR(VLOOKUP("buildings|SO2|Infant mortality", US_national_yearly!$D:$AM, 29, FALSE) / VLOOKUP("buildings|SO2|Infant mortality", US_national_yearly!$D:$AM, 10, FALSE), 1)</f>
        <v>4.8264193887611723E-6</v>
      </c>
      <c r="V3" s="7">
        <f>$B3 * IFERROR(VLOOKUP("buildings|SO2|Infant mortality", US_national_yearly!$D:$AM, 30, FALSE) / VLOOKUP("buildings|SO2|Infant mortality", US_national_yearly!$D:$AM, 10, FALSE), 1)</f>
        <v>4.8009020134120541E-6</v>
      </c>
      <c r="W3" s="7">
        <f>$B3 * IFERROR(VLOOKUP("buildings|SO2|Infant mortality", US_national_yearly!$D:$AM, 31, FALSE) / VLOOKUP("buildings|SO2|Infant mortality", US_national_yearly!$D:$AM, 10, FALSE), 1)</f>
        <v>4.7753846380629358E-6</v>
      </c>
      <c r="X3" s="7">
        <f>$B3 * IFERROR(VLOOKUP("buildings|SO2|Infant mortality", US_national_yearly!$D:$AM, 32, FALSE) / VLOOKUP("buildings|SO2|Infant mortality", US_national_yearly!$D:$AM, 10, FALSE), 1)</f>
        <v>4.7475156209132948E-6</v>
      </c>
      <c r="Y3" s="7">
        <f>$B3 * IFERROR(VLOOKUP("buildings|SO2|Infant mortality", US_national_yearly!$D:$AM, 33, FALSE) / VLOOKUP("buildings|SO2|Infant mortality", US_national_yearly!$D:$AM, 10, FALSE), 1)</f>
        <v>4.7196466037636538E-6</v>
      </c>
      <c r="Z3" s="7">
        <f>$B3 * IFERROR(VLOOKUP("buildings|SO2|Infant mortality", US_national_yearly!$D:$AM, 34, FALSE) / VLOOKUP("buildings|SO2|Infant mortality", US_national_yearly!$D:$AM, 10, FALSE), 1)</f>
        <v>4.6917775866140137E-6</v>
      </c>
      <c r="AA3" s="7">
        <f>$B3 * IFERROR(VLOOKUP("buildings|SO2|Infant mortality", US_national_yearly!$D:$AM, 35, FALSE) / VLOOKUP("buildings|SO2|Infant mortality", US_national_yearly!$D:$AM, 10, FALSE), 1)</f>
        <v>4.6639085694643718E-6</v>
      </c>
      <c r="AB3" s="7">
        <f>$B3 * IFERROR(VLOOKUP("buildings|SO2|Infant mortality", US_national_yearly!$D:$AM, 36, FALSE) / VLOOKUP("buildings|SO2|Infant mortality", US_national_yearly!$D:$AM, 10, FALSE), 1)</f>
        <v>4.6360395523147317E-6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1.565227390452666E-2</v>
      </c>
      <c r="C6" s="7">
        <f>$B6 * IFERROR(VLOOKUP("buildings|SO2|Asthma symptoms cough", US_national_yearly!$D:$AM, 11, FALSE) / VLOOKUP("buildings|SO2|Asthma symptoms cough", US_national_yearly!$D:$AM, 10, FALSE), 1)</f>
        <v>1.565227390452666E-2</v>
      </c>
      <c r="D6" s="7">
        <f>$B6 * IFERROR(VLOOKUP("buildings|SO2|Asthma symptoms cough", US_national_yearly!$D:$AM, 12, FALSE) / VLOOKUP("buildings|SO2|Asthma symptoms cough", US_national_yearly!$D:$AM, 10, FALSE), 1)</f>
        <v>1.565227390452666E-2</v>
      </c>
      <c r="E6" s="7">
        <f>$B6 * IFERROR(VLOOKUP("buildings|SO2|Asthma symptoms cough", US_national_yearly!$D:$AM, 13, FALSE) / VLOOKUP("buildings|SO2|Asthma symptoms cough", US_national_yearly!$D:$AM, 10, FALSE), 1)</f>
        <v>1.565227390452666E-2</v>
      </c>
      <c r="F6" s="7">
        <f>$B6 * IFERROR(VLOOKUP("buildings|SO2|Asthma symptoms cough", US_national_yearly!$D:$AM, 14, FALSE) / VLOOKUP("buildings|SO2|Asthma symptoms cough", US_national_yearly!$D:$AM, 10, FALSE), 1)</f>
        <v>1.565227390452666E-2</v>
      </c>
      <c r="G6" s="7">
        <f>$B6 * IFERROR(VLOOKUP("buildings|SO2|Asthma symptoms cough", US_national_yearly!$D:$AM, 15, FALSE) / VLOOKUP("buildings|SO2|Asthma symptoms cough", US_national_yearly!$D:$AM, 10, FALSE), 1)</f>
        <v>1.565227390452666E-2</v>
      </c>
      <c r="H6" s="7">
        <f>$B6 * IFERROR(VLOOKUP("buildings|SO2|Asthma symptoms cough", US_national_yearly!$D:$AM, 16, FALSE) / VLOOKUP("buildings|SO2|Asthma symptoms cough", US_national_yearly!$D:$AM, 10, FALSE), 1)</f>
        <v>1.565227390452666E-2</v>
      </c>
      <c r="I6" s="7">
        <f>$B6 * IFERROR(VLOOKUP("buildings|SO2|Asthma symptoms cough", US_national_yearly!$D:$AM, 17, FALSE) / VLOOKUP("buildings|SO2|Asthma symptoms cough", US_national_yearly!$D:$AM, 10, FALSE), 1)</f>
        <v>1.565227390452666E-2</v>
      </c>
      <c r="J6" s="7">
        <f>$B6 * IFERROR(VLOOKUP("buildings|SO2|Asthma symptoms cough", US_national_yearly!$D:$AM, 18, FALSE) / VLOOKUP("buildings|SO2|Asthma symptoms cough", US_national_yearly!$D:$AM, 10, FALSE), 1)</f>
        <v>1.565227390452666E-2</v>
      </c>
      <c r="K6" s="7">
        <f>$B6 * IFERROR(VLOOKUP("buildings|SO2|Asthma symptoms cough", US_national_yearly!$D:$AM, 19, FALSE) / VLOOKUP("buildings|SO2|Asthma symptoms cough", US_national_yearly!$D:$AM, 10, FALSE), 1)</f>
        <v>1.565227390452666E-2</v>
      </c>
      <c r="L6" s="7">
        <f>$B6 * IFERROR(VLOOKUP("buildings|SO2|Asthma symptoms cough", US_national_yearly!$D:$AM, 20, FALSE) / VLOOKUP("buildings|SO2|Asthma symptoms cough", US_national_yearly!$D:$AM, 10, FALSE), 1)</f>
        <v>1.565227390452666E-2</v>
      </c>
      <c r="M6" s="7">
        <f>$B6 * IFERROR(VLOOKUP("buildings|SO2|Asthma symptoms cough", US_national_yearly!$D:$AM, 21, FALSE) / VLOOKUP("buildings|SO2|Asthma symptoms cough", US_national_yearly!$D:$AM, 10, FALSE), 1)</f>
        <v>1.565227390452666E-2</v>
      </c>
      <c r="N6" s="7">
        <f>$B6 * IFERROR(VLOOKUP("buildings|SO2|Asthma symptoms cough", US_national_yearly!$D:$AM, 22, FALSE) / VLOOKUP("buildings|SO2|Asthma symptoms cough", US_national_yearly!$D:$AM, 10, FALSE), 1)</f>
        <v>1.565227390452666E-2</v>
      </c>
      <c r="O6" s="7">
        <f>$B6 * IFERROR(VLOOKUP("buildings|SO2|Asthma symptoms cough", US_national_yearly!$D:$AM, 23, FALSE) / VLOOKUP("buildings|SO2|Asthma symptoms cough", US_national_yearly!$D:$AM, 10, FALSE), 1)</f>
        <v>1.565227390452666E-2</v>
      </c>
      <c r="P6" s="7">
        <f>$B6 * IFERROR(VLOOKUP("buildings|SO2|Asthma symptoms cough", US_national_yearly!$D:$AM, 24, FALSE) / VLOOKUP("buildings|SO2|Asthma symptoms cough", US_national_yearly!$D:$AM, 10, FALSE), 1)</f>
        <v>1.565227390452666E-2</v>
      </c>
      <c r="Q6" s="7">
        <f>$B6 * IFERROR(VLOOKUP("buildings|SO2|Asthma symptoms cough", US_national_yearly!$D:$AM, 25, FALSE) / VLOOKUP("buildings|SO2|Asthma symptoms cough", US_national_yearly!$D:$AM, 10, FALSE), 1)</f>
        <v>1.565227390452666E-2</v>
      </c>
      <c r="R6" s="7">
        <f>$B6 * IFERROR(VLOOKUP("buildings|SO2|Asthma symptoms cough", US_national_yearly!$D:$AM, 26, FALSE) / VLOOKUP("buildings|SO2|Asthma symptoms cough", US_national_yearly!$D:$AM, 10, FALSE), 1)</f>
        <v>1.565227390452666E-2</v>
      </c>
      <c r="S6" s="7">
        <f>$B6 * IFERROR(VLOOKUP("buildings|SO2|Asthma symptoms cough", US_national_yearly!$D:$AM, 27, FALSE) / VLOOKUP("buildings|SO2|Asthma symptoms cough", US_national_yearly!$D:$AM, 10, FALSE), 1)</f>
        <v>1.565227390452666E-2</v>
      </c>
      <c r="T6" s="7">
        <f>$B6 * IFERROR(VLOOKUP("buildings|SO2|Asthma symptoms cough", US_national_yearly!$D:$AM, 28, FALSE) / VLOOKUP("buildings|SO2|Asthma symptoms cough", US_national_yearly!$D:$AM, 10, FALSE), 1)</f>
        <v>1.565227390452666E-2</v>
      </c>
      <c r="U6" s="7">
        <f>$B6 * IFERROR(VLOOKUP("buildings|SO2|Asthma symptoms cough", US_national_yearly!$D:$AM, 29, FALSE) / VLOOKUP("buildings|SO2|Asthma symptoms cough", US_national_yearly!$D:$AM, 10, FALSE), 1)</f>
        <v>1.565227390452666E-2</v>
      </c>
      <c r="V6" s="7">
        <f>$B6 * IFERROR(VLOOKUP("buildings|SO2|Asthma symptoms cough", US_national_yearly!$D:$AM, 30, FALSE) / VLOOKUP("buildings|SO2|Asthma symptoms cough", US_national_yearly!$D:$AM, 10, FALSE), 1)</f>
        <v>1.565227390452666E-2</v>
      </c>
      <c r="W6" s="7">
        <f>$B6 * IFERROR(VLOOKUP("buildings|SO2|Asthma symptoms cough", US_national_yearly!$D:$AM, 31, FALSE) / VLOOKUP("buildings|SO2|Asthma symptoms cough", US_national_yearly!$D:$AM, 10, FALSE), 1)</f>
        <v>1.565227390452666E-2</v>
      </c>
      <c r="X6" s="7">
        <f>$B6 * IFERROR(VLOOKUP("buildings|SO2|Asthma symptoms cough", US_national_yearly!$D:$AM, 32, FALSE) / VLOOKUP("buildings|SO2|Asthma symptoms cough", US_national_yearly!$D:$AM, 10, FALSE), 1)</f>
        <v>1.565227390452666E-2</v>
      </c>
      <c r="Y6" s="7">
        <f>$B6 * IFERROR(VLOOKUP("buildings|SO2|Asthma symptoms cough", US_national_yearly!$D:$AM, 33, FALSE) / VLOOKUP("buildings|SO2|Asthma symptoms cough", US_national_yearly!$D:$AM, 10, FALSE), 1)</f>
        <v>1.565227390452666E-2</v>
      </c>
      <c r="Z6" s="7">
        <f>$B6 * IFERROR(VLOOKUP("buildings|SO2|Asthma symptoms cough", US_national_yearly!$D:$AM, 34, FALSE) / VLOOKUP("buildings|SO2|Asthma symptoms cough", US_national_yearly!$D:$AM, 10, FALSE), 1)</f>
        <v>1.565227390452666E-2</v>
      </c>
      <c r="AA6" s="7">
        <f>$B6 * IFERROR(VLOOKUP("buildings|SO2|Asthma symptoms cough", US_national_yearly!$D:$AM, 35, FALSE) / VLOOKUP("buildings|SO2|Asthma symptoms cough", US_national_yearly!$D:$AM, 10, FALSE), 1)</f>
        <v>1.565227390452666E-2</v>
      </c>
      <c r="AB6" s="7">
        <f>$B6 * IFERROR(VLOOKUP("buildings|SO2|Asthma symptoms cough", US_national_yearly!$D:$AM, 36, FALSE) / VLOOKUP("buildings|SO2|Asthma symptoms cough", US_national_yearly!$D:$AM, 10, FALSE), 1)</f>
        <v>1.565227390452666E-2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2.1078015466322056E-2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2.1078015466322056E-2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2.1078015466322056E-2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2.1078015466322056E-2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2.1078015466322056E-2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2.1078015466322056E-2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2.1078015466322056E-2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2.1078015466322056E-2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2.1078015466322056E-2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2.1078015466322056E-2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2.1078015466322056E-2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2.1078015466322056E-2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2.1078015466322056E-2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2.1078015466322056E-2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2.1078015466322056E-2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2.1078015466322056E-2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2.1078015466322056E-2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2.1078015466322056E-2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2.1078015466322056E-2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2.1078015466322056E-2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2.1078015466322056E-2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2.1078015466322056E-2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2.1078015466322056E-2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2.1078015466322056E-2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2.1078015466322056E-2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2.1078015466322056E-2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2.1078015466322056E-2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3.2203787213800877E-2</v>
      </c>
      <c r="C8" s="7">
        <f>$B8 * IFERROR(VLOOKUP("buildings|SO2|Asthma symptoms wheeze", US_national_yearly!$D:$AM, 11, FALSE) / VLOOKUP("buildings|SO2|Asthma symptoms wheeze", US_national_yearly!$D:$AM, 10, FALSE), 1)</f>
        <v>3.2203787213800877E-2</v>
      </c>
      <c r="D8" s="7">
        <f>$B8 * IFERROR(VLOOKUP("buildings|SO2|Asthma symptoms wheeze", US_national_yearly!$D:$AM, 12, FALSE) / VLOOKUP("buildings|SO2|Asthma symptoms wheeze", US_national_yearly!$D:$AM, 10, FALSE), 1)</f>
        <v>3.2203787213800877E-2</v>
      </c>
      <c r="E8" s="7">
        <f>$B8 * IFERROR(VLOOKUP("buildings|SO2|Asthma symptoms wheeze", US_national_yearly!$D:$AM, 13, FALSE) / VLOOKUP("buildings|SO2|Asthma symptoms wheeze", US_national_yearly!$D:$AM, 10, FALSE), 1)</f>
        <v>3.2203787213800877E-2</v>
      </c>
      <c r="F8" s="7">
        <f>$B8 * IFERROR(VLOOKUP("buildings|SO2|Asthma symptoms wheeze", US_national_yearly!$D:$AM, 14, FALSE) / VLOOKUP("buildings|SO2|Asthma symptoms wheeze", US_national_yearly!$D:$AM, 10, FALSE), 1)</f>
        <v>3.2203787213800877E-2</v>
      </c>
      <c r="G8" s="7">
        <f>$B8 * IFERROR(VLOOKUP("buildings|SO2|Asthma symptoms wheeze", US_national_yearly!$D:$AM, 15, FALSE) / VLOOKUP("buildings|SO2|Asthma symptoms wheeze", US_national_yearly!$D:$AM, 10, FALSE), 1)</f>
        <v>3.2203787213800877E-2</v>
      </c>
      <c r="H8" s="7">
        <f>$B8 * IFERROR(VLOOKUP("buildings|SO2|Asthma symptoms wheeze", US_national_yearly!$D:$AM, 16, FALSE) / VLOOKUP("buildings|SO2|Asthma symptoms wheeze", US_national_yearly!$D:$AM, 10, FALSE), 1)</f>
        <v>3.2203787213800877E-2</v>
      </c>
      <c r="I8" s="7">
        <f>$B8 * IFERROR(VLOOKUP("buildings|SO2|Asthma symptoms wheeze", US_national_yearly!$D:$AM, 17, FALSE) / VLOOKUP("buildings|SO2|Asthma symptoms wheeze", US_national_yearly!$D:$AM, 10, FALSE), 1)</f>
        <v>3.2203787213800877E-2</v>
      </c>
      <c r="J8" s="7">
        <f>$B8 * IFERROR(VLOOKUP("buildings|SO2|Asthma symptoms wheeze", US_national_yearly!$D:$AM, 18, FALSE) / VLOOKUP("buildings|SO2|Asthma symptoms wheeze", US_national_yearly!$D:$AM, 10, FALSE), 1)</f>
        <v>3.2203787213800877E-2</v>
      </c>
      <c r="K8" s="7">
        <f>$B8 * IFERROR(VLOOKUP("buildings|SO2|Asthma symptoms wheeze", US_national_yearly!$D:$AM, 19, FALSE) / VLOOKUP("buildings|SO2|Asthma symptoms wheeze", US_national_yearly!$D:$AM, 10, FALSE), 1)</f>
        <v>3.2203787213800877E-2</v>
      </c>
      <c r="L8" s="7">
        <f>$B8 * IFERROR(VLOOKUP("buildings|SO2|Asthma symptoms wheeze", US_national_yearly!$D:$AM, 20, FALSE) / VLOOKUP("buildings|SO2|Asthma symptoms wheeze", US_national_yearly!$D:$AM, 10, FALSE), 1)</f>
        <v>3.2203787213800877E-2</v>
      </c>
      <c r="M8" s="7">
        <f>$B8 * IFERROR(VLOOKUP("buildings|SO2|Asthma symptoms wheeze", US_national_yearly!$D:$AM, 21, FALSE) / VLOOKUP("buildings|SO2|Asthma symptoms wheeze", US_national_yearly!$D:$AM, 10, FALSE), 1)</f>
        <v>3.2203787213800877E-2</v>
      </c>
      <c r="N8" s="7">
        <f>$B8 * IFERROR(VLOOKUP("buildings|SO2|Asthma symptoms wheeze", US_national_yearly!$D:$AM, 22, FALSE) / VLOOKUP("buildings|SO2|Asthma symptoms wheeze", US_national_yearly!$D:$AM, 10, FALSE), 1)</f>
        <v>3.2203787213800877E-2</v>
      </c>
      <c r="O8" s="7">
        <f>$B8 * IFERROR(VLOOKUP("buildings|SO2|Asthma symptoms wheeze", US_national_yearly!$D:$AM, 23, FALSE) / VLOOKUP("buildings|SO2|Asthma symptoms wheeze", US_national_yearly!$D:$AM, 10, FALSE), 1)</f>
        <v>3.2203787213800877E-2</v>
      </c>
      <c r="P8" s="7">
        <f>$B8 * IFERROR(VLOOKUP("buildings|SO2|Asthma symptoms wheeze", US_national_yearly!$D:$AM, 24, FALSE) / VLOOKUP("buildings|SO2|Asthma symptoms wheeze", US_national_yearly!$D:$AM, 10, FALSE), 1)</f>
        <v>3.2203787213800877E-2</v>
      </c>
      <c r="Q8" s="7">
        <f>$B8 * IFERROR(VLOOKUP("buildings|SO2|Asthma symptoms wheeze", US_national_yearly!$D:$AM, 25, FALSE) / VLOOKUP("buildings|SO2|Asthma symptoms wheeze", US_national_yearly!$D:$AM, 10, FALSE), 1)</f>
        <v>3.2203787213800877E-2</v>
      </c>
      <c r="R8" s="7">
        <f>$B8 * IFERROR(VLOOKUP("buildings|SO2|Asthma symptoms wheeze", US_national_yearly!$D:$AM, 26, FALSE) / VLOOKUP("buildings|SO2|Asthma symptoms wheeze", US_national_yearly!$D:$AM, 10, FALSE), 1)</f>
        <v>3.2203787213800877E-2</v>
      </c>
      <c r="S8" s="7">
        <f>$B8 * IFERROR(VLOOKUP("buildings|SO2|Asthma symptoms wheeze", US_national_yearly!$D:$AM, 27, FALSE) / VLOOKUP("buildings|SO2|Asthma symptoms wheeze", US_national_yearly!$D:$AM, 10, FALSE), 1)</f>
        <v>3.2203787213800877E-2</v>
      </c>
      <c r="T8" s="7">
        <f>$B8 * IFERROR(VLOOKUP("buildings|SO2|Asthma symptoms wheeze", US_national_yearly!$D:$AM, 28, FALSE) / VLOOKUP("buildings|SO2|Asthma symptoms wheeze", US_national_yearly!$D:$AM, 10, FALSE), 1)</f>
        <v>3.2203787213800877E-2</v>
      </c>
      <c r="U8" s="7">
        <f>$B8 * IFERROR(VLOOKUP("buildings|SO2|Asthma symptoms wheeze", US_national_yearly!$D:$AM, 29, FALSE) / VLOOKUP("buildings|SO2|Asthma symptoms wheeze", US_national_yearly!$D:$AM, 10, FALSE), 1)</f>
        <v>3.2203787213800877E-2</v>
      </c>
      <c r="V8" s="7">
        <f>$B8 * IFERROR(VLOOKUP("buildings|SO2|Asthma symptoms wheeze", US_national_yearly!$D:$AM, 30, FALSE) / VLOOKUP("buildings|SO2|Asthma symptoms wheeze", US_national_yearly!$D:$AM, 10, FALSE), 1)</f>
        <v>3.2203787213800877E-2</v>
      </c>
      <c r="W8" s="7">
        <f>$B8 * IFERROR(VLOOKUP("buildings|SO2|Asthma symptoms wheeze", US_national_yearly!$D:$AM, 31, FALSE) / VLOOKUP("buildings|SO2|Asthma symptoms wheeze", US_national_yearly!$D:$AM, 10, FALSE), 1)</f>
        <v>3.2203787213800877E-2</v>
      </c>
      <c r="X8" s="7">
        <f>$B8 * IFERROR(VLOOKUP("buildings|SO2|Asthma symptoms wheeze", US_national_yearly!$D:$AM, 32, FALSE) / VLOOKUP("buildings|SO2|Asthma symptoms wheeze", US_national_yearly!$D:$AM, 10, FALSE), 1)</f>
        <v>3.2203787213800877E-2</v>
      </c>
      <c r="Y8" s="7">
        <f>$B8 * IFERROR(VLOOKUP("buildings|SO2|Asthma symptoms wheeze", US_national_yearly!$D:$AM, 33, FALSE) / VLOOKUP("buildings|SO2|Asthma symptoms wheeze", US_national_yearly!$D:$AM, 10, FALSE), 1)</f>
        <v>3.2203787213800877E-2</v>
      </c>
      <c r="Z8" s="7">
        <f>$B8 * IFERROR(VLOOKUP("buildings|SO2|Asthma symptoms wheeze", US_national_yearly!$D:$AM, 34, FALSE) / VLOOKUP("buildings|SO2|Asthma symptoms wheeze", US_national_yearly!$D:$AM, 10, FALSE), 1)</f>
        <v>3.2203787213800877E-2</v>
      </c>
      <c r="AA8" s="7">
        <f>$B8 * IFERROR(VLOOKUP("buildings|SO2|Asthma symptoms wheeze", US_national_yearly!$D:$AM, 35, FALSE) / VLOOKUP("buildings|SO2|Asthma symptoms wheeze", US_national_yearly!$D:$AM, 10, FALSE), 1)</f>
        <v>3.2203787213800877E-2</v>
      </c>
      <c r="AB8" s="7">
        <f>$B8 * IFERROR(VLOOKUP("buildings|SO2|Asthma symptoms wheeze", US_national_yearly!$D:$AM, 36, FALSE) / VLOOKUP("buildings|SO2|Asthma symptoms wheeze", US_national_yearly!$D:$AM, 10, FALSE), 1)</f>
        <v>3.2203787213800877E-2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4.3480465957108569E-4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4.373727824295278E-4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4.3994090528796985E-4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4.4250902814641196E-4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4.4507715100485391E-4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4.4787608137302994E-4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4.5067501174120598E-4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4.5342946800206943E-4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4.5618392426293299E-4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4.5893838052379644E-4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4.6169283678465983E-4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4.6444729304552339E-4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4.6645850209071004E-4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4.684697111358967E-4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4.7048092018108336E-4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4.7249212922627001E-4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4.7450333827145667E-4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4.7642104970419111E-4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4.7833876113692565E-4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4.8025647256966008E-4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4.8217418400239452E-4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4.8409189543512906E-4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4.85914221653492E-4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4.877365478718551E-4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4.8955887409021803E-4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4.9138120030858107E-4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4.9320352652694412E-4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2.6977835757373923E-3</v>
      </c>
      <c r="C13" s="7">
        <f>$B13 * IFERROR(VLOOKUP("buildings|SO2|Non-fatal heart attacks", US_national_yearly!$D:$AM, 11, FALSE) / VLOOKUP("buildings|SO2|Non-fatal heart attacks", US_national_yearly!$D:$AM, 10, FALSE), 1)</f>
        <v>2.7770063076447546E-3</v>
      </c>
      <c r="D13" s="7">
        <f>$B13 * IFERROR(VLOOKUP("buildings|SO2|Non-fatal heart attacks", US_national_yearly!$D:$AM, 12, FALSE) / VLOOKUP("buildings|SO2|Non-fatal heart attacks", US_national_yearly!$D:$AM, 10, FALSE), 1)</f>
        <v>2.8562290395521164E-3</v>
      </c>
      <c r="E13" s="7">
        <f>$B13 * IFERROR(VLOOKUP("buildings|SO2|Non-fatal heart attacks", US_national_yearly!$D:$AM, 13, FALSE) / VLOOKUP("buildings|SO2|Non-fatal heart attacks", US_national_yearly!$D:$AM, 10, FALSE), 1)</f>
        <v>2.9354517714594783E-3</v>
      </c>
      <c r="F13" s="7">
        <f>$B13 * IFERROR(VLOOKUP("buildings|SO2|Non-fatal heart attacks", US_national_yearly!$D:$AM, 14, FALSE) / VLOOKUP("buildings|SO2|Non-fatal heart attacks", US_national_yearly!$D:$AM, 10, FALSE), 1)</f>
        <v>3.0146745033668406E-3</v>
      </c>
      <c r="G13" s="7">
        <f>$B13 * IFERROR(VLOOKUP("buildings|SO2|Non-fatal heart attacks", US_national_yearly!$D:$AM, 15, FALSE) / VLOOKUP("buildings|SO2|Non-fatal heart attacks", US_national_yearly!$D:$AM, 10, FALSE), 1)</f>
        <v>3.0893943166208277E-3</v>
      </c>
      <c r="H13" s="7">
        <f>$B13 * IFERROR(VLOOKUP("buildings|SO2|Non-fatal heart attacks", US_national_yearly!$D:$AM, 16, FALSE) / VLOOKUP("buildings|SO2|Non-fatal heart attacks", US_national_yearly!$D:$AM, 10, FALSE), 1)</f>
        <v>3.1641141298748153E-3</v>
      </c>
      <c r="I13" s="7">
        <f>$B13 * IFERROR(VLOOKUP("buildings|SO2|Non-fatal heart attacks", US_national_yearly!$D:$AM, 17, FALSE) / VLOOKUP("buildings|SO2|Non-fatal heart attacks", US_national_yearly!$D:$AM, 10, FALSE), 1)</f>
        <v>3.2242586268333854E-3</v>
      </c>
      <c r="J13" s="7">
        <f>$B13 * IFERROR(VLOOKUP("buildings|SO2|Non-fatal heart attacks", US_national_yearly!$D:$AM, 18, FALSE) / VLOOKUP("buildings|SO2|Non-fatal heart attacks", US_national_yearly!$D:$AM, 10, FALSE), 1)</f>
        <v>3.2844031237919563E-3</v>
      </c>
      <c r="K13" s="7">
        <f>$B13 * IFERROR(VLOOKUP("buildings|SO2|Non-fatal heart attacks", US_national_yearly!$D:$AM, 19, FALSE) / VLOOKUP("buildings|SO2|Non-fatal heart attacks", US_national_yearly!$D:$AM, 10, FALSE), 1)</f>
        <v>3.3445476207505267E-3</v>
      </c>
      <c r="L13" s="7">
        <f>$B13 * IFERROR(VLOOKUP("buildings|SO2|Non-fatal heart attacks", US_national_yearly!$D:$AM, 20, FALSE) / VLOOKUP("buildings|SO2|Non-fatal heart attacks", US_national_yearly!$D:$AM, 10, FALSE), 1)</f>
        <v>3.4046921177090981E-3</v>
      </c>
      <c r="M13" s="7">
        <f>$B13 * IFERROR(VLOOKUP("buildings|SO2|Non-fatal heart attacks", US_national_yearly!$D:$AM, 21, FALSE) / VLOOKUP("buildings|SO2|Non-fatal heart attacks", US_national_yearly!$D:$AM, 10, FALSE), 1)</f>
        <v>3.4648366146676685E-3</v>
      </c>
      <c r="N13" s="7">
        <f>$B13 * IFERROR(VLOOKUP("buildings|SO2|Non-fatal heart attacks", US_national_yearly!$D:$AM, 22, FALSE) / VLOOKUP("buildings|SO2|Non-fatal heart attacks", US_national_yearly!$D:$AM, 10, FALSE), 1)</f>
        <v>3.5038731890609871E-3</v>
      </c>
      <c r="O13" s="7">
        <f>$B13 * IFERROR(VLOOKUP("buildings|SO2|Non-fatal heart attacks", US_national_yearly!$D:$AM, 23, FALSE) / VLOOKUP("buildings|SO2|Non-fatal heart attacks", US_national_yearly!$D:$AM, 10, FALSE), 1)</f>
        <v>3.5429097634543062E-3</v>
      </c>
      <c r="P13" s="7">
        <f>$B13 * IFERROR(VLOOKUP("buildings|SO2|Non-fatal heart attacks", US_national_yearly!$D:$AM, 24, FALSE) / VLOOKUP("buildings|SO2|Non-fatal heart attacks", US_national_yearly!$D:$AM, 10, FALSE), 1)</f>
        <v>3.5819463378476248E-3</v>
      </c>
      <c r="Q13" s="7">
        <f>$B13 * IFERROR(VLOOKUP("buildings|SO2|Non-fatal heart attacks", US_national_yearly!$D:$AM, 25, FALSE) / VLOOKUP("buildings|SO2|Non-fatal heart attacks", US_national_yearly!$D:$AM, 10, FALSE), 1)</f>
        <v>3.6209829122409434E-3</v>
      </c>
      <c r="R13" s="7">
        <f>$B13 * IFERROR(VLOOKUP("buildings|SO2|Non-fatal heart attacks", US_national_yearly!$D:$AM, 26, FALSE) / VLOOKUP("buildings|SO2|Non-fatal heart attacks", US_national_yearly!$D:$AM, 10, FALSE), 1)</f>
        <v>3.6600194866342624E-3</v>
      </c>
      <c r="S13" s="7">
        <f>$B13 * IFERROR(VLOOKUP("buildings|SO2|Non-fatal heart attacks", US_national_yearly!$D:$AM, 27, FALSE) / VLOOKUP("buildings|SO2|Non-fatal heart attacks", US_national_yearly!$D:$AM, 10, FALSE), 1)</f>
        <v>3.680404321864872E-3</v>
      </c>
      <c r="T13" s="7">
        <f>$B13 * IFERROR(VLOOKUP("buildings|SO2|Non-fatal heart attacks", US_national_yearly!$D:$AM, 28, FALSE) / VLOOKUP("buildings|SO2|Non-fatal heart attacks", US_national_yearly!$D:$AM, 10, FALSE), 1)</f>
        <v>3.7007891570954819E-3</v>
      </c>
      <c r="U13" s="7">
        <f>$B13 * IFERROR(VLOOKUP("buildings|SO2|Non-fatal heart attacks", US_national_yearly!$D:$AM, 29, FALSE) / VLOOKUP("buildings|SO2|Non-fatal heart attacks", US_national_yearly!$D:$AM, 10, FALSE), 1)</f>
        <v>3.7211739923260902E-3</v>
      </c>
      <c r="V13" s="7">
        <f>$B13 * IFERROR(VLOOKUP("buildings|SO2|Non-fatal heart attacks", US_national_yearly!$D:$AM, 30, FALSE) / VLOOKUP("buildings|SO2|Non-fatal heart attacks", US_national_yearly!$D:$AM, 10, FALSE), 1)</f>
        <v>3.7415588275567001E-3</v>
      </c>
      <c r="W13" s="7">
        <f>$B13 * IFERROR(VLOOKUP("buildings|SO2|Non-fatal heart attacks", US_national_yearly!$D:$AM, 31, FALSE) / VLOOKUP("buildings|SO2|Non-fatal heart attacks", US_national_yearly!$D:$AM, 10, FALSE), 1)</f>
        <v>3.7619436627873092E-3</v>
      </c>
      <c r="X13" s="7">
        <f>$B13 * IFERROR(VLOOKUP("buildings|SO2|Non-fatal heart attacks", US_national_yearly!$D:$AM, 32, FALSE) / VLOOKUP("buildings|SO2|Non-fatal heart attacks", US_national_yearly!$D:$AM, 10, FALSE), 1)</f>
        <v>3.7773397873038664E-3</v>
      </c>
      <c r="Y13" s="7">
        <f>$B13 * IFERROR(VLOOKUP("buildings|SO2|Non-fatal heart attacks", US_national_yearly!$D:$AM, 33, FALSE) / VLOOKUP("buildings|SO2|Non-fatal heart attacks", US_national_yearly!$D:$AM, 10, FALSE), 1)</f>
        <v>3.7927359118204236E-3</v>
      </c>
      <c r="Z13" s="7">
        <f>$B13 * IFERROR(VLOOKUP("buildings|SO2|Non-fatal heart attacks", US_national_yearly!$D:$AM, 34, FALSE) / VLOOKUP("buildings|SO2|Non-fatal heart attacks", US_national_yearly!$D:$AM, 10, FALSE), 1)</f>
        <v>3.8081320363369795E-3</v>
      </c>
      <c r="AA13" s="7">
        <f>$B13 * IFERROR(VLOOKUP("buildings|SO2|Non-fatal heart attacks", US_national_yearly!$D:$AM, 35, FALSE) / VLOOKUP("buildings|SO2|Non-fatal heart attacks", US_national_yearly!$D:$AM, 10, FALSE), 1)</f>
        <v>3.8235281608535367E-3</v>
      </c>
      <c r="AB13" s="7">
        <f>$B13 * IFERROR(VLOOKUP("buildings|SO2|Non-fatal heart attacks", US_national_yearly!$D:$AM, 36, FALSE) / VLOOKUP("buildings|SO2|Non-fatal heart attacks", US_national_yearly!$D:$AM, 10, FALSE), 1)</f>
        <v>3.8389242853700931E-3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2.0162924095480022</v>
      </c>
      <c r="C14" s="7">
        <f>$B14 * IFERROR(VLOOKUP("buildings|SO2|Minor restricted activity days", US_national_yearly!$D:$AM, 11, FALSE) / VLOOKUP("buildings|SO2|Minor restricted activity days", US_national_yearly!$D:$AM, 10, FALSE), 1)</f>
        <v>2.0213965475679507</v>
      </c>
      <c r="D14" s="7">
        <f>$B14 * IFERROR(VLOOKUP("buildings|SO2|Minor restricted activity days", US_national_yearly!$D:$AM, 12, FALSE) / VLOOKUP("buildings|SO2|Minor restricted activity days", US_national_yearly!$D:$AM, 10, FALSE), 1)</f>
        <v>2.0265006855879002</v>
      </c>
      <c r="E14" s="7">
        <f>$B14 * IFERROR(VLOOKUP("buildings|SO2|Minor restricted activity days", US_national_yearly!$D:$AM, 13, FALSE) / VLOOKUP("buildings|SO2|Minor restricted activity days", US_national_yearly!$D:$AM, 10, FALSE), 1)</f>
        <v>2.0316048236078492</v>
      </c>
      <c r="F14" s="7">
        <f>$B14 * IFERROR(VLOOKUP("buildings|SO2|Minor restricted activity days", US_national_yearly!$D:$AM, 14, FALSE) / VLOOKUP("buildings|SO2|Minor restricted activity days", US_national_yearly!$D:$AM, 10, FALSE), 1)</f>
        <v>2.0367089616277978</v>
      </c>
      <c r="G14" s="7">
        <f>$B14 * IFERROR(VLOOKUP("buildings|SO2|Minor restricted activity days", US_national_yearly!$D:$AM, 15, FALSE) / VLOOKUP("buildings|SO2|Minor restricted activity days", US_national_yearly!$D:$AM, 10, FALSE), 1)</f>
        <v>2.044214066898391</v>
      </c>
      <c r="H14" s="7">
        <f>$B14 * IFERROR(VLOOKUP("buildings|SO2|Minor restricted activity days", US_national_yearly!$D:$AM, 16, FALSE) / VLOOKUP("buildings|SO2|Minor restricted activity days", US_national_yearly!$D:$AM, 10, FALSE), 1)</f>
        <v>2.0517191721689838</v>
      </c>
      <c r="I14" s="7">
        <f>$B14 * IFERROR(VLOOKUP("buildings|SO2|Minor restricted activity days", US_national_yearly!$D:$AM, 17, FALSE) / VLOOKUP("buildings|SO2|Minor restricted activity days", US_national_yearly!$D:$AM, 10, FALSE), 1)</f>
        <v>2.0645011217253679</v>
      </c>
      <c r="J14" s="7">
        <f>$B14 * IFERROR(VLOOKUP("buildings|SO2|Minor restricted activity days", US_national_yearly!$D:$AM, 18, FALSE) / VLOOKUP("buildings|SO2|Minor restricted activity days", US_national_yearly!$D:$AM, 10, FALSE), 1)</f>
        <v>2.077283071281752</v>
      </c>
      <c r="K14" s="7">
        <f>$B14 * IFERROR(VLOOKUP("buildings|SO2|Minor restricted activity days", US_national_yearly!$D:$AM, 19, FALSE) / VLOOKUP("buildings|SO2|Minor restricted activity days", US_national_yearly!$D:$AM, 10, FALSE), 1)</f>
        <v>2.0900650208381362</v>
      </c>
      <c r="L14" s="7">
        <f>$B14 * IFERROR(VLOOKUP("buildings|SO2|Minor restricted activity days", US_national_yearly!$D:$AM, 20, FALSE) / VLOOKUP("buildings|SO2|Minor restricted activity days", US_national_yearly!$D:$AM, 10, FALSE), 1)</f>
        <v>2.1028469703945198</v>
      </c>
      <c r="M14" s="7">
        <f>$B14 * IFERROR(VLOOKUP("buildings|SO2|Minor restricted activity days", US_national_yearly!$D:$AM, 21, FALSE) / VLOOKUP("buildings|SO2|Minor restricted activity days", US_national_yearly!$D:$AM, 10, FALSE), 1)</f>
        <v>2.1156289199509035</v>
      </c>
      <c r="N14" s="7">
        <f>$B14 * IFERROR(VLOOKUP("buildings|SO2|Minor restricted activity days", US_national_yearly!$D:$AM, 22, FALSE) / VLOOKUP("buildings|SO2|Minor restricted activity days", US_national_yearly!$D:$AM, 10, FALSE), 1)</f>
        <v>2.1331075642881889</v>
      </c>
      <c r="O14" s="7">
        <f>$B14 * IFERROR(VLOOKUP("buildings|SO2|Minor restricted activity days", US_national_yearly!$D:$AM, 23, FALSE) / VLOOKUP("buildings|SO2|Minor restricted activity days", US_national_yearly!$D:$AM, 10, FALSE), 1)</f>
        <v>2.1505862086254748</v>
      </c>
      <c r="P14" s="7">
        <f>$B14 * IFERROR(VLOOKUP("buildings|SO2|Minor restricted activity days", US_national_yearly!$D:$AM, 24, FALSE) / VLOOKUP("buildings|SO2|Minor restricted activity days", US_national_yearly!$D:$AM, 10, FALSE), 1)</f>
        <v>2.1680648529627597</v>
      </c>
      <c r="Q14" s="7">
        <f>$B14 * IFERROR(VLOOKUP("buildings|SO2|Minor restricted activity days", US_national_yearly!$D:$AM, 25, FALSE) / VLOOKUP("buildings|SO2|Minor restricted activity days", US_national_yearly!$D:$AM, 10, FALSE), 1)</f>
        <v>2.1855434973000452</v>
      </c>
      <c r="R14" s="7">
        <f>$B14 * IFERROR(VLOOKUP("buildings|SO2|Minor restricted activity days", US_national_yearly!$D:$AM, 26, FALSE) / VLOOKUP("buildings|SO2|Minor restricted activity days", US_national_yearly!$D:$AM, 10, FALSE), 1)</f>
        <v>2.2030221416373306</v>
      </c>
      <c r="S14" s="7">
        <f>$B14 * IFERROR(VLOOKUP("buildings|SO2|Minor restricted activity days", US_national_yearly!$D:$AM, 27, FALSE) / VLOOKUP("buildings|SO2|Minor restricted activity days", US_national_yearly!$D:$AM, 10, FALSE), 1)</f>
        <v>2.2208404847952812</v>
      </c>
      <c r="T14" s="7">
        <f>$B14 * IFERROR(VLOOKUP("buildings|SO2|Minor restricted activity days", US_national_yearly!$D:$AM, 28, FALSE) / VLOOKUP("buildings|SO2|Minor restricted activity days", US_national_yearly!$D:$AM, 10, FALSE), 1)</f>
        <v>2.2386588279532318</v>
      </c>
      <c r="U14" s="7">
        <f>$B14 * IFERROR(VLOOKUP("buildings|SO2|Minor restricted activity days", US_national_yearly!$D:$AM, 29, FALSE) / VLOOKUP("buildings|SO2|Minor restricted activity days", US_national_yearly!$D:$AM, 10, FALSE), 1)</f>
        <v>2.2564771711111824</v>
      </c>
      <c r="V14" s="7">
        <f>$B14 * IFERROR(VLOOKUP("buildings|SO2|Minor restricted activity days", US_national_yearly!$D:$AM, 30, FALSE) / VLOOKUP("buildings|SO2|Minor restricted activity days", US_national_yearly!$D:$AM, 10, FALSE), 1)</f>
        <v>2.274295514269133</v>
      </c>
      <c r="W14" s="7">
        <f>$B14 * IFERROR(VLOOKUP("buildings|SO2|Minor restricted activity days", US_national_yearly!$D:$AM, 31, FALSE) / VLOOKUP("buildings|SO2|Minor restricted activity days", US_national_yearly!$D:$AM, 10, FALSE), 1)</f>
        <v>2.2921138574270841</v>
      </c>
      <c r="X14" s="7">
        <f>$B14 * IFERROR(VLOOKUP("buildings|SO2|Minor restricted activity days", US_national_yearly!$D:$AM, 32, FALSE) / VLOOKUP("buildings|SO2|Minor restricted activity days", US_national_yearly!$D:$AM, 10, FALSE), 1)</f>
        <v>2.3077840590696233</v>
      </c>
      <c r="Y14" s="7">
        <f>$B14 * IFERROR(VLOOKUP("buildings|SO2|Minor restricted activity days", US_national_yearly!$D:$AM, 33, FALSE) / VLOOKUP("buildings|SO2|Minor restricted activity days", US_national_yearly!$D:$AM, 10, FALSE), 1)</f>
        <v>2.3234542607121629</v>
      </c>
      <c r="Z14" s="7">
        <f>$B14 * IFERROR(VLOOKUP("buildings|SO2|Minor restricted activity days", US_national_yearly!$D:$AM, 34, FALSE) / VLOOKUP("buildings|SO2|Minor restricted activity days", US_national_yearly!$D:$AM, 10, FALSE), 1)</f>
        <v>2.3391244623547021</v>
      </c>
      <c r="AA14" s="7">
        <f>$B14 * IFERROR(VLOOKUP("buildings|SO2|Minor restricted activity days", US_national_yearly!$D:$AM, 35, FALSE) / VLOOKUP("buildings|SO2|Minor restricted activity days", US_national_yearly!$D:$AM, 10, FALSE), 1)</f>
        <v>2.3547946639972421</v>
      </c>
      <c r="AB14" s="7">
        <f>$B14 * IFERROR(VLOOKUP("buildings|SO2|Minor restricted activity days", US_national_yearly!$D:$AM, 36, FALSE) / VLOOKUP("buildings|SO2|Minor restricted activity days", US_national_yearly!$D:$AM, 10, FALSE), 1)</f>
        <v>2.3704648656397813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0.34299955980326613</v>
      </c>
      <c r="C15" s="7">
        <f>$B15 * IFERROR(VLOOKUP("buildings|SO2|Work loss days", US_national_yearly!$D:$AM, 11, FALSE) / VLOOKUP("buildings|SO2|Work loss days", US_national_yearly!$D:$AM, 10, FALSE), 1)</f>
        <v>0.34411395978720777</v>
      </c>
      <c r="D15" s="7">
        <f>$B15 * IFERROR(VLOOKUP("buildings|SO2|Work loss days", US_national_yearly!$D:$AM, 12, FALSE) / VLOOKUP("buildings|SO2|Work loss days", US_national_yearly!$D:$AM, 10, FALSE), 1)</f>
        <v>0.34522835977114941</v>
      </c>
      <c r="E15" s="7">
        <f>$B15 * IFERROR(VLOOKUP("buildings|SO2|Work loss days", US_national_yearly!$D:$AM, 13, FALSE) / VLOOKUP("buildings|SO2|Work loss days", US_national_yearly!$D:$AM, 10, FALSE), 1)</f>
        <v>0.34634275975509105</v>
      </c>
      <c r="F15" s="7">
        <f>$B15 * IFERROR(VLOOKUP("buildings|SO2|Work loss days", US_national_yearly!$D:$AM, 14, FALSE) / VLOOKUP("buildings|SO2|Work loss days", US_national_yearly!$D:$AM, 10, FALSE), 1)</f>
        <v>0.34745715973903263</v>
      </c>
      <c r="G15" s="7">
        <f>$B15 * IFERROR(VLOOKUP("buildings|SO2|Work loss days", US_national_yearly!$D:$AM, 15, FALSE) / VLOOKUP("buildings|SO2|Work loss days", US_national_yearly!$D:$AM, 10, FALSE), 1)</f>
        <v>0.34891262778741877</v>
      </c>
      <c r="H15" s="7">
        <f>$B15 * IFERROR(VLOOKUP("buildings|SO2|Work loss days", US_national_yearly!$D:$AM, 16, FALSE) / VLOOKUP("buildings|SO2|Work loss days", US_national_yearly!$D:$AM, 10, FALSE), 1)</f>
        <v>0.35036809583580497</v>
      </c>
      <c r="I15" s="7">
        <f>$B15 * IFERROR(VLOOKUP("buildings|SO2|Work loss days", US_national_yearly!$D:$AM, 17, FALSE) / VLOOKUP("buildings|SO2|Work loss days", US_national_yearly!$D:$AM, 10, FALSE), 1)</f>
        <v>0.35249607158824509</v>
      </c>
      <c r="J15" s="7">
        <f>$B15 * IFERROR(VLOOKUP("buildings|SO2|Work loss days", US_national_yearly!$D:$AM, 18, FALSE) / VLOOKUP("buildings|SO2|Work loss days", US_national_yearly!$D:$AM, 10, FALSE), 1)</f>
        <v>0.35462404734068514</v>
      </c>
      <c r="K15" s="7">
        <f>$B15 * IFERROR(VLOOKUP("buildings|SO2|Work loss days", US_national_yearly!$D:$AM, 19, FALSE) / VLOOKUP("buildings|SO2|Work loss days", US_national_yearly!$D:$AM, 10, FALSE), 1)</f>
        <v>0.35675202309312526</v>
      </c>
      <c r="L15" s="7">
        <f>$B15 * IFERROR(VLOOKUP("buildings|SO2|Work loss days", US_national_yearly!$D:$AM, 20, FALSE) / VLOOKUP("buildings|SO2|Work loss days", US_national_yearly!$D:$AM, 10, FALSE), 1)</f>
        <v>0.35887999884556532</v>
      </c>
      <c r="M15" s="7">
        <f>$B15 * IFERROR(VLOOKUP("buildings|SO2|Work loss days", US_national_yearly!$D:$AM, 21, FALSE) / VLOOKUP("buildings|SO2|Work loss days", US_national_yearly!$D:$AM, 10, FALSE), 1)</f>
        <v>0.36100797459800532</v>
      </c>
      <c r="N15" s="7">
        <f>$B15 * IFERROR(VLOOKUP("buildings|SO2|Work loss days", US_national_yearly!$D:$AM, 22, FALSE) / VLOOKUP("buildings|SO2|Work loss days", US_national_yearly!$D:$AM, 10, FALSE), 1)</f>
        <v>0.36367642133258754</v>
      </c>
      <c r="O15" s="7">
        <f>$B15 * IFERROR(VLOOKUP("buildings|SO2|Work loss days", US_national_yearly!$D:$AM, 23, FALSE) / VLOOKUP("buildings|SO2|Work loss days", US_national_yearly!$D:$AM, 10, FALSE), 1)</f>
        <v>0.3663448680671697</v>
      </c>
      <c r="P15" s="7">
        <f>$B15 * IFERROR(VLOOKUP("buildings|SO2|Work loss days", US_national_yearly!$D:$AM, 24, FALSE) / VLOOKUP("buildings|SO2|Work loss days", US_national_yearly!$D:$AM, 10, FALSE), 1)</f>
        <v>0.36901331480175181</v>
      </c>
      <c r="Q15" s="7">
        <f>$B15 * IFERROR(VLOOKUP("buildings|SO2|Work loss days", US_national_yearly!$D:$AM, 25, FALSE) / VLOOKUP("buildings|SO2|Work loss days", US_national_yearly!$D:$AM, 10, FALSE), 1)</f>
        <v>0.37168176153633403</v>
      </c>
      <c r="R15" s="7">
        <f>$B15 * IFERROR(VLOOKUP("buildings|SO2|Work loss days", US_national_yearly!$D:$AM, 26, FALSE) / VLOOKUP("buildings|SO2|Work loss days", US_national_yearly!$D:$AM, 10, FALSE), 1)</f>
        <v>0.37435020827091608</v>
      </c>
      <c r="S15" s="7">
        <f>$B15 * IFERROR(VLOOKUP("buildings|SO2|Work loss days", US_national_yearly!$D:$AM, 27, FALSE) / VLOOKUP("buildings|SO2|Work loss days", US_national_yearly!$D:$AM, 10, FALSE), 1)</f>
        <v>0.37733109701476891</v>
      </c>
      <c r="T15" s="7">
        <f>$B15 * IFERROR(VLOOKUP("buildings|SO2|Work loss days", US_national_yearly!$D:$AM, 28, FALSE) / VLOOKUP("buildings|SO2|Work loss days", US_national_yearly!$D:$AM, 10, FALSE), 1)</f>
        <v>0.38031198575862174</v>
      </c>
      <c r="U15" s="7">
        <f>$B15 * IFERROR(VLOOKUP("buildings|SO2|Work loss days", US_national_yearly!$D:$AM, 29, FALSE) / VLOOKUP("buildings|SO2|Work loss days", US_national_yearly!$D:$AM, 10, FALSE), 1)</f>
        <v>0.38329287450247457</v>
      </c>
      <c r="V15" s="7">
        <f>$B15 * IFERROR(VLOOKUP("buildings|SO2|Work loss days", US_national_yearly!$D:$AM, 30, FALSE) / VLOOKUP("buildings|SO2|Work loss days", US_national_yearly!$D:$AM, 10, FALSE), 1)</f>
        <v>0.38627376324632728</v>
      </c>
      <c r="W15" s="7">
        <f>$B15 * IFERROR(VLOOKUP("buildings|SO2|Work loss days", US_national_yearly!$D:$AM, 31, FALSE) / VLOOKUP("buildings|SO2|Work loss days", US_national_yearly!$D:$AM, 10, FALSE), 1)</f>
        <v>0.38925465199018011</v>
      </c>
      <c r="X15" s="7">
        <f>$B15 * IFERROR(VLOOKUP("buildings|SO2|Work loss days", US_national_yearly!$D:$AM, 32, FALSE) / VLOOKUP("buildings|SO2|Work loss days", US_national_yearly!$D:$AM, 10, FALSE), 1)</f>
        <v>0.39193113871303026</v>
      </c>
      <c r="Y15" s="7">
        <f>$B15 * IFERROR(VLOOKUP("buildings|SO2|Work loss days", US_national_yearly!$D:$AM, 33, FALSE) / VLOOKUP("buildings|SO2|Work loss days", US_national_yearly!$D:$AM, 10, FALSE), 1)</f>
        <v>0.3946076254358804</v>
      </c>
      <c r="Z15" s="7">
        <f>$B15 * IFERROR(VLOOKUP("buildings|SO2|Work loss days", US_national_yearly!$D:$AM, 34, FALSE) / VLOOKUP("buildings|SO2|Work loss days", US_national_yearly!$D:$AM, 10, FALSE), 1)</f>
        <v>0.39728411215873044</v>
      </c>
      <c r="AA15" s="7">
        <f>$B15 * IFERROR(VLOOKUP("buildings|SO2|Work loss days", US_national_yearly!$D:$AM, 35, FALSE) / VLOOKUP("buildings|SO2|Work loss days", US_national_yearly!$D:$AM, 10, FALSE), 1)</f>
        <v>0.39996059888158059</v>
      </c>
      <c r="AB15" s="7">
        <f>$B15 * IFERROR(VLOOKUP("buildings|SO2|Work loss days", US_national_yearly!$D:$AM, 36, FALSE) / VLOOKUP("buildings|SO2|Work loss days", US_national_yearly!$D:$AM, 10, FALSE), 1)</f>
        <v>0.40263708560443062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6.7995875983796104E-4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7.0052707612643756E-4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7.2109539241491409E-4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7.4166370870339072E-4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7.6223202499186725E-4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7.8193523998067909E-4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8.0163845496949082E-4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8.1852407052328876E-4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8.3540968607708648E-4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8.5229530163088453E-4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8.6918091718468247E-4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8.860665327384802E-4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8.9740488517633943E-4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9.0874323761419866E-4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9.2008159005205789E-4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9.3141994248991701E-4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9.4275829492777624E-4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9.4872089495532232E-4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9.5468349498286839E-4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9.6064609501041436E-4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9.6660869503796044E-4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9.7257129506550641E-4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9.7657519438818364E-4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9.8057909371086077E-4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9.845829930335379E-4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9.8858689235621524E-4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9.9259079167889237E-4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3.3531341164451146E-2</v>
      </c>
      <c r="C2" s="7">
        <f>$B2 * IFERROR(VLOOKUP("industry|PM25|Premature mortality", US_national_yearly!$D:$AM, 11, FALSE) / VLOOKUP("industry|PM25|Premature mortality", US_national_yearly!$D:$AM, 10, FALSE), 1)</f>
        <v>3.394891593883248E-2</v>
      </c>
      <c r="D2" s="7">
        <f>$B2 * IFERROR(VLOOKUP("industry|PM25|Premature mortality", US_national_yearly!$D:$AM, 12, FALSE) / VLOOKUP("industry|PM25|Premature mortality", US_national_yearly!$D:$AM, 10, FALSE), 1)</f>
        <v>3.4366490713213807E-2</v>
      </c>
      <c r="E2" s="7">
        <f>$B2 * IFERROR(VLOOKUP("industry|PM25|Premature mortality", US_national_yearly!$D:$AM, 13, FALSE) / VLOOKUP("industry|PM25|Premature mortality", US_national_yearly!$D:$AM, 10, FALSE), 1)</f>
        <v>3.4784065487595134E-2</v>
      </c>
      <c r="F2" s="7">
        <f>$B2 * IFERROR(VLOOKUP("industry|PM25|Premature mortality", US_national_yearly!$D:$AM, 14, FALSE) / VLOOKUP("industry|PM25|Premature mortality", US_national_yearly!$D:$AM, 10, FALSE), 1)</f>
        <v>3.5201640261976461E-2</v>
      </c>
      <c r="G2" s="7">
        <f>$B2 * IFERROR(VLOOKUP("industry|PM25|Premature mortality", US_national_yearly!$D:$AM, 15, FALSE) / VLOOKUP("industry|PM25|Premature mortality", US_national_yearly!$D:$AM, 10, FALSE), 1)</f>
        <v>3.601402549957728E-2</v>
      </c>
      <c r="H2" s="7">
        <f>$B2 * IFERROR(VLOOKUP("industry|PM25|Premature mortality", US_national_yearly!$D:$AM, 16, FALSE) / VLOOKUP("industry|PM25|Premature mortality", US_national_yearly!$D:$AM, 10, FALSE), 1)</f>
        <v>3.68264107371781E-2</v>
      </c>
      <c r="I2" s="7">
        <f>$B2 * IFERROR(VLOOKUP("industry|PM25|Premature mortality", US_national_yearly!$D:$AM, 17, FALSE) / VLOOKUP("industry|PM25|Premature mortality", US_national_yearly!$D:$AM, 10, FALSE), 1)</f>
        <v>3.7362826008934265E-2</v>
      </c>
      <c r="J2" s="7">
        <f>$B2 * IFERROR(VLOOKUP("industry|PM25|Premature mortality", US_national_yearly!$D:$AM, 18, FALSE) / VLOOKUP("industry|PM25|Premature mortality", US_national_yearly!$D:$AM, 10, FALSE), 1)</f>
        <v>3.7899241280690422E-2</v>
      </c>
      <c r="K2" s="7">
        <f>$B2 * IFERROR(VLOOKUP("industry|PM25|Premature mortality", US_national_yearly!$D:$AM, 19, FALSE) / VLOOKUP("industry|PM25|Premature mortality", US_national_yearly!$D:$AM, 10, FALSE), 1)</f>
        <v>3.843565655244658E-2</v>
      </c>
      <c r="L2" s="7">
        <f>$B2 * IFERROR(VLOOKUP("industry|PM25|Premature mortality", US_national_yearly!$D:$AM, 20, FALSE) / VLOOKUP("industry|PM25|Premature mortality", US_national_yearly!$D:$AM, 10, FALSE), 1)</f>
        <v>3.8972071824202738E-2</v>
      </c>
      <c r="M2" s="7">
        <f>$B2 * IFERROR(VLOOKUP("industry|PM25|Premature mortality", US_national_yearly!$D:$AM, 21, FALSE) / VLOOKUP("industry|PM25|Premature mortality", US_national_yearly!$D:$AM, 10, FALSE), 1)</f>
        <v>3.9508487095958895E-2</v>
      </c>
      <c r="N2" s="7">
        <f>$B2 * IFERROR(VLOOKUP("industry|PM25|Premature mortality", US_national_yearly!$D:$AM, 22, FALSE) / VLOOKUP("industry|PM25|Premature mortality", US_national_yearly!$D:$AM, 10, FALSE), 1)</f>
        <v>3.992640045448128E-2</v>
      </c>
      <c r="O2" s="7">
        <f>$B2 * IFERROR(VLOOKUP("industry|PM25|Premature mortality", US_national_yearly!$D:$AM, 23, FALSE) / VLOOKUP("industry|PM25|Premature mortality", US_national_yearly!$D:$AM, 10, FALSE), 1)</f>
        <v>4.0344313813003657E-2</v>
      </c>
      <c r="P2" s="7">
        <f>$B2 * IFERROR(VLOOKUP("industry|PM25|Premature mortality", US_national_yearly!$D:$AM, 24, FALSE) / VLOOKUP("industry|PM25|Premature mortality", US_national_yearly!$D:$AM, 10, FALSE), 1)</f>
        <v>4.0762227171526041E-2</v>
      </c>
      <c r="Q2" s="7">
        <f>$B2 * IFERROR(VLOOKUP("industry|PM25|Premature mortality", US_national_yearly!$D:$AM, 25, FALSE) / VLOOKUP("industry|PM25|Premature mortality", US_national_yearly!$D:$AM, 10, FALSE), 1)</f>
        <v>4.1180140530048426E-2</v>
      </c>
      <c r="R2" s="7">
        <f>$B2 * IFERROR(VLOOKUP("industry|PM25|Premature mortality", US_national_yearly!$D:$AM, 26, FALSE) / VLOOKUP("industry|PM25|Premature mortality", US_national_yearly!$D:$AM, 10, FALSE), 1)</f>
        <v>4.1598053888570796E-2</v>
      </c>
      <c r="S2" s="7">
        <f>$B2 * IFERROR(VLOOKUP("industry|PM25|Premature mortality", US_national_yearly!$D:$AM, 27, FALSE) / VLOOKUP("industry|PM25|Premature mortality", US_national_yearly!$D:$AM, 10, FALSE), 1)</f>
        <v>4.1823711601882016E-2</v>
      </c>
      <c r="T2" s="7">
        <f>$B2 * IFERROR(VLOOKUP("industry|PM25|Premature mortality", US_national_yearly!$D:$AM, 28, FALSE) / VLOOKUP("industry|PM25|Premature mortality", US_national_yearly!$D:$AM, 10, FALSE), 1)</f>
        <v>4.2049369315193236E-2</v>
      </c>
      <c r="U2" s="7">
        <f>$B2 * IFERROR(VLOOKUP("industry|PM25|Premature mortality", US_national_yearly!$D:$AM, 29, FALSE) / VLOOKUP("industry|PM25|Premature mortality", US_national_yearly!$D:$AM, 10, FALSE), 1)</f>
        <v>4.2275027028504469E-2</v>
      </c>
      <c r="V2" s="7">
        <f>$B2 * IFERROR(VLOOKUP("industry|PM25|Premature mortality", US_national_yearly!$D:$AM, 30, FALSE) / VLOOKUP("industry|PM25|Premature mortality", US_national_yearly!$D:$AM, 10, FALSE), 1)</f>
        <v>4.2500684741815689E-2</v>
      </c>
      <c r="W2" s="7">
        <f>$B2 * IFERROR(VLOOKUP("industry|PM25|Premature mortality", US_national_yearly!$D:$AM, 31, FALSE) / VLOOKUP("industry|PM25|Premature mortality", US_national_yearly!$D:$AM, 10, FALSE), 1)</f>
        <v>4.2726342455126909E-2</v>
      </c>
      <c r="X2" s="7">
        <f>$B2 * IFERROR(VLOOKUP("industry|PM25|Premature mortality", US_national_yearly!$D:$AM, 32, FALSE) / VLOOKUP("industry|PM25|Premature mortality", US_national_yearly!$D:$AM, 10, FALSE), 1)</f>
        <v>4.2772932863477775E-2</v>
      </c>
      <c r="Y2" s="7">
        <f>$B2 * IFERROR(VLOOKUP("industry|PM25|Premature mortality", US_national_yearly!$D:$AM, 33, FALSE) / VLOOKUP("industry|PM25|Premature mortality", US_national_yearly!$D:$AM, 10, FALSE), 1)</f>
        <v>4.2819523271828662E-2</v>
      </c>
      <c r="Z2" s="7">
        <f>$B2 * IFERROR(VLOOKUP("industry|PM25|Premature mortality", US_national_yearly!$D:$AM, 34, FALSE) / VLOOKUP("industry|PM25|Premature mortality", US_national_yearly!$D:$AM, 10, FALSE), 1)</f>
        <v>4.2866113680179528E-2</v>
      </c>
      <c r="AA2" s="7">
        <f>$B2 * IFERROR(VLOOKUP("industry|PM25|Premature mortality", US_national_yearly!$D:$AM, 35, FALSE) / VLOOKUP("industry|PM25|Premature mortality", US_national_yearly!$D:$AM, 10, FALSE), 1)</f>
        <v>4.2912704088530408E-2</v>
      </c>
      <c r="AB2" s="7">
        <f>$B2 * IFERROR(VLOOKUP("industry|PM25|Premature mortality", US_national_yearly!$D:$AM, 36, FALSE) / VLOOKUP("industry|PM25|Premature mortality", US_national_yearly!$D:$AM, 10, FALSE), 1)</f>
        <v>4.2959294496881274E-2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9.4747674760568905E-5</v>
      </c>
      <c r="C3" s="7">
        <f>$B3 * IFERROR(VLOOKUP("industry|PM25|Infant mortality", US_national_yearly!$D:$AM, 11, FALSE) / VLOOKUP("industry|PM25|Infant mortality", US_national_yearly!$D:$AM, 10, FALSE), 1)</f>
        <v>9.3922721077624016E-5</v>
      </c>
      <c r="D3" s="7">
        <f>$B3 * IFERROR(VLOOKUP("industry|PM25|Infant mortality", US_national_yearly!$D:$AM, 12, FALSE) / VLOOKUP("industry|PM25|Infant mortality", US_national_yearly!$D:$AM, 10, FALSE), 1)</f>
        <v>9.3097767394679127E-5</v>
      </c>
      <c r="E3" s="7">
        <f>$B3 * IFERROR(VLOOKUP("industry|PM25|Infant mortality", US_national_yearly!$D:$AM, 13, FALSE) / VLOOKUP("industry|PM25|Infant mortality", US_national_yearly!$D:$AM, 10, FALSE), 1)</f>
        <v>9.227281371173421E-5</v>
      </c>
      <c r="F3" s="7">
        <f>$B3 * IFERROR(VLOOKUP("industry|PM25|Infant mortality", US_national_yearly!$D:$AM, 14, FALSE) / VLOOKUP("industry|PM25|Infant mortality", US_national_yearly!$D:$AM, 10, FALSE), 1)</f>
        <v>9.1447860028789321E-5</v>
      </c>
      <c r="G3" s="7">
        <f>$B3 * IFERROR(VLOOKUP("industry|PM25|Infant mortality", US_national_yearly!$D:$AM, 15, FALSE) / VLOOKUP("industry|PM25|Infant mortality", US_national_yearly!$D:$AM, 10, FALSE), 1)</f>
        <v>6.0761159150902767E-5</v>
      </c>
      <c r="H3" s="7">
        <f>$B3 * IFERROR(VLOOKUP("industry|PM25|Infant mortality", US_national_yearly!$D:$AM, 16, FALSE) / VLOOKUP("industry|PM25|Infant mortality", US_national_yearly!$D:$AM, 10, FALSE), 1)</f>
        <v>3.0074458273016208E-5</v>
      </c>
      <c r="I3" s="7">
        <f>$B3 * IFERROR(VLOOKUP("industry|PM25|Infant mortality", US_national_yearly!$D:$AM, 17, FALSE) / VLOOKUP("industry|PM25|Infant mortality", US_national_yearly!$D:$AM, 10, FALSE), 1)</f>
        <v>2.987428309036879E-5</v>
      </c>
      <c r="J3" s="7">
        <f>$B3 * IFERROR(VLOOKUP("industry|PM25|Infant mortality", US_national_yearly!$D:$AM, 18, FALSE) / VLOOKUP("industry|PM25|Infant mortality", US_national_yearly!$D:$AM, 10, FALSE), 1)</f>
        <v>2.9674107907721371E-5</v>
      </c>
      <c r="K3" s="7">
        <f>$B3 * IFERROR(VLOOKUP("industry|PM25|Infant mortality", US_national_yearly!$D:$AM, 19, FALSE) / VLOOKUP("industry|PM25|Infant mortality", US_national_yearly!$D:$AM, 10, FALSE), 1)</f>
        <v>2.9473932725073952E-5</v>
      </c>
      <c r="L3" s="7">
        <f>$B3 * IFERROR(VLOOKUP("industry|PM25|Infant mortality", US_national_yearly!$D:$AM, 20, FALSE) / VLOOKUP("industry|PM25|Infant mortality", US_national_yearly!$D:$AM, 10, FALSE), 1)</f>
        <v>2.927375754242653E-5</v>
      </c>
      <c r="M3" s="7">
        <f>$B3 * IFERROR(VLOOKUP("industry|PM25|Infant mortality", US_national_yearly!$D:$AM, 21, FALSE) / VLOOKUP("industry|PM25|Infant mortality", US_national_yearly!$D:$AM, 10, FALSE), 1)</f>
        <v>2.9073582359779118E-5</v>
      </c>
      <c r="N3" s="7">
        <f>$B3 * IFERROR(VLOOKUP("industry|PM25|Infant mortality", US_national_yearly!$D:$AM, 22, FALSE) / VLOOKUP("industry|PM25|Infant mortality", US_national_yearly!$D:$AM, 10, FALSE), 1)</f>
        <v>2.8945851100363998E-5</v>
      </c>
      <c r="O3" s="7">
        <f>$B3 * IFERROR(VLOOKUP("industry|PM25|Infant mortality", US_national_yearly!$D:$AM, 23, FALSE) / VLOOKUP("industry|PM25|Infant mortality", US_national_yearly!$D:$AM, 10, FALSE), 1)</f>
        <v>2.8818119840948886E-5</v>
      </c>
      <c r="P3" s="7">
        <f>$B3 * IFERROR(VLOOKUP("industry|PM25|Infant mortality", US_national_yearly!$D:$AM, 24, FALSE) / VLOOKUP("industry|PM25|Infant mortality", US_national_yearly!$D:$AM, 10, FALSE), 1)</f>
        <v>2.8690388581533776E-5</v>
      </c>
      <c r="Q3" s="7">
        <f>$B3 * IFERROR(VLOOKUP("industry|PM25|Infant mortality", US_national_yearly!$D:$AM, 25, FALSE) / VLOOKUP("industry|PM25|Infant mortality", US_national_yearly!$D:$AM, 10, FALSE), 1)</f>
        <v>2.8562657322118664E-5</v>
      </c>
      <c r="R3" s="7">
        <f>$B3 * IFERROR(VLOOKUP("industry|PM25|Infant mortality", US_national_yearly!$D:$AM, 26, FALSE) / VLOOKUP("industry|PM25|Infant mortality", US_national_yearly!$D:$AM, 10, FALSE), 1)</f>
        <v>2.8434926062703551E-5</v>
      </c>
      <c r="S3" s="7">
        <f>$B3 * IFERROR(VLOOKUP("industry|PM25|Infant mortality", US_national_yearly!$D:$AM, 27, FALSE) / VLOOKUP("industry|PM25|Infant mortality", US_national_yearly!$D:$AM, 10, FALSE), 1)</f>
        <v>2.8277828146525586E-5</v>
      </c>
      <c r="T3" s="7">
        <f>$B3 * IFERROR(VLOOKUP("industry|PM25|Infant mortality", US_national_yearly!$D:$AM, 28, FALSE) / VLOOKUP("industry|PM25|Infant mortality", US_national_yearly!$D:$AM, 10, FALSE), 1)</f>
        <v>2.8120730230347624E-5</v>
      </c>
      <c r="U3" s="7">
        <f>$B3 * IFERROR(VLOOKUP("industry|PM25|Infant mortality", US_national_yearly!$D:$AM, 29, FALSE) / VLOOKUP("industry|PM25|Infant mortality", US_national_yearly!$D:$AM, 10, FALSE), 1)</f>
        <v>2.7963632314169659E-5</v>
      </c>
      <c r="V3" s="7">
        <f>$B3 * IFERROR(VLOOKUP("industry|PM25|Infant mortality", US_national_yearly!$D:$AM, 30, FALSE) / VLOOKUP("industry|PM25|Infant mortality", US_national_yearly!$D:$AM, 10, FALSE), 1)</f>
        <v>2.7806534397991697E-5</v>
      </c>
      <c r="W3" s="7">
        <f>$B3 * IFERROR(VLOOKUP("industry|PM25|Infant mortality", US_national_yearly!$D:$AM, 31, FALSE) / VLOOKUP("industry|PM25|Infant mortality", US_national_yearly!$D:$AM, 10, FALSE), 1)</f>
        <v>2.7649436481813735E-5</v>
      </c>
      <c r="X3" s="7">
        <f>$B3 * IFERROR(VLOOKUP("industry|PM25|Infant mortality", US_national_yearly!$D:$AM, 32, FALSE) / VLOOKUP("industry|PM25|Infant mortality", US_national_yearly!$D:$AM, 10, FALSE), 1)</f>
        <v>2.7481557673463361E-5</v>
      </c>
      <c r="Y3" s="7">
        <f>$B3 * IFERROR(VLOOKUP("industry|PM25|Infant mortality", US_national_yearly!$D:$AM, 33, FALSE) / VLOOKUP("industry|PM25|Infant mortality", US_national_yearly!$D:$AM, 10, FALSE), 1)</f>
        <v>2.7313678865112986E-5</v>
      </c>
      <c r="Z3" s="7">
        <f>$B3 * IFERROR(VLOOKUP("industry|PM25|Infant mortality", US_national_yearly!$D:$AM, 34, FALSE) / VLOOKUP("industry|PM25|Infant mortality", US_national_yearly!$D:$AM, 10, FALSE), 1)</f>
        <v>2.7145800056762609E-5</v>
      </c>
      <c r="AA3" s="7">
        <f>$B3 * IFERROR(VLOOKUP("industry|PM25|Infant mortality", US_national_yearly!$D:$AM, 35, FALSE) / VLOOKUP("industry|PM25|Infant mortality", US_national_yearly!$D:$AM, 10, FALSE), 1)</f>
        <v>2.6977921248412234E-5</v>
      </c>
      <c r="AB3" s="7">
        <f>$B3 * IFERROR(VLOOKUP("industry|PM25|Infant mortality", US_national_yearly!$D:$AM, 36, FALSE) / VLOOKUP("industry|PM25|Infant mortality", US_national_yearly!$D:$AM, 10, FALSE), 1)</f>
        <v>2.681004244006186E-5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9.4056202979966114E-2</v>
      </c>
      <c r="C6" s="7">
        <f>$B6 * IFERROR(VLOOKUP("industry|PM25|Asthma symptoms cough", US_national_yearly!$D:$AM, 11, FALSE) / VLOOKUP("industry|PM25|Asthma symptoms cough", US_national_yearly!$D:$AM, 10, FALSE), 1)</f>
        <v>9.4056202979966114E-2</v>
      </c>
      <c r="D6" s="7">
        <f>$B6 * IFERROR(VLOOKUP("industry|PM25|Asthma symptoms cough", US_national_yearly!$D:$AM, 12, FALSE) / VLOOKUP("industry|PM25|Asthma symptoms cough", US_national_yearly!$D:$AM, 10, FALSE), 1)</f>
        <v>9.4056202979966114E-2</v>
      </c>
      <c r="E6" s="7">
        <f>$B6 * IFERROR(VLOOKUP("industry|PM25|Asthma symptoms cough", US_national_yearly!$D:$AM, 13, FALSE) / VLOOKUP("industry|PM25|Asthma symptoms cough", US_national_yearly!$D:$AM, 10, FALSE), 1)</f>
        <v>9.4056202979966114E-2</v>
      </c>
      <c r="F6" s="7">
        <f>$B6 * IFERROR(VLOOKUP("industry|PM25|Asthma symptoms cough", US_national_yearly!$D:$AM, 14, FALSE) / VLOOKUP("industry|PM25|Asthma symptoms cough", US_national_yearly!$D:$AM, 10, FALSE), 1)</f>
        <v>9.4056202979966114E-2</v>
      </c>
      <c r="G6" s="7">
        <f>$B6 * IFERROR(VLOOKUP("industry|PM25|Asthma symptoms cough", US_national_yearly!$D:$AM, 15, FALSE) / VLOOKUP("industry|PM25|Asthma symptoms cough", US_national_yearly!$D:$AM, 10, FALSE), 1)</f>
        <v>9.4056202979966114E-2</v>
      </c>
      <c r="H6" s="7">
        <f>$B6 * IFERROR(VLOOKUP("industry|PM25|Asthma symptoms cough", US_national_yearly!$D:$AM, 16, FALSE) / VLOOKUP("industry|PM25|Asthma symptoms cough", US_national_yearly!$D:$AM, 10, FALSE), 1)</f>
        <v>9.4056202979966114E-2</v>
      </c>
      <c r="I6" s="7">
        <f>$B6 * IFERROR(VLOOKUP("industry|PM25|Asthma symptoms cough", US_national_yearly!$D:$AM, 17, FALSE) / VLOOKUP("industry|PM25|Asthma symptoms cough", US_national_yearly!$D:$AM, 10, FALSE), 1)</f>
        <v>9.4056202979966114E-2</v>
      </c>
      <c r="J6" s="7">
        <f>$B6 * IFERROR(VLOOKUP("industry|PM25|Asthma symptoms cough", US_national_yearly!$D:$AM, 18, FALSE) / VLOOKUP("industry|PM25|Asthma symptoms cough", US_national_yearly!$D:$AM, 10, FALSE), 1)</f>
        <v>9.4056202979966114E-2</v>
      </c>
      <c r="K6" s="7">
        <f>$B6 * IFERROR(VLOOKUP("industry|PM25|Asthma symptoms cough", US_national_yearly!$D:$AM, 19, FALSE) / VLOOKUP("industry|PM25|Asthma symptoms cough", US_national_yearly!$D:$AM, 10, FALSE), 1)</f>
        <v>9.4056202979966114E-2</v>
      </c>
      <c r="L6" s="7">
        <f>$B6 * IFERROR(VLOOKUP("industry|PM25|Asthma symptoms cough", US_national_yearly!$D:$AM, 20, FALSE) / VLOOKUP("industry|PM25|Asthma symptoms cough", US_national_yearly!$D:$AM, 10, FALSE), 1)</f>
        <v>9.4056202979966114E-2</v>
      </c>
      <c r="M6" s="7">
        <f>$B6 * IFERROR(VLOOKUP("industry|PM25|Asthma symptoms cough", US_national_yearly!$D:$AM, 21, FALSE) / VLOOKUP("industry|PM25|Asthma symptoms cough", US_national_yearly!$D:$AM, 10, FALSE), 1)</f>
        <v>9.4056202979966114E-2</v>
      </c>
      <c r="N6" s="7">
        <f>$B6 * IFERROR(VLOOKUP("industry|PM25|Asthma symptoms cough", US_national_yearly!$D:$AM, 22, FALSE) / VLOOKUP("industry|PM25|Asthma symptoms cough", US_national_yearly!$D:$AM, 10, FALSE), 1)</f>
        <v>9.4056202979966114E-2</v>
      </c>
      <c r="O6" s="7">
        <f>$B6 * IFERROR(VLOOKUP("industry|PM25|Asthma symptoms cough", US_national_yearly!$D:$AM, 23, FALSE) / VLOOKUP("industry|PM25|Asthma symptoms cough", US_national_yearly!$D:$AM, 10, FALSE), 1)</f>
        <v>9.4056202979966114E-2</v>
      </c>
      <c r="P6" s="7">
        <f>$B6 * IFERROR(VLOOKUP("industry|PM25|Asthma symptoms cough", US_national_yearly!$D:$AM, 24, FALSE) / VLOOKUP("industry|PM25|Asthma symptoms cough", US_national_yearly!$D:$AM, 10, FALSE), 1)</f>
        <v>9.4056202979966114E-2</v>
      </c>
      <c r="Q6" s="7">
        <f>$B6 * IFERROR(VLOOKUP("industry|PM25|Asthma symptoms cough", US_national_yearly!$D:$AM, 25, FALSE) / VLOOKUP("industry|PM25|Asthma symptoms cough", US_national_yearly!$D:$AM, 10, FALSE), 1)</f>
        <v>9.4056202979966114E-2</v>
      </c>
      <c r="R6" s="7">
        <f>$B6 * IFERROR(VLOOKUP("industry|PM25|Asthma symptoms cough", US_national_yearly!$D:$AM, 26, FALSE) / VLOOKUP("industry|PM25|Asthma symptoms cough", US_national_yearly!$D:$AM, 10, FALSE), 1)</f>
        <v>9.4056202979966114E-2</v>
      </c>
      <c r="S6" s="7">
        <f>$B6 * IFERROR(VLOOKUP("industry|PM25|Asthma symptoms cough", US_national_yearly!$D:$AM, 27, FALSE) / VLOOKUP("industry|PM25|Asthma symptoms cough", US_national_yearly!$D:$AM, 10, FALSE), 1)</f>
        <v>9.4056202979966114E-2</v>
      </c>
      <c r="T6" s="7">
        <f>$B6 * IFERROR(VLOOKUP("industry|PM25|Asthma symptoms cough", US_national_yearly!$D:$AM, 28, FALSE) / VLOOKUP("industry|PM25|Asthma symptoms cough", US_national_yearly!$D:$AM, 10, FALSE), 1)</f>
        <v>9.4056202979966114E-2</v>
      </c>
      <c r="U6" s="7">
        <f>$B6 * IFERROR(VLOOKUP("industry|PM25|Asthma symptoms cough", US_national_yearly!$D:$AM, 29, FALSE) / VLOOKUP("industry|PM25|Asthma symptoms cough", US_national_yearly!$D:$AM, 10, FALSE), 1)</f>
        <v>9.4056202979966114E-2</v>
      </c>
      <c r="V6" s="7">
        <f>$B6 * IFERROR(VLOOKUP("industry|PM25|Asthma symptoms cough", US_national_yearly!$D:$AM, 30, FALSE) / VLOOKUP("industry|PM25|Asthma symptoms cough", US_national_yearly!$D:$AM, 10, FALSE), 1)</f>
        <v>9.4056202979966114E-2</v>
      </c>
      <c r="W6" s="7">
        <f>$B6 * IFERROR(VLOOKUP("industry|PM25|Asthma symptoms cough", US_national_yearly!$D:$AM, 31, FALSE) / VLOOKUP("industry|PM25|Asthma symptoms cough", US_national_yearly!$D:$AM, 10, FALSE), 1)</f>
        <v>9.4056202979966114E-2</v>
      </c>
      <c r="X6" s="7">
        <f>$B6 * IFERROR(VLOOKUP("industry|PM25|Asthma symptoms cough", US_national_yearly!$D:$AM, 32, FALSE) / VLOOKUP("industry|PM25|Asthma symptoms cough", US_national_yearly!$D:$AM, 10, FALSE), 1)</f>
        <v>9.4056202979966114E-2</v>
      </c>
      <c r="Y6" s="7">
        <f>$B6 * IFERROR(VLOOKUP("industry|PM25|Asthma symptoms cough", US_national_yearly!$D:$AM, 33, FALSE) / VLOOKUP("industry|PM25|Asthma symptoms cough", US_national_yearly!$D:$AM, 10, FALSE), 1)</f>
        <v>9.4056202979966114E-2</v>
      </c>
      <c r="Z6" s="7">
        <f>$B6 * IFERROR(VLOOKUP("industry|PM25|Asthma symptoms cough", US_national_yearly!$D:$AM, 34, FALSE) / VLOOKUP("industry|PM25|Asthma symptoms cough", US_national_yearly!$D:$AM, 10, FALSE), 1)</f>
        <v>9.4056202979966114E-2</v>
      </c>
      <c r="AA6" s="7">
        <f>$B6 * IFERROR(VLOOKUP("industry|PM25|Asthma symptoms cough", US_national_yearly!$D:$AM, 35, FALSE) / VLOOKUP("industry|PM25|Asthma symptoms cough", US_national_yearly!$D:$AM, 10, FALSE), 1)</f>
        <v>9.4056202979966114E-2</v>
      </c>
      <c r="AB6" s="7">
        <f>$B6 * IFERROR(VLOOKUP("industry|PM25|Asthma symptoms cough", US_national_yearly!$D:$AM, 36, FALSE) / VLOOKUP("industry|PM25|Asthma symptoms cough", US_national_yearly!$D:$AM, 10, FALSE), 1)</f>
        <v>9.4056202979966114E-2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0.12664967473228178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0.12664967473228178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0.12664967473228178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0.12664967473228178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0.12664967473228178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0.12664967473228178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0.12664967473228178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0.12664967473228178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0.12664967473228178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0.12664967473228178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0.12664967473228178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0.12664967473228178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0.12664967473228178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0.12664967473228178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0.12664967473228178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0.12664967473228178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0.12664967473228178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0.12664967473228178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0.12664967473228178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0.12664967473228178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0.12664967473228178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0.12664967473228178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0.12664967473228178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0.12664967473228178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0.12664967473228178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0.12664967473228178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0.12664967473228178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0.19353718834793393</v>
      </c>
      <c r="C8" s="7">
        <f>$B8 * IFERROR(VLOOKUP("industry|PM25|Asthma symptoms wheeze", US_national_yearly!$D:$AM, 11, FALSE) / VLOOKUP("industry|PM25|Asthma symptoms wheeze", US_national_yearly!$D:$AM, 10, FALSE), 1)</f>
        <v>0.19353718834793393</v>
      </c>
      <c r="D8" s="7">
        <f>$B8 * IFERROR(VLOOKUP("industry|PM25|Asthma symptoms wheeze", US_national_yearly!$D:$AM, 12, FALSE) / VLOOKUP("industry|PM25|Asthma symptoms wheeze", US_national_yearly!$D:$AM, 10, FALSE), 1)</f>
        <v>0.19353718834793393</v>
      </c>
      <c r="E8" s="7">
        <f>$B8 * IFERROR(VLOOKUP("industry|PM25|Asthma symptoms wheeze", US_national_yearly!$D:$AM, 13, FALSE) / VLOOKUP("industry|PM25|Asthma symptoms wheeze", US_national_yearly!$D:$AM, 10, FALSE), 1)</f>
        <v>0.19353718834793393</v>
      </c>
      <c r="F8" s="7">
        <f>$B8 * IFERROR(VLOOKUP("industry|PM25|Asthma symptoms wheeze", US_national_yearly!$D:$AM, 14, FALSE) / VLOOKUP("industry|PM25|Asthma symptoms wheeze", US_national_yearly!$D:$AM, 10, FALSE), 1)</f>
        <v>0.19353718834793393</v>
      </c>
      <c r="G8" s="7">
        <f>$B8 * IFERROR(VLOOKUP("industry|PM25|Asthma symptoms wheeze", US_national_yearly!$D:$AM, 15, FALSE) / VLOOKUP("industry|PM25|Asthma symptoms wheeze", US_national_yearly!$D:$AM, 10, FALSE), 1)</f>
        <v>0.19353718834793393</v>
      </c>
      <c r="H8" s="7">
        <f>$B8 * IFERROR(VLOOKUP("industry|PM25|Asthma symptoms wheeze", US_national_yearly!$D:$AM, 16, FALSE) / VLOOKUP("industry|PM25|Asthma symptoms wheeze", US_national_yearly!$D:$AM, 10, FALSE), 1)</f>
        <v>0.19353718834793393</v>
      </c>
      <c r="I8" s="7">
        <f>$B8 * IFERROR(VLOOKUP("industry|PM25|Asthma symptoms wheeze", US_national_yearly!$D:$AM, 17, FALSE) / VLOOKUP("industry|PM25|Asthma symptoms wheeze", US_national_yearly!$D:$AM, 10, FALSE), 1)</f>
        <v>0.19353718834793393</v>
      </c>
      <c r="J8" s="7">
        <f>$B8 * IFERROR(VLOOKUP("industry|PM25|Asthma symptoms wheeze", US_national_yearly!$D:$AM, 18, FALSE) / VLOOKUP("industry|PM25|Asthma symptoms wheeze", US_national_yearly!$D:$AM, 10, FALSE), 1)</f>
        <v>0.19353718834793393</v>
      </c>
      <c r="K8" s="7">
        <f>$B8 * IFERROR(VLOOKUP("industry|PM25|Asthma symptoms wheeze", US_national_yearly!$D:$AM, 19, FALSE) / VLOOKUP("industry|PM25|Asthma symptoms wheeze", US_national_yearly!$D:$AM, 10, FALSE), 1)</f>
        <v>0.19353718834793393</v>
      </c>
      <c r="L8" s="7">
        <f>$B8 * IFERROR(VLOOKUP("industry|PM25|Asthma symptoms wheeze", US_national_yearly!$D:$AM, 20, FALSE) / VLOOKUP("industry|PM25|Asthma symptoms wheeze", US_national_yearly!$D:$AM, 10, FALSE), 1)</f>
        <v>0.19353718834793393</v>
      </c>
      <c r="M8" s="7">
        <f>$B8 * IFERROR(VLOOKUP("industry|PM25|Asthma symptoms wheeze", US_national_yearly!$D:$AM, 21, FALSE) / VLOOKUP("industry|PM25|Asthma symptoms wheeze", US_national_yearly!$D:$AM, 10, FALSE), 1)</f>
        <v>0.19353718834793393</v>
      </c>
      <c r="N8" s="7">
        <f>$B8 * IFERROR(VLOOKUP("industry|PM25|Asthma symptoms wheeze", US_national_yearly!$D:$AM, 22, FALSE) / VLOOKUP("industry|PM25|Asthma symptoms wheeze", US_national_yearly!$D:$AM, 10, FALSE), 1)</f>
        <v>0.19353718834793393</v>
      </c>
      <c r="O8" s="7">
        <f>$B8 * IFERROR(VLOOKUP("industry|PM25|Asthma symptoms wheeze", US_national_yearly!$D:$AM, 23, FALSE) / VLOOKUP("industry|PM25|Asthma symptoms wheeze", US_national_yearly!$D:$AM, 10, FALSE), 1)</f>
        <v>0.19353718834793393</v>
      </c>
      <c r="P8" s="7">
        <f>$B8 * IFERROR(VLOOKUP("industry|PM25|Asthma symptoms wheeze", US_national_yearly!$D:$AM, 24, FALSE) / VLOOKUP("industry|PM25|Asthma symptoms wheeze", US_national_yearly!$D:$AM, 10, FALSE), 1)</f>
        <v>0.19353718834793393</v>
      </c>
      <c r="Q8" s="7">
        <f>$B8 * IFERROR(VLOOKUP("industry|PM25|Asthma symptoms wheeze", US_national_yearly!$D:$AM, 25, FALSE) / VLOOKUP("industry|PM25|Asthma symptoms wheeze", US_national_yearly!$D:$AM, 10, FALSE), 1)</f>
        <v>0.19353718834793393</v>
      </c>
      <c r="R8" s="7">
        <f>$B8 * IFERROR(VLOOKUP("industry|PM25|Asthma symptoms wheeze", US_national_yearly!$D:$AM, 26, FALSE) / VLOOKUP("industry|PM25|Asthma symptoms wheeze", US_national_yearly!$D:$AM, 10, FALSE), 1)</f>
        <v>0.19353718834793393</v>
      </c>
      <c r="S8" s="7">
        <f>$B8 * IFERROR(VLOOKUP("industry|PM25|Asthma symptoms wheeze", US_national_yearly!$D:$AM, 27, FALSE) / VLOOKUP("industry|PM25|Asthma symptoms wheeze", US_national_yearly!$D:$AM, 10, FALSE), 1)</f>
        <v>0.19353718834793393</v>
      </c>
      <c r="T8" s="7">
        <f>$B8 * IFERROR(VLOOKUP("industry|PM25|Asthma symptoms wheeze", US_national_yearly!$D:$AM, 28, FALSE) / VLOOKUP("industry|PM25|Asthma symptoms wheeze", US_national_yearly!$D:$AM, 10, FALSE), 1)</f>
        <v>0.19353718834793393</v>
      </c>
      <c r="U8" s="7">
        <f>$B8 * IFERROR(VLOOKUP("industry|PM25|Asthma symptoms wheeze", US_national_yearly!$D:$AM, 29, FALSE) / VLOOKUP("industry|PM25|Asthma symptoms wheeze", US_national_yearly!$D:$AM, 10, FALSE), 1)</f>
        <v>0.19353718834793393</v>
      </c>
      <c r="V8" s="7">
        <f>$B8 * IFERROR(VLOOKUP("industry|PM25|Asthma symptoms wheeze", US_national_yearly!$D:$AM, 30, FALSE) / VLOOKUP("industry|PM25|Asthma symptoms wheeze", US_national_yearly!$D:$AM, 10, FALSE), 1)</f>
        <v>0.19353718834793393</v>
      </c>
      <c r="W8" s="7">
        <f>$B8 * IFERROR(VLOOKUP("industry|PM25|Asthma symptoms wheeze", US_national_yearly!$D:$AM, 31, FALSE) / VLOOKUP("industry|PM25|Asthma symptoms wheeze", US_national_yearly!$D:$AM, 10, FALSE), 1)</f>
        <v>0.19353718834793393</v>
      </c>
      <c r="X8" s="7">
        <f>$B8 * IFERROR(VLOOKUP("industry|PM25|Asthma symptoms wheeze", US_national_yearly!$D:$AM, 32, FALSE) / VLOOKUP("industry|PM25|Asthma symptoms wheeze", US_national_yearly!$D:$AM, 10, FALSE), 1)</f>
        <v>0.19353718834793393</v>
      </c>
      <c r="Y8" s="7">
        <f>$B8 * IFERROR(VLOOKUP("industry|PM25|Asthma symptoms wheeze", US_national_yearly!$D:$AM, 33, FALSE) / VLOOKUP("industry|PM25|Asthma symptoms wheeze", US_national_yearly!$D:$AM, 10, FALSE), 1)</f>
        <v>0.19353718834793393</v>
      </c>
      <c r="Z8" s="7">
        <f>$B8 * IFERROR(VLOOKUP("industry|PM25|Asthma symptoms wheeze", US_national_yearly!$D:$AM, 34, FALSE) / VLOOKUP("industry|PM25|Asthma symptoms wheeze", US_national_yearly!$D:$AM, 10, FALSE), 1)</f>
        <v>0.19353718834793393</v>
      </c>
      <c r="AA8" s="7">
        <f>$B8 * IFERROR(VLOOKUP("industry|PM25|Asthma symptoms wheeze", US_national_yearly!$D:$AM, 35, FALSE) / VLOOKUP("industry|PM25|Asthma symptoms wheeze", US_national_yearly!$D:$AM, 10, FALSE), 1)</f>
        <v>0.19353718834793393</v>
      </c>
      <c r="AB8" s="7">
        <f>$B8 * IFERROR(VLOOKUP("industry|PM25|Asthma symptoms wheeze", US_national_yearly!$D:$AM, 36, FALSE) / VLOOKUP("industry|PM25|Asthma symptoms wheeze", US_national_yearly!$D:$AM, 10, FALSE), 1)</f>
        <v>0.19353718834793393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2.6300182531856569E-3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2.6449503492413417E-3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2.6598824452970264E-3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2.6748145413527111E-3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2.6897466374083967E-3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2.7058910497628928E-3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2.7220354621173893E-3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2.7373504683068347E-3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2.7526654744962804E-3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2.7679804806857253E-3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2.7832954868751707E-3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2.7986104930646165E-3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2.8094423679326319E-3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2.820274242800647E-3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2.8311061176686625E-3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2.8419379925366775E-3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2.852769867404693E-3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2.8629862404527941E-3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2.8732026135008955E-3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2.883418986548997E-3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2.8936353595970981E-3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2.9038517326452E-3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2.9136886145704221E-3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2.9235254964956442E-3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2.9333623784208672E-3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2.9431992603460898E-3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2.9530361422713119E-3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1.6246457101746284E-2</v>
      </c>
      <c r="C13" s="7">
        <f>$B13 * IFERROR(VLOOKUP("industry|PM25|Non-fatal heart attacks", US_national_yearly!$D:$AM, 11, FALSE) / VLOOKUP("industry|PM25|Non-fatal heart attacks", US_national_yearly!$D:$AM, 10, FALSE), 1)</f>
        <v>1.6719395727895225E-2</v>
      </c>
      <c r="D13" s="7">
        <f>$B13 * IFERROR(VLOOKUP("industry|PM25|Non-fatal heart attacks", US_national_yearly!$D:$AM, 12, FALSE) / VLOOKUP("industry|PM25|Non-fatal heart attacks", US_national_yearly!$D:$AM, 10, FALSE), 1)</f>
        <v>1.7192334354044162E-2</v>
      </c>
      <c r="E13" s="7">
        <f>$B13 * IFERROR(VLOOKUP("industry|PM25|Non-fatal heart attacks", US_national_yearly!$D:$AM, 13, FALSE) / VLOOKUP("industry|PM25|Non-fatal heart attacks", US_national_yearly!$D:$AM, 10, FALSE), 1)</f>
        <v>1.76652729801931E-2</v>
      </c>
      <c r="F13" s="7">
        <f>$B13 * IFERROR(VLOOKUP("industry|PM25|Non-fatal heart attacks", US_national_yearly!$D:$AM, 14, FALSE) / VLOOKUP("industry|PM25|Non-fatal heart attacks", US_national_yearly!$D:$AM, 10, FALSE), 1)</f>
        <v>1.813821160634204E-2</v>
      </c>
      <c r="G13" s="7">
        <f>$B13 * IFERROR(VLOOKUP("industry|PM25|Non-fatal heart attacks", US_national_yearly!$D:$AM, 15, FALSE) / VLOOKUP("industry|PM25|Non-fatal heart attacks", US_national_yearly!$D:$AM, 10, FALSE), 1)</f>
        <v>1.8584698923268229E-2</v>
      </c>
      <c r="H13" s="7">
        <f>$B13 * IFERROR(VLOOKUP("industry|PM25|Non-fatal heart attacks", US_national_yearly!$D:$AM, 16, FALSE) / VLOOKUP("industry|PM25|Non-fatal heart attacks", US_national_yearly!$D:$AM, 10, FALSE), 1)</f>
        <v>1.9031186240194422E-2</v>
      </c>
      <c r="I13" s="7">
        <f>$B13 * IFERROR(VLOOKUP("industry|PM25|Non-fatal heart attacks", US_national_yearly!$D:$AM, 17, FALSE) / VLOOKUP("industry|PM25|Non-fatal heart attacks", US_national_yearly!$D:$AM, 10, FALSE), 1)</f>
        <v>1.9391728872026438E-2</v>
      </c>
      <c r="J13" s="7">
        <f>$B13 * IFERROR(VLOOKUP("industry|PM25|Non-fatal heart attacks", US_national_yearly!$D:$AM, 18, FALSE) / VLOOKUP("industry|PM25|Non-fatal heart attacks", US_national_yearly!$D:$AM, 10, FALSE), 1)</f>
        <v>1.975227150385845E-2</v>
      </c>
      <c r="K13" s="7">
        <f>$B13 * IFERROR(VLOOKUP("industry|PM25|Non-fatal heart attacks", US_national_yearly!$D:$AM, 19, FALSE) / VLOOKUP("industry|PM25|Non-fatal heart attacks", US_national_yearly!$D:$AM, 10, FALSE), 1)</f>
        <v>2.0112814135690462E-2</v>
      </c>
      <c r="L13" s="7">
        <f>$B13 * IFERROR(VLOOKUP("industry|PM25|Non-fatal heart attacks", US_national_yearly!$D:$AM, 20, FALSE) / VLOOKUP("industry|PM25|Non-fatal heart attacks", US_national_yearly!$D:$AM, 10, FALSE), 1)</f>
        <v>2.0473356767522474E-2</v>
      </c>
      <c r="M13" s="7">
        <f>$B13 * IFERROR(VLOOKUP("industry|PM25|Non-fatal heart attacks", US_national_yearly!$D:$AM, 21, FALSE) / VLOOKUP("industry|PM25|Non-fatal heart attacks", US_national_yearly!$D:$AM, 10, FALSE), 1)</f>
        <v>2.0833899399354483E-2</v>
      </c>
      <c r="N13" s="7">
        <f>$B13 * IFERROR(VLOOKUP("industry|PM25|Non-fatal heart attacks", US_national_yearly!$D:$AM, 22, FALSE) / VLOOKUP("industry|PM25|Non-fatal heart attacks", US_national_yearly!$D:$AM, 10, FALSE), 1)</f>
        <v>2.1067010289786924E-2</v>
      </c>
      <c r="O13" s="7">
        <f>$B13 * IFERROR(VLOOKUP("industry|PM25|Non-fatal heart attacks", US_national_yearly!$D:$AM, 23, FALSE) / VLOOKUP("industry|PM25|Non-fatal heart attacks", US_national_yearly!$D:$AM, 10, FALSE), 1)</f>
        <v>2.1300121180219365E-2</v>
      </c>
      <c r="P13" s="7">
        <f>$B13 * IFERROR(VLOOKUP("industry|PM25|Non-fatal heart attacks", US_national_yearly!$D:$AM, 24, FALSE) / VLOOKUP("industry|PM25|Non-fatal heart attacks", US_national_yearly!$D:$AM, 10, FALSE), 1)</f>
        <v>2.1533232070651803E-2</v>
      </c>
      <c r="Q13" s="7">
        <f>$B13 * IFERROR(VLOOKUP("industry|PM25|Non-fatal heart attacks", US_national_yearly!$D:$AM, 25, FALSE) / VLOOKUP("industry|PM25|Non-fatal heart attacks", US_national_yearly!$D:$AM, 10, FALSE), 1)</f>
        <v>2.1766342961084241E-2</v>
      </c>
      <c r="R13" s="7">
        <f>$B13 * IFERROR(VLOOKUP("industry|PM25|Non-fatal heart attacks", US_national_yearly!$D:$AM, 26, FALSE) / VLOOKUP("industry|PM25|Non-fatal heart attacks", US_national_yearly!$D:$AM, 10, FALSE), 1)</f>
        <v>2.1999453851516679E-2</v>
      </c>
      <c r="S13" s="7">
        <f>$B13 * IFERROR(VLOOKUP("industry|PM25|Non-fatal heart attacks", US_national_yearly!$D:$AM, 27, FALSE) / VLOOKUP("industry|PM25|Non-fatal heart attacks", US_national_yearly!$D:$AM, 10, FALSE), 1)</f>
        <v>2.212395926150516E-2</v>
      </c>
      <c r="T13" s="7">
        <f>$B13 * IFERROR(VLOOKUP("industry|PM25|Non-fatal heart attacks", US_national_yearly!$D:$AM, 28, FALSE) / VLOOKUP("industry|PM25|Non-fatal heart attacks", US_national_yearly!$D:$AM, 10, FALSE), 1)</f>
        <v>2.2248464671493648E-2</v>
      </c>
      <c r="U13" s="7">
        <f>$B13 * IFERROR(VLOOKUP("industry|PM25|Non-fatal heart attacks", US_national_yearly!$D:$AM, 29, FALSE) / VLOOKUP("industry|PM25|Non-fatal heart attacks", US_national_yearly!$D:$AM, 10, FALSE), 1)</f>
        <v>2.2372970081482133E-2</v>
      </c>
      <c r="V13" s="7">
        <f>$B13 * IFERROR(VLOOKUP("industry|PM25|Non-fatal heart attacks", US_national_yearly!$D:$AM, 30, FALSE) / VLOOKUP("industry|PM25|Non-fatal heart attacks", US_national_yearly!$D:$AM, 10, FALSE), 1)</f>
        <v>2.2497475491470617E-2</v>
      </c>
      <c r="W13" s="7">
        <f>$B13 * IFERROR(VLOOKUP("industry|PM25|Non-fatal heart attacks", US_national_yearly!$D:$AM, 31, FALSE) / VLOOKUP("industry|PM25|Non-fatal heart attacks", US_national_yearly!$D:$AM, 10, FALSE), 1)</f>
        <v>2.2621980901459105E-2</v>
      </c>
      <c r="X13" s="7">
        <f>$B13 * IFERROR(VLOOKUP("industry|PM25|Non-fatal heart attacks", US_national_yearly!$D:$AM, 32, FALSE) / VLOOKUP("industry|PM25|Non-fatal heart attacks", US_national_yearly!$D:$AM, 10, FALSE), 1)</f>
        <v>2.2718073373431305E-2</v>
      </c>
      <c r="Y13" s="7">
        <f>$B13 * IFERROR(VLOOKUP("industry|PM25|Non-fatal heart attacks", US_national_yearly!$D:$AM, 33, FALSE) / VLOOKUP("industry|PM25|Non-fatal heart attacks", US_national_yearly!$D:$AM, 10, FALSE), 1)</f>
        <v>2.2814165845403502E-2</v>
      </c>
      <c r="Z13" s="7">
        <f>$B13 * IFERROR(VLOOKUP("industry|PM25|Non-fatal heart attacks", US_national_yearly!$D:$AM, 34, FALSE) / VLOOKUP("industry|PM25|Non-fatal heart attacks", US_national_yearly!$D:$AM, 10, FALSE), 1)</f>
        <v>2.2910258317375701E-2</v>
      </c>
      <c r="AA13" s="7">
        <f>$B13 * IFERROR(VLOOKUP("industry|PM25|Non-fatal heart attacks", US_national_yearly!$D:$AM, 35, FALSE) / VLOOKUP("industry|PM25|Non-fatal heart attacks", US_national_yearly!$D:$AM, 10, FALSE), 1)</f>
        <v>2.3006350789347901E-2</v>
      </c>
      <c r="AB13" s="7">
        <f>$B13 * IFERROR(VLOOKUP("industry|PM25|Non-fatal heart attacks", US_national_yearly!$D:$AM, 36, FALSE) / VLOOKUP("industry|PM25|Non-fatal heart attacks", US_national_yearly!$D:$AM, 10, FALSE), 1)</f>
        <v>2.3102443261320101E-2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12.051609334705189</v>
      </c>
      <c r="C14" s="7">
        <f>$B14 * IFERROR(VLOOKUP("industry|PM25|Minor restricted activity days", US_national_yearly!$D:$AM, 11, FALSE) / VLOOKUP("industry|PM25|Minor restricted activity days", US_national_yearly!$D:$AM, 10, FALSE), 1)</f>
        <v>12.081125723589821</v>
      </c>
      <c r="D14" s="7">
        <f>$B14 * IFERROR(VLOOKUP("industry|PM25|Minor restricted activity days", US_national_yearly!$D:$AM, 12, FALSE) / VLOOKUP("industry|PM25|Minor restricted activity days", US_national_yearly!$D:$AM, 10, FALSE), 1)</f>
        <v>12.110642112474457</v>
      </c>
      <c r="E14" s="7">
        <f>$B14 * IFERROR(VLOOKUP("industry|PM25|Minor restricted activity days", US_national_yearly!$D:$AM, 13, FALSE) / VLOOKUP("industry|PM25|Minor restricted activity days", US_national_yearly!$D:$AM, 10, FALSE), 1)</f>
        <v>12.140158501359089</v>
      </c>
      <c r="F14" s="7">
        <f>$B14 * IFERROR(VLOOKUP("industry|PM25|Minor restricted activity days", US_national_yearly!$D:$AM, 14, FALSE) / VLOOKUP("industry|PM25|Minor restricted activity days", US_national_yearly!$D:$AM, 10, FALSE), 1)</f>
        <v>12.169674890243721</v>
      </c>
      <c r="G14" s="7">
        <f>$B14 * IFERROR(VLOOKUP("industry|PM25|Minor restricted activity days", US_national_yearly!$D:$AM, 15, FALSE) / VLOOKUP("industry|PM25|Minor restricted activity days", US_national_yearly!$D:$AM, 10, FALSE), 1)</f>
        <v>12.213000151866968</v>
      </c>
      <c r="H14" s="7">
        <f>$B14 * IFERROR(VLOOKUP("industry|PM25|Minor restricted activity days", US_national_yearly!$D:$AM, 16, FALSE) / VLOOKUP("industry|PM25|Minor restricted activity days", US_national_yearly!$D:$AM, 10, FALSE), 1)</f>
        <v>12.256325413490211</v>
      </c>
      <c r="I14" s="7">
        <f>$B14 * IFERROR(VLOOKUP("industry|PM25|Minor restricted activity days", US_national_yearly!$D:$AM, 17, FALSE) / VLOOKUP("industry|PM25|Minor restricted activity days", US_national_yearly!$D:$AM, 10, FALSE), 1)</f>
        <v>12.329923892875705</v>
      </c>
      <c r="J14" s="7">
        <f>$B14 * IFERROR(VLOOKUP("industry|PM25|Minor restricted activity days", US_national_yearly!$D:$AM, 18, FALSE) / VLOOKUP("industry|PM25|Minor restricted activity days", US_national_yearly!$D:$AM, 10, FALSE), 1)</f>
        <v>12.4035223722612</v>
      </c>
      <c r="K14" s="7">
        <f>$B14 * IFERROR(VLOOKUP("industry|PM25|Minor restricted activity days", US_national_yearly!$D:$AM, 19, FALSE) / VLOOKUP("industry|PM25|Minor restricted activity days", US_national_yearly!$D:$AM, 10, FALSE), 1)</f>
        <v>12.477120851646692</v>
      </c>
      <c r="L14" s="7">
        <f>$B14 * IFERROR(VLOOKUP("industry|PM25|Minor restricted activity days", US_national_yearly!$D:$AM, 20, FALSE) / VLOOKUP("industry|PM25|Minor restricted activity days", US_national_yearly!$D:$AM, 10, FALSE), 1)</f>
        <v>12.550719331032184</v>
      </c>
      <c r="M14" s="7">
        <f>$B14 * IFERROR(VLOOKUP("industry|PM25|Minor restricted activity days", US_national_yearly!$D:$AM, 21, FALSE) / VLOOKUP("industry|PM25|Minor restricted activity days", US_national_yearly!$D:$AM, 10, FALSE), 1)</f>
        <v>12.624317810417677</v>
      </c>
      <c r="N14" s="7">
        <f>$B14 * IFERROR(VLOOKUP("industry|PM25|Minor restricted activity days", US_national_yearly!$D:$AM, 22, FALSE) / VLOOKUP("industry|PM25|Minor restricted activity days", US_national_yearly!$D:$AM, 10, FALSE), 1)</f>
        <v>12.724860600440575</v>
      </c>
      <c r="O14" s="7">
        <f>$B14 * IFERROR(VLOOKUP("industry|PM25|Minor restricted activity days", US_national_yearly!$D:$AM, 23, FALSE) / VLOOKUP("industry|PM25|Minor restricted activity days", US_national_yearly!$D:$AM, 10, FALSE), 1)</f>
        <v>12.825403390463483</v>
      </c>
      <c r="P14" s="7">
        <f>$B14 * IFERROR(VLOOKUP("industry|PM25|Minor restricted activity days", US_national_yearly!$D:$AM, 24, FALSE) / VLOOKUP("industry|PM25|Minor restricted activity days", US_national_yearly!$D:$AM, 10, FALSE), 1)</f>
        <v>12.925946180486381</v>
      </c>
      <c r="Q14" s="7">
        <f>$B14 * IFERROR(VLOOKUP("industry|PM25|Minor restricted activity days", US_national_yearly!$D:$AM, 25, FALSE) / VLOOKUP("industry|PM25|Minor restricted activity days", US_national_yearly!$D:$AM, 10, FALSE), 1)</f>
        <v>13.026488970509293</v>
      </c>
      <c r="R14" s="7">
        <f>$B14 * IFERROR(VLOOKUP("industry|PM25|Minor restricted activity days", US_national_yearly!$D:$AM, 26, FALSE) / VLOOKUP("industry|PM25|Minor restricted activity days", US_national_yearly!$D:$AM, 10, FALSE), 1)</f>
        <v>13.127031760532189</v>
      </c>
      <c r="S14" s="7">
        <f>$B14 * IFERROR(VLOOKUP("industry|PM25|Minor restricted activity days", US_national_yearly!$D:$AM, 27, FALSE) / VLOOKUP("industry|PM25|Minor restricted activity days", US_national_yearly!$D:$AM, 10, FALSE), 1)</f>
        <v>13.228539800661293</v>
      </c>
      <c r="T14" s="7">
        <f>$B14 * IFERROR(VLOOKUP("industry|PM25|Minor restricted activity days", US_national_yearly!$D:$AM, 28, FALSE) / VLOOKUP("industry|PM25|Minor restricted activity days", US_national_yearly!$D:$AM, 10, FALSE), 1)</f>
        <v>13.330047840790401</v>
      </c>
      <c r="U14" s="7">
        <f>$B14 * IFERROR(VLOOKUP("industry|PM25|Minor restricted activity days", US_national_yearly!$D:$AM, 29, FALSE) / VLOOKUP("industry|PM25|Minor restricted activity days", US_national_yearly!$D:$AM, 10, FALSE), 1)</f>
        <v>13.431555880919504</v>
      </c>
      <c r="V14" s="7">
        <f>$B14 * IFERROR(VLOOKUP("industry|PM25|Minor restricted activity days", US_national_yearly!$D:$AM, 30, FALSE) / VLOOKUP("industry|PM25|Minor restricted activity days", US_national_yearly!$D:$AM, 10, FALSE), 1)</f>
        <v>13.533063921048608</v>
      </c>
      <c r="W14" s="7">
        <f>$B14 * IFERROR(VLOOKUP("industry|PM25|Minor restricted activity days", US_national_yearly!$D:$AM, 31, FALSE) / VLOOKUP("industry|PM25|Minor restricted activity days", US_national_yearly!$D:$AM, 10, FALSE), 1)</f>
        <v>13.634571961177715</v>
      </c>
      <c r="X14" s="7">
        <f>$B14 * IFERROR(VLOOKUP("industry|PM25|Minor restricted activity days", US_national_yearly!$D:$AM, 32, FALSE) / VLOOKUP("industry|PM25|Minor restricted activity days", US_national_yearly!$D:$AM, 10, FALSE), 1)</f>
        <v>13.722778730523062</v>
      </c>
      <c r="Y14" s="7">
        <f>$B14 * IFERROR(VLOOKUP("industry|PM25|Minor restricted activity days", US_national_yearly!$D:$AM, 33, FALSE) / VLOOKUP("industry|PM25|Minor restricted activity days", US_national_yearly!$D:$AM, 10, FALSE), 1)</f>
        <v>13.81098549986841</v>
      </c>
      <c r="Z14" s="7">
        <f>$B14 * IFERROR(VLOOKUP("industry|PM25|Minor restricted activity days", US_national_yearly!$D:$AM, 34, FALSE) / VLOOKUP("industry|PM25|Minor restricted activity days", US_national_yearly!$D:$AM, 10, FALSE), 1)</f>
        <v>13.89919226921376</v>
      </c>
      <c r="AA14" s="7">
        <f>$B14 * IFERROR(VLOOKUP("industry|PM25|Minor restricted activity days", US_national_yearly!$D:$AM, 35, FALSE) / VLOOKUP("industry|PM25|Minor restricted activity days", US_national_yearly!$D:$AM, 10, FALSE), 1)</f>
        <v>13.98739903855911</v>
      </c>
      <c r="AB14" s="7">
        <f>$B14 * IFERROR(VLOOKUP("industry|PM25|Minor restricted activity days", US_national_yearly!$D:$AM, 36, FALSE) / VLOOKUP("industry|PM25|Minor restricted activity days", US_national_yearly!$D:$AM, 10, FALSE), 1)</f>
        <v>14.075605807904457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2.0484525414981367</v>
      </c>
      <c r="C15" s="7">
        <f>$B15 * IFERROR(VLOOKUP("industry|PM25|Work loss days", US_national_yearly!$D:$AM, 11, FALSE) / VLOOKUP("industry|PM25|Work loss days", US_national_yearly!$D:$AM, 10, FALSE), 1)</f>
        <v>2.0548035668294844</v>
      </c>
      <c r="D15" s="7">
        <f>$B15 * IFERROR(VLOOKUP("industry|PM25|Work loss days", US_national_yearly!$D:$AM, 12, FALSE) / VLOOKUP("industry|PM25|Work loss days", US_national_yearly!$D:$AM, 10, FALSE), 1)</f>
        <v>2.0611545921608321</v>
      </c>
      <c r="E15" s="7">
        <f>$B15 * IFERROR(VLOOKUP("industry|PM25|Work loss days", US_national_yearly!$D:$AM, 13, FALSE) / VLOOKUP("industry|PM25|Work loss days", US_national_yearly!$D:$AM, 10, FALSE), 1)</f>
        <v>2.0675056174921793</v>
      </c>
      <c r="F15" s="7">
        <f>$B15 * IFERROR(VLOOKUP("industry|PM25|Work loss days", US_national_yearly!$D:$AM, 14, FALSE) / VLOOKUP("industry|PM25|Work loss days", US_national_yearly!$D:$AM, 10, FALSE), 1)</f>
        <v>2.073856642823527</v>
      </c>
      <c r="G15" s="7">
        <f>$B15 * IFERROR(VLOOKUP("industry|PM25|Work loss days", US_national_yearly!$D:$AM, 15, FALSE) / VLOOKUP("industry|PM25|Work loss days", US_national_yearly!$D:$AM, 10, FALSE), 1)</f>
        <v>2.0821481844722407</v>
      </c>
      <c r="H15" s="7">
        <f>$B15 * IFERROR(VLOOKUP("industry|PM25|Work loss days", US_national_yearly!$D:$AM, 16, FALSE) / VLOOKUP("industry|PM25|Work loss days", US_national_yearly!$D:$AM, 10, FALSE), 1)</f>
        <v>2.0904397261209544</v>
      </c>
      <c r="I15" s="7">
        <f>$B15 * IFERROR(VLOOKUP("industry|PM25|Work loss days", US_national_yearly!$D:$AM, 17, FALSE) / VLOOKUP("industry|PM25|Work loss days", US_national_yearly!$D:$AM, 10, FALSE), 1)</f>
        <v>2.1025811819923677</v>
      </c>
      <c r="J15" s="7">
        <f>$B15 * IFERROR(VLOOKUP("industry|PM25|Work loss days", US_national_yearly!$D:$AM, 18, FALSE) / VLOOKUP("industry|PM25|Work loss days", US_national_yearly!$D:$AM, 10, FALSE), 1)</f>
        <v>2.1147226378637805</v>
      </c>
      <c r="K15" s="7">
        <f>$B15 * IFERROR(VLOOKUP("industry|PM25|Work loss days", US_national_yearly!$D:$AM, 19, FALSE) / VLOOKUP("industry|PM25|Work loss days", US_national_yearly!$D:$AM, 10, FALSE), 1)</f>
        <v>2.1268640937351928</v>
      </c>
      <c r="L15" s="7">
        <f>$B15 * IFERROR(VLOOKUP("industry|PM25|Work loss days", US_national_yearly!$D:$AM, 20, FALSE) / VLOOKUP("industry|PM25|Work loss days", US_national_yearly!$D:$AM, 10, FALSE), 1)</f>
        <v>2.139005549606606</v>
      </c>
      <c r="M15" s="7">
        <f>$B15 * IFERROR(VLOOKUP("industry|PM25|Work loss days", US_national_yearly!$D:$AM, 21, FALSE) / VLOOKUP("industry|PM25|Work loss days", US_national_yearly!$D:$AM, 10, FALSE), 1)</f>
        <v>2.1511470054780188</v>
      </c>
      <c r="N15" s="7">
        <f>$B15 * IFERROR(VLOOKUP("industry|PM25|Work loss days", US_national_yearly!$D:$AM, 22, FALSE) / VLOOKUP("industry|PM25|Work loss days", US_national_yearly!$D:$AM, 10, FALSE), 1)</f>
        <v>2.1664679291259099</v>
      </c>
      <c r="O15" s="7">
        <f>$B15 * IFERROR(VLOOKUP("industry|PM25|Work loss days", US_national_yearly!$D:$AM, 23, FALSE) / VLOOKUP("industry|PM25|Work loss days", US_national_yearly!$D:$AM, 10, FALSE), 1)</f>
        <v>2.181788852773801</v>
      </c>
      <c r="P15" s="7">
        <f>$B15 * IFERROR(VLOOKUP("industry|PM25|Work loss days", US_national_yearly!$D:$AM, 24, FALSE) / VLOOKUP("industry|PM25|Work loss days", US_national_yearly!$D:$AM, 10, FALSE), 1)</f>
        <v>2.1971097764216916</v>
      </c>
      <c r="Q15" s="7">
        <f>$B15 * IFERROR(VLOOKUP("industry|PM25|Work loss days", US_national_yearly!$D:$AM, 25, FALSE) / VLOOKUP("industry|PM25|Work loss days", US_national_yearly!$D:$AM, 10, FALSE), 1)</f>
        <v>2.2124307000695831</v>
      </c>
      <c r="R15" s="7">
        <f>$B15 * IFERROR(VLOOKUP("industry|PM25|Work loss days", US_national_yearly!$D:$AM, 26, FALSE) / VLOOKUP("industry|PM25|Work loss days", US_national_yearly!$D:$AM, 10, FALSE), 1)</f>
        <v>2.2277516237174737</v>
      </c>
      <c r="S15" s="7">
        <f>$B15 * IFERROR(VLOOKUP("industry|PM25|Work loss days", US_national_yearly!$D:$AM, 27, FALSE) / VLOOKUP("industry|PM25|Work loss days", US_national_yearly!$D:$AM, 10, FALSE), 1)</f>
        <v>2.2447403560189967</v>
      </c>
      <c r="T15" s="7">
        <f>$B15 * IFERROR(VLOOKUP("industry|PM25|Work loss days", US_national_yearly!$D:$AM, 28, FALSE) / VLOOKUP("industry|PM25|Work loss days", US_national_yearly!$D:$AM, 10, FALSE), 1)</f>
        <v>2.2617290883205192</v>
      </c>
      <c r="U15" s="7">
        <f>$B15 * IFERROR(VLOOKUP("industry|PM25|Work loss days", US_national_yearly!$D:$AM, 29, FALSE) / VLOOKUP("industry|PM25|Work loss days", US_national_yearly!$D:$AM, 10, FALSE), 1)</f>
        <v>2.2787178206220418</v>
      </c>
      <c r="V15" s="7">
        <f>$B15 * IFERROR(VLOOKUP("industry|PM25|Work loss days", US_national_yearly!$D:$AM, 30, FALSE) / VLOOKUP("industry|PM25|Work loss days", US_national_yearly!$D:$AM, 10, FALSE), 1)</f>
        <v>2.2957065529235647</v>
      </c>
      <c r="W15" s="7">
        <f>$B15 * IFERROR(VLOOKUP("industry|PM25|Work loss days", US_national_yearly!$D:$AM, 31, FALSE) / VLOOKUP("industry|PM25|Work loss days", US_national_yearly!$D:$AM, 10, FALSE), 1)</f>
        <v>2.3126952852250877</v>
      </c>
      <c r="X15" s="7">
        <f>$B15 * IFERROR(VLOOKUP("industry|PM25|Work loss days", US_national_yearly!$D:$AM, 32, FALSE) / VLOOKUP("industry|PM25|Work loss days", US_national_yearly!$D:$AM, 10, FALSE), 1)</f>
        <v>2.327792007724057</v>
      </c>
      <c r="Y15" s="7">
        <f>$B15 * IFERROR(VLOOKUP("industry|PM25|Work loss days", US_national_yearly!$D:$AM, 33, FALSE) / VLOOKUP("industry|PM25|Work loss days", US_national_yearly!$D:$AM, 10, FALSE), 1)</f>
        <v>2.3428887302230264</v>
      </c>
      <c r="Z15" s="7">
        <f>$B15 * IFERROR(VLOOKUP("industry|PM25|Work loss days", US_national_yearly!$D:$AM, 34, FALSE) / VLOOKUP("industry|PM25|Work loss days", US_national_yearly!$D:$AM, 10, FALSE), 1)</f>
        <v>2.3579854527219961</v>
      </c>
      <c r="AA15" s="7">
        <f>$B15 * IFERROR(VLOOKUP("industry|PM25|Work loss days", US_national_yearly!$D:$AM, 35, FALSE) / VLOOKUP("industry|PM25|Work loss days", US_national_yearly!$D:$AM, 10, FALSE), 1)</f>
        <v>2.3730821752209654</v>
      </c>
      <c r="AB15" s="7">
        <f>$B15 * IFERROR(VLOOKUP("industry|PM25|Work loss days", US_national_yearly!$D:$AM, 36, FALSE) / VLOOKUP("industry|PM25|Work loss days", US_national_yearly!$D:$AM, 10, FALSE), 1)</f>
        <v>2.3881788977199352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4.1076519074306449E-3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4.2305144094817787E-3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4.3533769115329133E-3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4.4762394135840471E-3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4.5991019156351801E-3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4.7168567680800581E-3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4.8346116205249343E-3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4.9357144807227107E-3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5.0368173409204853E-3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5.1379202011182625E-3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5.239023061316038E-3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5.3401259215138134E-3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5.4076630132986548E-3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5.4752001050834944E-3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5.5427371968683348E-3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5.6102742886531744E-3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5.6778113804380149E-3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5.7139961164053513E-3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5.7501808523726886E-3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5.7863655883400259E-3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5.8225503243073623E-3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5.8587350602746988E-3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5.8835829214677832E-3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5.9084307826608659E-3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5.9332786438539495E-3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5.9581265050470313E-3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5.9829743662401149E-3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6.3789681976564002E-4</v>
      </c>
      <c r="C2" s="7">
        <f>$B2 * IFERROR(VLOOKUP("industry|NOx|Premature mortality", US_national_yearly!$D:$AM, 11, FALSE) / VLOOKUP("industry|NOx|Premature mortality", US_national_yearly!$D:$AM, 10, FALSE), 1)</f>
        <v>6.4732923260532908E-4</v>
      </c>
      <c r="D2" s="7">
        <f>$B2 * IFERROR(VLOOKUP("industry|NOx|Premature mortality", US_national_yearly!$D:$AM, 12, FALSE) / VLOOKUP("industry|NOx|Premature mortality", US_national_yearly!$D:$AM, 10, FALSE), 1)</f>
        <v>6.5676164544501824E-4</v>
      </c>
      <c r="E2" s="7">
        <f>$B2 * IFERROR(VLOOKUP("industry|NOx|Premature mortality", US_national_yearly!$D:$AM, 13, FALSE) / VLOOKUP("industry|NOx|Premature mortality", US_national_yearly!$D:$AM, 10, FALSE), 1)</f>
        <v>6.6619405828470719E-4</v>
      </c>
      <c r="F2" s="7">
        <f>$B2 * IFERROR(VLOOKUP("industry|NOx|Premature mortality", US_national_yearly!$D:$AM, 14, FALSE) / VLOOKUP("industry|NOx|Premature mortality", US_national_yearly!$D:$AM, 10, FALSE), 1)</f>
        <v>6.7562647112439636E-4</v>
      </c>
      <c r="G2" s="7">
        <f>$B2 * IFERROR(VLOOKUP("industry|NOx|Premature mortality", US_national_yearly!$D:$AM, 15, FALSE) / VLOOKUP("industry|NOx|Premature mortality", US_national_yearly!$D:$AM, 10, FALSE), 1)</f>
        <v>6.9254231961941469E-4</v>
      </c>
      <c r="H2" s="7">
        <f>$B2 * IFERROR(VLOOKUP("industry|NOx|Premature mortality", US_national_yearly!$D:$AM, 16, FALSE) / VLOOKUP("industry|NOx|Premature mortality", US_national_yearly!$D:$AM, 10, FALSE), 1)</f>
        <v>7.0945816811443291E-4</v>
      </c>
      <c r="I2" s="7">
        <f>$B2 * IFERROR(VLOOKUP("industry|NOx|Premature mortality", US_national_yearly!$D:$AM, 17, FALSE) / VLOOKUP("industry|NOx|Premature mortality", US_national_yearly!$D:$AM, 10, FALSE), 1)</f>
        <v>7.2043204822570394E-4</v>
      </c>
      <c r="J2" s="7">
        <f>$B2 * IFERROR(VLOOKUP("industry|NOx|Premature mortality", US_national_yearly!$D:$AM, 18, FALSE) / VLOOKUP("industry|NOx|Premature mortality", US_national_yearly!$D:$AM, 10, FALSE), 1)</f>
        <v>7.3140592833697497E-4</v>
      </c>
      <c r="K2" s="7">
        <f>$B2 * IFERROR(VLOOKUP("industry|NOx|Premature mortality", US_national_yearly!$D:$AM, 19, FALSE) / VLOOKUP("industry|NOx|Premature mortality", US_national_yearly!$D:$AM, 10, FALSE), 1)</f>
        <v>7.4237980844824622E-4</v>
      </c>
      <c r="L2" s="7">
        <f>$B2 * IFERROR(VLOOKUP("industry|NOx|Premature mortality", US_national_yearly!$D:$AM, 20, FALSE) / VLOOKUP("industry|NOx|Premature mortality", US_national_yearly!$D:$AM, 10, FALSE), 1)</f>
        <v>7.5335368855951725E-4</v>
      </c>
      <c r="M2" s="7">
        <f>$B2 * IFERROR(VLOOKUP("industry|NOx|Premature mortality", US_national_yearly!$D:$AM, 21, FALSE) / VLOOKUP("industry|NOx|Premature mortality", US_national_yearly!$D:$AM, 10, FALSE), 1)</f>
        <v>7.6432756867078828E-4</v>
      </c>
      <c r="N2" s="7">
        <f>$B2 * IFERROR(VLOOKUP("industry|NOx|Premature mortality", US_national_yearly!$D:$AM, 22, FALSE) / VLOOKUP("industry|NOx|Premature mortality", US_national_yearly!$D:$AM, 10, FALSE), 1)</f>
        <v>7.7249356746009472E-4</v>
      </c>
      <c r="O2" s="7">
        <f>$B2 * IFERROR(VLOOKUP("industry|NOx|Premature mortality", US_national_yearly!$D:$AM, 23, FALSE) / VLOOKUP("industry|NOx|Premature mortality", US_national_yearly!$D:$AM, 10, FALSE), 1)</f>
        <v>7.8065956624940105E-4</v>
      </c>
      <c r="P2" s="7">
        <f>$B2 * IFERROR(VLOOKUP("industry|NOx|Premature mortality", US_national_yearly!$D:$AM, 24, FALSE) / VLOOKUP("industry|NOx|Premature mortality", US_national_yearly!$D:$AM, 10, FALSE), 1)</f>
        <v>7.8882556503870717E-4</v>
      </c>
      <c r="Q2" s="7">
        <f>$B2 * IFERROR(VLOOKUP("industry|NOx|Premature mortality", US_national_yearly!$D:$AM, 25, FALSE) / VLOOKUP("industry|NOx|Premature mortality", US_national_yearly!$D:$AM, 10, FALSE), 1)</f>
        <v>7.969915638280134E-4</v>
      </c>
      <c r="R2" s="7">
        <f>$B2 * IFERROR(VLOOKUP("industry|NOx|Premature mortality", US_national_yearly!$D:$AM, 26, FALSE) / VLOOKUP("industry|NOx|Premature mortality", US_national_yearly!$D:$AM, 10, FALSE), 1)</f>
        <v>8.0515756261731973E-4</v>
      </c>
      <c r="S2" s="7">
        <f>$B2 * IFERROR(VLOOKUP("industry|NOx|Premature mortality", US_national_yearly!$D:$AM, 27, FALSE) / VLOOKUP("industry|NOx|Premature mortality", US_national_yearly!$D:$AM, 10, FALSE), 1)</f>
        <v>8.0896014467141163E-4</v>
      </c>
      <c r="T2" s="7">
        <f>$B2 * IFERROR(VLOOKUP("industry|NOx|Premature mortality", US_national_yearly!$D:$AM, 28, FALSE) / VLOOKUP("industry|NOx|Premature mortality", US_national_yearly!$D:$AM, 10, FALSE), 1)</f>
        <v>8.1276272672550353E-4</v>
      </c>
      <c r="U2" s="7">
        <f>$B2 * IFERROR(VLOOKUP("industry|NOx|Premature mortality", US_national_yearly!$D:$AM, 29, FALSE) / VLOOKUP("industry|NOx|Premature mortality", US_national_yearly!$D:$AM, 10, FALSE), 1)</f>
        <v>8.1656530877959542E-4</v>
      </c>
      <c r="V2" s="7">
        <f>$B2 * IFERROR(VLOOKUP("industry|NOx|Premature mortality", US_national_yearly!$D:$AM, 30, FALSE) / VLOOKUP("industry|NOx|Premature mortality", US_national_yearly!$D:$AM, 10, FALSE), 1)</f>
        <v>8.2036789083368732E-4</v>
      </c>
      <c r="W2" s="7">
        <f>$B2 * IFERROR(VLOOKUP("industry|NOx|Premature mortality", US_national_yearly!$D:$AM, 31, FALSE) / VLOOKUP("industry|NOx|Premature mortality", US_national_yearly!$D:$AM, 10, FALSE), 1)</f>
        <v>8.2417047288777911E-4</v>
      </c>
      <c r="X2" s="7">
        <f>$B2 * IFERROR(VLOOKUP("industry|NOx|Premature mortality", US_national_yearly!$D:$AM, 32, FALSE) / VLOOKUP("industry|NOx|Premature mortality", US_national_yearly!$D:$AM, 10, FALSE), 1)</f>
        <v>8.244610783696805E-4</v>
      </c>
      <c r="Y2" s="7">
        <f>$B2 * IFERROR(VLOOKUP("industry|NOx|Premature mortality", US_national_yearly!$D:$AM, 33, FALSE) / VLOOKUP("industry|NOx|Premature mortality", US_national_yearly!$D:$AM, 10, FALSE), 1)</f>
        <v>8.2475168385158179E-4</v>
      </c>
      <c r="Z2" s="7">
        <f>$B2 * IFERROR(VLOOKUP("industry|NOx|Premature mortality", US_national_yearly!$D:$AM, 34, FALSE) / VLOOKUP("industry|NOx|Premature mortality", US_national_yearly!$D:$AM, 10, FALSE), 1)</f>
        <v>8.2504228933348318E-4</v>
      </c>
      <c r="AA2" s="7">
        <f>$B2 * IFERROR(VLOOKUP("industry|NOx|Premature mortality", US_national_yearly!$D:$AM, 35, FALSE) / VLOOKUP("industry|NOx|Premature mortality", US_national_yearly!$D:$AM, 10, FALSE), 1)</f>
        <v>8.2533289481538446E-4</v>
      </c>
      <c r="AB2" s="7">
        <f>$B2 * IFERROR(VLOOKUP("industry|NOx|Premature mortality", US_national_yearly!$D:$AM, 36, FALSE) / VLOOKUP("industry|NOx|Premature mortality", US_national_yearly!$D:$AM, 10, FALSE), 1)</f>
        <v>8.2562350029728585E-4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1.7125351650583465E-6</v>
      </c>
      <c r="C3" s="7">
        <f>$B3 * IFERROR(VLOOKUP("industry|NOx|Infant mortality", US_national_yearly!$D:$AM, 11, FALSE) / VLOOKUP("industry|NOx|Infant mortality", US_national_yearly!$D:$AM, 10, FALSE), 1)</f>
        <v>1.6961345027729137E-6</v>
      </c>
      <c r="D3" s="7">
        <f>$B3 * IFERROR(VLOOKUP("industry|NOx|Infant mortality", US_national_yearly!$D:$AM, 12, FALSE) / VLOOKUP("industry|NOx|Infant mortality", US_national_yearly!$D:$AM, 10, FALSE), 1)</f>
        <v>1.6797338404874807E-6</v>
      </c>
      <c r="E3" s="7">
        <f>$B3 * IFERROR(VLOOKUP("industry|NOx|Infant mortality", US_national_yearly!$D:$AM, 13, FALSE) / VLOOKUP("industry|NOx|Infant mortality", US_national_yearly!$D:$AM, 10, FALSE), 1)</f>
        <v>1.6633331782020479E-6</v>
      </c>
      <c r="F3" s="7">
        <f>$B3 * IFERROR(VLOOKUP("industry|NOx|Infant mortality", US_national_yearly!$D:$AM, 14, FALSE) / VLOOKUP("industry|NOx|Infant mortality", US_national_yearly!$D:$AM, 10, FALSE), 1)</f>
        <v>1.646932515916615E-6</v>
      </c>
      <c r="G3" s="7">
        <f>$B3 * IFERROR(VLOOKUP("industry|NOx|Infant mortality", US_national_yearly!$D:$AM, 15, FALSE) / VLOOKUP("industry|NOx|Infant mortality", US_national_yearly!$D:$AM, 10, FALSE), 1)</f>
        <v>1.0923909626290077E-6</v>
      </c>
      <c r="H3" s="7">
        <f>$B3 * IFERROR(VLOOKUP("industry|NOx|Infant mortality", US_national_yearly!$D:$AM, 16, FALSE) / VLOOKUP("industry|NOx|Infant mortality", US_national_yearly!$D:$AM, 10, FALSE), 1)</f>
        <v>5.3784940934140059E-7</v>
      </c>
      <c r="I3" s="7">
        <f>$B3 * IFERROR(VLOOKUP("industry|NOx|Infant mortality", US_national_yearly!$D:$AM, 17, FALSE) / VLOOKUP("industry|NOx|Infant mortality", US_national_yearly!$D:$AM, 10, FALSE), 1)</f>
        <v>5.3397174732354593E-7</v>
      </c>
      <c r="J3" s="7">
        <f>$B3 * IFERROR(VLOOKUP("industry|NOx|Infant mortality", US_national_yearly!$D:$AM, 18, FALSE) / VLOOKUP("industry|NOx|Infant mortality", US_national_yearly!$D:$AM, 10, FALSE), 1)</f>
        <v>5.3009408530569138E-7</v>
      </c>
      <c r="K3" s="7">
        <f>$B3 * IFERROR(VLOOKUP("industry|NOx|Infant mortality", US_national_yearly!$D:$AM, 19, FALSE) / VLOOKUP("industry|NOx|Infant mortality", US_national_yearly!$D:$AM, 10, FALSE), 1)</f>
        <v>5.2621642328783673E-7</v>
      </c>
      <c r="L3" s="7">
        <f>$B3 * IFERROR(VLOOKUP("industry|NOx|Infant mortality", US_national_yearly!$D:$AM, 20, FALSE) / VLOOKUP("industry|NOx|Infant mortality", US_national_yearly!$D:$AM, 10, FALSE), 1)</f>
        <v>5.2233876126998197E-7</v>
      </c>
      <c r="M3" s="7">
        <f>$B3 * IFERROR(VLOOKUP("industry|NOx|Infant mortality", US_national_yearly!$D:$AM, 21, FALSE) / VLOOKUP("industry|NOx|Infant mortality", US_national_yearly!$D:$AM, 10, FALSE), 1)</f>
        <v>5.1846109925212731E-7</v>
      </c>
      <c r="N3" s="7">
        <f>$B3 * IFERROR(VLOOKUP("industry|NOx|Infant mortality", US_national_yearly!$D:$AM, 22, FALSE) / VLOOKUP("industry|NOx|Infant mortality", US_national_yearly!$D:$AM, 10, FALSE), 1)</f>
        <v>5.1584850549404868E-7</v>
      </c>
      <c r="O3" s="7">
        <f>$B3 * IFERROR(VLOOKUP("industry|NOx|Infant mortality", US_national_yearly!$D:$AM, 23, FALSE) / VLOOKUP("industry|NOx|Infant mortality", US_national_yearly!$D:$AM, 10, FALSE), 1)</f>
        <v>5.1323591173596993E-7</v>
      </c>
      <c r="P3" s="7">
        <f>$B3 * IFERROR(VLOOKUP("industry|NOx|Infant mortality", US_national_yearly!$D:$AM, 24, FALSE) / VLOOKUP("industry|NOx|Infant mortality", US_national_yearly!$D:$AM, 10, FALSE), 1)</f>
        <v>5.106233179778913E-7</v>
      </c>
      <c r="Q3" s="7">
        <f>$B3 * IFERROR(VLOOKUP("industry|NOx|Infant mortality", US_national_yearly!$D:$AM, 25, FALSE) / VLOOKUP("industry|NOx|Infant mortality", US_national_yearly!$D:$AM, 10, FALSE), 1)</f>
        <v>5.0801072421981266E-7</v>
      </c>
      <c r="R3" s="7">
        <f>$B3 * IFERROR(VLOOKUP("industry|NOx|Infant mortality", US_national_yearly!$D:$AM, 26, FALSE) / VLOOKUP("industry|NOx|Infant mortality", US_national_yearly!$D:$AM, 10, FALSE), 1)</f>
        <v>5.0539813046173402E-7</v>
      </c>
      <c r="S3" s="7">
        <f>$B3 * IFERROR(VLOOKUP("industry|NOx|Infant mortality", US_national_yearly!$D:$AM, 27, FALSE) / VLOOKUP("industry|NOx|Infant mortality", US_national_yearly!$D:$AM, 10, FALSE), 1)</f>
        <v>5.022957220821643E-7</v>
      </c>
      <c r="T3" s="7">
        <f>$B3 * IFERROR(VLOOKUP("industry|NOx|Infant mortality", US_national_yearly!$D:$AM, 28, FALSE) / VLOOKUP("industry|NOx|Infant mortality", US_national_yearly!$D:$AM, 10, FALSE), 1)</f>
        <v>4.9919331370259468E-7</v>
      </c>
      <c r="U3" s="7">
        <f>$B3 * IFERROR(VLOOKUP("industry|NOx|Infant mortality", US_national_yearly!$D:$AM, 29, FALSE) / VLOOKUP("industry|NOx|Infant mortality", US_national_yearly!$D:$AM, 10, FALSE), 1)</f>
        <v>4.9609090532302495E-7</v>
      </c>
      <c r="V3" s="7">
        <f>$B3 * IFERROR(VLOOKUP("industry|NOx|Infant mortality", US_national_yearly!$D:$AM, 30, FALSE) / VLOOKUP("industry|NOx|Infant mortality", US_national_yearly!$D:$AM, 10, FALSE), 1)</f>
        <v>4.9298849694345533E-7</v>
      </c>
      <c r="W3" s="7">
        <f>$B3 * IFERROR(VLOOKUP("industry|NOx|Infant mortality", US_national_yearly!$D:$AM, 31, FALSE) / VLOOKUP("industry|NOx|Infant mortality", US_national_yearly!$D:$AM, 10, FALSE), 1)</f>
        <v>4.8988608856388571E-7</v>
      </c>
      <c r="X3" s="7">
        <f>$B3 * IFERROR(VLOOKUP("industry|NOx|Infant mortality", US_national_yearly!$D:$AM, 32, FALSE) / VLOOKUP("industry|NOx|Infant mortality", US_national_yearly!$D:$AM, 10, FALSE), 1)</f>
        <v>4.8662821624164113E-7</v>
      </c>
      <c r="Y3" s="7">
        <f>$B3 * IFERROR(VLOOKUP("industry|NOx|Infant mortality", US_national_yearly!$D:$AM, 33, FALSE) / VLOOKUP("industry|NOx|Infant mortality", US_national_yearly!$D:$AM, 10, FALSE), 1)</f>
        <v>4.8337034391939666E-7</v>
      </c>
      <c r="Z3" s="7">
        <f>$B3 * IFERROR(VLOOKUP("industry|NOx|Infant mortality", US_national_yearly!$D:$AM, 34, FALSE) / VLOOKUP("industry|NOx|Infant mortality", US_national_yearly!$D:$AM, 10, FALSE), 1)</f>
        <v>4.8011247159715219E-7</v>
      </c>
      <c r="AA3" s="7">
        <f>$B3 * IFERROR(VLOOKUP("industry|NOx|Infant mortality", US_national_yearly!$D:$AM, 35, FALSE) / VLOOKUP("industry|NOx|Infant mortality", US_national_yearly!$D:$AM, 10, FALSE), 1)</f>
        <v>4.7685459927490771E-7</v>
      </c>
      <c r="AB3" s="7">
        <f>$B3 * IFERROR(VLOOKUP("industry|NOx|Infant mortality", US_national_yearly!$D:$AM, 36, FALSE) / VLOOKUP("industry|NOx|Infant mortality", US_national_yearly!$D:$AM, 10, FALSE), 1)</f>
        <v>4.7359672695266318E-7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1.7019630154601021E-3</v>
      </c>
      <c r="C6" s="7">
        <f>$B6 * IFERROR(VLOOKUP("industry|NOx|Asthma symptoms cough", US_national_yearly!$D:$AM, 11, FALSE) / VLOOKUP("industry|NOx|Asthma symptoms cough", US_national_yearly!$D:$AM, 10, FALSE), 1)</f>
        <v>1.7252464470183422E-3</v>
      </c>
      <c r="D6" s="7">
        <f>$B6 * IFERROR(VLOOKUP("industry|NOx|Asthma symptoms cough", US_national_yearly!$D:$AM, 12, FALSE) / VLOOKUP("industry|NOx|Asthma symptoms cough", US_national_yearly!$D:$AM, 10, FALSE), 1)</f>
        <v>1.7485298785765823E-3</v>
      </c>
      <c r="E6" s="7">
        <f>$B6 * IFERROR(VLOOKUP("industry|NOx|Asthma symptoms cough", US_national_yearly!$D:$AM, 13, FALSE) / VLOOKUP("industry|NOx|Asthma symptoms cough", US_national_yearly!$D:$AM, 10, FALSE), 1)</f>
        <v>1.7718133101348225E-3</v>
      </c>
      <c r="F6" s="7">
        <f>$B6 * IFERROR(VLOOKUP("industry|NOx|Asthma symptoms cough", US_national_yearly!$D:$AM, 14, FALSE) / VLOOKUP("industry|NOx|Asthma symptoms cough", US_national_yearly!$D:$AM, 10, FALSE), 1)</f>
        <v>1.7950967416930626E-3</v>
      </c>
      <c r="G6" s="7">
        <f>$B6 * IFERROR(VLOOKUP("industry|NOx|Asthma symptoms cough", US_national_yearly!$D:$AM, 15, FALSE) / VLOOKUP("industry|NOx|Asthma symptoms cough", US_national_yearly!$D:$AM, 10, FALSE), 1)</f>
        <v>1.8137664416706042E-3</v>
      </c>
      <c r="H6" s="7">
        <f>$B6 * IFERROR(VLOOKUP("industry|NOx|Asthma symptoms cough", US_national_yearly!$D:$AM, 16, FALSE) / VLOOKUP("industry|NOx|Asthma symptoms cough", US_national_yearly!$D:$AM, 10, FALSE), 1)</f>
        <v>1.8324361416481466E-3</v>
      </c>
      <c r="I6" s="7">
        <f>$B6 * IFERROR(VLOOKUP("industry|NOx|Asthma symptoms cough", US_national_yearly!$D:$AM, 17, FALSE) / VLOOKUP("industry|NOx|Asthma symptoms cough", US_national_yearly!$D:$AM, 10, FALSE), 1)</f>
        <v>1.83893336274847E-3</v>
      </c>
      <c r="J6" s="7">
        <f>$B6 * IFERROR(VLOOKUP("industry|NOx|Asthma symptoms cough", US_national_yearly!$D:$AM, 18, FALSE) / VLOOKUP("industry|NOx|Asthma symptoms cough", US_national_yearly!$D:$AM, 10, FALSE), 1)</f>
        <v>1.8454305838487941E-3</v>
      </c>
      <c r="K6" s="7">
        <f>$B6 * IFERROR(VLOOKUP("industry|NOx|Asthma symptoms cough", US_national_yearly!$D:$AM, 19, FALSE) / VLOOKUP("industry|NOx|Asthma symptoms cough", US_national_yearly!$D:$AM, 10, FALSE), 1)</f>
        <v>1.8519278049491177E-3</v>
      </c>
      <c r="L6" s="7">
        <f>$B6 * IFERROR(VLOOKUP("industry|NOx|Asthma symptoms cough", US_national_yearly!$D:$AM, 20, FALSE) / VLOOKUP("industry|NOx|Asthma symptoms cough", US_national_yearly!$D:$AM, 10, FALSE), 1)</f>
        <v>1.8584250260494418E-3</v>
      </c>
      <c r="M6" s="7">
        <f>$B6 * IFERROR(VLOOKUP("industry|NOx|Asthma symptoms cough", US_national_yearly!$D:$AM, 21, FALSE) / VLOOKUP("industry|NOx|Asthma symptoms cough", US_national_yearly!$D:$AM, 10, FALSE), 1)</f>
        <v>1.8649222471497657E-3</v>
      </c>
      <c r="N6" s="7">
        <f>$B6 * IFERROR(VLOOKUP("industry|NOx|Asthma symptoms cough", US_national_yearly!$D:$AM, 22, FALSE) / VLOOKUP("industry|NOx|Asthma symptoms cough", US_national_yearly!$D:$AM, 10, FALSE), 1)</f>
        <v>1.8723390024012983E-3</v>
      </c>
      <c r="O6" s="7">
        <f>$B6 * IFERROR(VLOOKUP("industry|NOx|Asthma symptoms cough", US_national_yearly!$D:$AM, 23, FALSE) / VLOOKUP("industry|NOx|Asthma symptoms cough", US_national_yearly!$D:$AM, 10, FALSE), 1)</f>
        <v>1.8797557576528308E-3</v>
      </c>
      <c r="P6" s="7">
        <f>$B6 * IFERROR(VLOOKUP("industry|NOx|Asthma symptoms cough", US_national_yearly!$D:$AM, 24, FALSE) / VLOOKUP("industry|NOx|Asthma symptoms cough", US_national_yearly!$D:$AM, 10, FALSE), 1)</f>
        <v>1.8871725129043634E-3</v>
      </c>
      <c r="Q6" s="7">
        <f>$B6 * IFERROR(VLOOKUP("industry|NOx|Asthma symptoms cough", US_national_yearly!$D:$AM, 25, FALSE) / VLOOKUP("industry|NOx|Asthma symptoms cough", US_national_yearly!$D:$AM, 10, FALSE), 1)</f>
        <v>1.8945892681558961E-3</v>
      </c>
      <c r="R6" s="7">
        <f>$B6 * IFERROR(VLOOKUP("industry|NOx|Asthma symptoms cough", US_national_yearly!$D:$AM, 26, FALSE) / VLOOKUP("industry|NOx|Asthma symptoms cough", US_national_yearly!$D:$AM, 10, FALSE), 1)</f>
        <v>1.9020060234074287E-3</v>
      </c>
      <c r="S6" s="7">
        <f>$B6 * IFERROR(VLOOKUP("industry|NOx|Asthma symptoms cough", US_national_yearly!$D:$AM, 27, FALSE) / VLOOKUP("industry|NOx|Asthma symptoms cough", US_national_yearly!$D:$AM, 10, FALSE), 1)</f>
        <v>1.9115733095200823E-3</v>
      </c>
      <c r="T6" s="7">
        <f>$B6 * IFERROR(VLOOKUP("industry|NOx|Asthma symptoms cough", US_national_yearly!$D:$AM, 28, FALSE) / VLOOKUP("industry|NOx|Asthma symptoms cough", US_national_yearly!$D:$AM, 10, FALSE), 1)</f>
        <v>1.9211405956327361E-3</v>
      </c>
      <c r="U6" s="7">
        <f>$B6 * IFERROR(VLOOKUP("industry|NOx|Asthma symptoms cough", US_national_yearly!$D:$AM, 29, FALSE) / VLOOKUP("industry|NOx|Asthma symptoms cough", US_national_yearly!$D:$AM, 10, FALSE), 1)</f>
        <v>1.9307078817453896E-3</v>
      </c>
      <c r="V6" s="7">
        <f>$B6 * IFERROR(VLOOKUP("industry|NOx|Asthma symptoms cough", US_national_yearly!$D:$AM, 30, FALSE) / VLOOKUP("industry|NOx|Asthma symptoms cough", US_national_yearly!$D:$AM, 10, FALSE), 1)</f>
        <v>1.9402751678580428E-3</v>
      </c>
      <c r="W6" s="7">
        <f>$B6 * IFERROR(VLOOKUP("industry|NOx|Asthma symptoms cough", US_national_yearly!$D:$AM, 31, FALSE) / VLOOKUP("industry|NOx|Asthma symptoms cough", US_national_yearly!$D:$AM, 10, FALSE), 1)</f>
        <v>1.9498424539706968E-3</v>
      </c>
      <c r="X6" s="7">
        <f>$B6 * IFERROR(VLOOKUP("industry|NOx|Asthma symptoms cough", US_national_yearly!$D:$AM, 32, FALSE) / VLOOKUP("industry|NOx|Asthma symptoms cough", US_national_yearly!$D:$AM, 10, FALSE), 1)</f>
        <v>1.9587120639082017E-3</v>
      </c>
      <c r="Y6" s="7">
        <f>$B6 * IFERROR(VLOOKUP("industry|NOx|Asthma symptoms cough", US_national_yearly!$D:$AM, 33, FALSE) / VLOOKUP("industry|NOx|Asthma symptoms cough", US_national_yearly!$D:$AM, 10, FALSE), 1)</f>
        <v>1.9675816738457062E-3</v>
      </c>
      <c r="Z6" s="7">
        <f>$B6 * IFERROR(VLOOKUP("industry|NOx|Asthma symptoms cough", US_national_yearly!$D:$AM, 34, FALSE) / VLOOKUP("industry|NOx|Asthma symptoms cough", US_national_yearly!$D:$AM, 10, FALSE), 1)</f>
        <v>1.9764512837832115E-3</v>
      </c>
      <c r="AA6" s="7">
        <f>$B6 * IFERROR(VLOOKUP("industry|NOx|Asthma symptoms cough", US_national_yearly!$D:$AM, 35, FALSE) / VLOOKUP("industry|NOx|Asthma symptoms cough", US_national_yearly!$D:$AM, 10, FALSE), 1)</f>
        <v>1.985320893720716E-3</v>
      </c>
      <c r="AB6" s="7">
        <f>$B6 * IFERROR(VLOOKUP("industry|NOx|Asthma symptoms cough", US_national_yearly!$D:$AM, 36, FALSE) / VLOOKUP("industry|NOx|Asthma symptoms cough", US_national_yearly!$D:$AM, 10, FALSE), 1)</f>
        <v>1.9941905036582209E-3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2.2919253630254818E-3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2.3232796796168144E-3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2.3546339962081464E-3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2.3859883127994789E-3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2.4173426293908114E-3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2.4424839270286718E-3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2.467625224666533E-3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2.4763746190409022E-3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2.4851240134152715E-3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2.4938734077896412E-3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2.5026228021640114E-3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2.5113721965383811E-3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2.5213598690913153E-3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2.53134754164425E-3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2.5413352141971848E-3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2.5513228867501199E-3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2.5613105593030546E-3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2.5741942150348781E-3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2.5870778707667024E-3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2.5999615264985262E-3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2.6128451822303501E-3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2.6257288379621735E-3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2.6376729775466016E-3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2.6496171171310292E-3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2.6615612567154564E-3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2.673505396299884E-3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2.6854495358843117E-3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3.5017263137184142E-3</v>
      </c>
      <c r="C8" s="7">
        <f>$B8 * IFERROR(VLOOKUP("industry|NOx|Asthma symptoms wheeze", US_national_yearly!$D:$AM, 11, FALSE) / VLOOKUP("industry|NOx|Asthma symptoms wheeze", US_national_yearly!$D:$AM, 10, FALSE), 1)</f>
        <v>3.5496311179213009E-3</v>
      </c>
      <c r="D8" s="7">
        <f>$B8 * IFERROR(VLOOKUP("industry|NOx|Asthma symptoms wheeze", US_national_yearly!$D:$AM, 12, FALSE) / VLOOKUP("industry|NOx|Asthma symptoms wheeze", US_national_yearly!$D:$AM, 10, FALSE), 1)</f>
        <v>3.5975359221241871E-3</v>
      </c>
      <c r="E8" s="7">
        <f>$B8 * IFERROR(VLOOKUP("industry|NOx|Asthma symptoms wheeze", US_national_yearly!$D:$AM, 13, FALSE) / VLOOKUP("industry|NOx|Asthma symptoms wheeze", US_national_yearly!$D:$AM, 10, FALSE), 1)</f>
        <v>3.6454407263270738E-3</v>
      </c>
      <c r="F8" s="7">
        <f>$B8 * IFERROR(VLOOKUP("industry|NOx|Asthma symptoms wheeze", US_national_yearly!$D:$AM, 14, FALSE) / VLOOKUP("industry|NOx|Asthma symptoms wheeze", US_national_yearly!$D:$AM, 10, FALSE), 1)</f>
        <v>3.6933455305299592E-3</v>
      </c>
      <c r="G8" s="7">
        <f>$B8 * IFERROR(VLOOKUP("industry|NOx|Asthma symptoms wheeze", US_national_yearly!$D:$AM, 15, FALSE) / VLOOKUP("industry|NOx|Asthma symptoms wheeze", US_national_yearly!$D:$AM, 10, FALSE), 1)</f>
        <v>3.7317577516813014E-3</v>
      </c>
      <c r="H8" s="7">
        <f>$B8 * IFERROR(VLOOKUP("industry|NOx|Asthma symptoms wheeze", US_national_yearly!$D:$AM, 16, FALSE) / VLOOKUP("industry|NOx|Asthma symptoms wheeze", US_national_yearly!$D:$AM, 10, FALSE), 1)</f>
        <v>3.7701699728326424E-3</v>
      </c>
      <c r="I8" s="7">
        <f>$B8 * IFERROR(VLOOKUP("industry|NOx|Asthma symptoms wheeze", US_national_yearly!$D:$AM, 17, FALSE) / VLOOKUP("industry|NOx|Asthma symptoms wheeze", US_national_yearly!$D:$AM, 10, FALSE), 1)</f>
        <v>3.7835377663314584E-3</v>
      </c>
      <c r="J8" s="7">
        <f>$B8 * IFERROR(VLOOKUP("industry|NOx|Asthma symptoms wheeze", US_national_yearly!$D:$AM, 18, FALSE) / VLOOKUP("industry|NOx|Asthma symptoms wheeze", US_national_yearly!$D:$AM, 10, FALSE), 1)</f>
        <v>3.7969055598302734E-3</v>
      </c>
      <c r="K8" s="7">
        <f>$B8 * IFERROR(VLOOKUP("industry|NOx|Asthma symptoms wheeze", US_national_yearly!$D:$AM, 19, FALSE) / VLOOKUP("industry|NOx|Asthma symptoms wheeze", US_national_yearly!$D:$AM, 10, FALSE), 1)</f>
        <v>3.8102733533290894E-3</v>
      </c>
      <c r="L8" s="7">
        <f>$B8 * IFERROR(VLOOKUP("industry|NOx|Asthma symptoms wheeze", US_national_yearly!$D:$AM, 20, FALSE) / VLOOKUP("industry|NOx|Asthma symptoms wheeze", US_national_yearly!$D:$AM, 10, FALSE), 1)</f>
        <v>3.8236411468279036E-3</v>
      </c>
      <c r="M8" s="7">
        <f>$B8 * IFERROR(VLOOKUP("industry|NOx|Asthma symptoms wheeze", US_national_yearly!$D:$AM, 21, FALSE) / VLOOKUP("industry|NOx|Asthma symptoms wheeze", US_national_yearly!$D:$AM, 10, FALSE), 1)</f>
        <v>3.8370089403267195E-3</v>
      </c>
      <c r="N8" s="7">
        <f>$B8 * IFERROR(VLOOKUP("industry|NOx|Asthma symptoms wheeze", US_national_yearly!$D:$AM, 22, FALSE) / VLOOKUP("industry|NOx|Asthma symptoms wheeze", US_national_yearly!$D:$AM, 10, FALSE), 1)</f>
        <v>3.8522686415254524E-3</v>
      </c>
      <c r="O8" s="7">
        <f>$B8 * IFERROR(VLOOKUP("industry|NOx|Asthma symptoms wheeze", US_national_yearly!$D:$AM, 23, FALSE) / VLOOKUP("industry|NOx|Asthma symptoms wheeze", US_national_yearly!$D:$AM, 10, FALSE), 1)</f>
        <v>3.8675283427241848E-3</v>
      </c>
      <c r="P8" s="7">
        <f>$B8 * IFERROR(VLOOKUP("industry|NOx|Asthma symptoms wheeze", US_national_yearly!$D:$AM, 24, FALSE) / VLOOKUP("industry|NOx|Asthma symptoms wheeze", US_national_yearly!$D:$AM, 10, FALSE), 1)</f>
        <v>3.8827880439229168E-3</v>
      </c>
      <c r="Q8" s="7">
        <f>$B8 * IFERROR(VLOOKUP("industry|NOx|Asthma symptoms wheeze", US_national_yearly!$D:$AM, 25, FALSE) / VLOOKUP("industry|NOx|Asthma symptoms wheeze", US_national_yearly!$D:$AM, 10, FALSE), 1)</f>
        <v>3.8980477451216497E-3</v>
      </c>
      <c r="R8" s="7">
        <f>$B8 * IFERROR(VLOOKUP("industry|NOx|Asthma symptoms wheeze", US_national_yearly!$D:$AM, 26, FALSE) / VLOOKUP("industry|NOx|Asthma symptoms wheeze", US_national_yearly!$D:$AM, 10, FALSE), 1)</f>
        <v>3.913307446320383E-3</v>
      </c>
      <c r="S8" s="7">
        <f>$B8 * IFERROR(VLOOKUP("industry|NOx|Asthma symptoms wheeze", US_national_yearly!$D:$AM, 27, FALSE) / VLOOKUP("industry|NOx|Asthma symptoms wheeze", US_national_yearly!$D:$AM, 10, FALSE), 1)</f>
        <v>3.9329917856792901E-3</v>
      </c>
      <c r="T8" s="7">
        <f>$B8 * IFERROR(VLOOKUP("industry|NOx|Asthma symptoms wheeze", US_national_yearly!$D:$AM, 28, FALSE) / VLOOKUP("industry|NOx|Asthma symptoms wheeze", US_national_yearly!$D:$AM, 10, FALSE), 1)</f>
        <v>3.9526761250381964E-3</v>
      </c>
      <c r="U8" s="7">
        <f>$B8 * IFERROR(VLOOKUP("industry|NOx|Asthma symptoms wheeze", US_national_yearly!$D:$AM, 29, FALSE) / VLOOKUP("industry|NOx|Asthma symptoms wheeze", US_national_yearly!$D:$AM, 10, FALSE), 1)</f>
        <v>3.9723604643971027E-3</v>
      </c>
      <c r="V8" s="7">
        <f>$B8 * IFERROR(VLOOKUP("industry|NOx|Asthma symptoms wheeze", US_national_yearly!$D:$AM, 30, FALSE) / VLOOKUP("industry|NOx|Asthma symptoms wheeze", US_national_yearly!$D:$AM, 10, FALSE), 1)</f>
        <v>3.9920448037560089E-3</v>
      </c>
      <c r="W8" s="7">
        <f>$B8 * IFERROR(VLOOKUP("industry|NOx|Asthma symptoms wheeze", US_national_yearly!$D:$AM, 31, FALSE) / VLOOKUP("industry|NOx|Asthma symptoms wheeze", US_national_yearly!$D:$AM, 10, FALSE), 1)</f>
        <v>4.0117291431149161E-3</v>
      </c>
      <c r="X8" s="7">
        <f>$B8 * IFERROR(VLOOKUP("industry|NOx|Asthma symptoms wheeze", US_national_yearly!$D:$AM, 32, FALSE) / VLOOKUP("industry|NOx|Asthma symptoms wheeze", US_national_yearly!$D:$AM, 10, FALSE), 1)</f>
        <v>4.0299780393988245E-3</v>
      </c>
      <c r="Y8" s="7">
        <f>$B8 * IFERROR(VLOOKUP("industry|NOx|Asthma symptoms wheeze", US_national_yearly!$D:$AM, 33, FALSE) / VLOOKUP("industry|NOx|Asthma symptoms wheeze", US_national_yearly!$D:$AM, 10, FALSE), 1)</f>
        <v>4.0482269356827321E-3</v>
      </c>
      <c r="Z8" s="7">
        <f>$B8 * IFERROR(VLOOKUP("industry|NOx|Asthma symptoms wheeze", US_national_yearly!$D:$AM, 34, FALSE) / VLOOKUP("industry|NOx|Asthma symptoms wheeze", US_national_yearly!$D:$AM, 10, FALSE), 1)</f>
        <v>4.0664758319666405E-3</v>
      </c>
      <c r="AA8" s="7">
        <f>$B8 * IFERROR(VLOOKUP("industry|NOx|Asthma symptoms wheeze", US_national_yearly!$D:$AM, 35, FALSE) / VLOOKUP("industry|NOx|Asthma symptoms wheeze", US_national_yearly!$D:$AM, 10, FALSE), 1)</f>
        <v>4.0847247282505472E-3</v>
      </c>
      <c r="AB8" s="7">
        <f>$B8 * IFERROR(VLOOKUP("industry|NOx|Asthma symptoms wheeze", US_national_yearly!$D:$AM, 36, FALSE) / VLOOKUP("industry|NOx|Asthma symptoms wheeze", US_national_yearly!$D:$AM, 10, FALSE), 1)</f>
        <v>4.1029736245344582E-3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4.9020978261883482E-5</v>
      </c>
      <c r="C12" s="7">
        <f>$B12 * IFERROR(VLOOKUP("industry|NOx|Respiratory hospital admissions", US_national_yearly!$D:$AM, 11, FALSE) / VLOOKUP("industry|NOx|Respiratory hospital admissions", US_national_yearly!$D:$AM, 10, FALSE), 1)</f>
        <v>5.0252547643001883E-5</v>
      </c>
      <c r="D12" s="7">
        <f>$B12 * IFERROR(VLOOKUP("industry|NOx|Respiratory hospital admissions", US_national_yearly!$D:$AM, 12, FALSE) / VLOOKUP("industry|NOx|Respiratory hospital admissions", US_national_yearly!$D:$AM, 10, FALSE), 1)</f>
        <v>5.1484117024120283E-5</v>
      </c>
      <c r="E12" s="7">
        <f>$B12 * IFERROR(VLOOKUP("industry|NOx|Respiratory hospital admissions", US_national_yearly!$D:$AM, 13, FALSE) / VLOOKUP("industry|NOx|Respiratory hospital admissions", US_national_yearly!$D:$AM, 10, FALSE), 1)</f>
        <v>5.2715686405238691E-5</v>
      </c>
      <c r="F12" s="7">
        <f>$B12 * IFERROR(VLOOKUP("industry|NOx|Respiratory hospital admissions", US_national_yearly!$D:$AM, 14, FALSE) / VLOOKUP("industry|NOx|Respiratory hospital admissions", US_national_yearly!$D:$AM, 10, FALSE), 1)</f>
        <v>5.3947255786357085E-5</v>
      </c>
      <c r="G12" s="7">
        <f>$B12 * IFERROR(VLOOKUP("industry|NOx|Respiratory hospital admissions", US_national_yearly!$D:$AM, 15, FALSE) / VLOOKUP("industry|NOx|Respiratory hospital admissions", US_national_yearly!$D:$AM, 10, FALSE), 1)</f>
        <v>5.5125306663895434E-5</v>
      </c>
      <c r="H12" s="7">
        <f>$B12 * IFERROR(VLOOKUP("industry|NOx|Respiratory hospital admissions", US_national_yearly!$D:$AM, 16, FALSE) / VLOOKUP("industry|NOx|Respiratory hospital admissions", US_national_yearly!$D:$AM, 10, FALSE), 1)</f>
        <v>5.630335754143379E-5</v>
      </c>
      <c r="I12" s="7">
        <f>$B12 * IFERROR(VLOOKUP("industry|NOx|Respiratory hospital admissions", US_national_yearly!$D:$AM, 17, FALSE) / VLOOKUP("industry|NOx|Respiratory hospital admissions", US_national_yearly!$D:$AM, 10, FALSE), 1)</f>
        <v>5.730662783368313E-5</v>
      </c>
      <c r="J12" s="7">
        <f>$B12 * IFERROR(VLOOKUP("industry|NOx|Respiratory hospital admissions", US_national_yearly!$D:$AM, 18, FALSE) / VLOOKUP("industry|NOx|Respiratory hospital admissions", US_national_yearly!$D:$AM, 10, FALSE), 1)</f>
        <v>5.8309898125932464E-5</v>
      </c>
      <c r="K12" s="7">
        <f>$B12 * IFERROR(VLOOKUP("industry|NOx|Respiratory hospital admissions", US_national_yearly!$D:$AM, 19, FALSE) / VLOOKUP("industry|NOx|Respiratory hospital admissions", US_national_yearly!$D:$AM, 10, FALSE), 1)</f>
        <v>5.9313168418181812E-5</v>
      </c>
      <c r="L12" s="7">
        <f>$B12 * IFERROR(VLOOKUP("industry|NOx|Respiratory hospital admissions", US_national_yearly!$D:$AM, 20, FALSE) / VLOOKUP("industry|NOx|Respiratory hospital admissions", US_national_yearly!$D:$AM, 10, FALSE), 1)</f>
        <v>6.0316438710431166E-5</v>
      </c>
      <c r="M12" s="7">
        <f>$B12 * IFERROR(VLOOKUP("industry|NOx|Respiratory hospital admissions", US_national_yearly!$D:$AM, 21, FALSE) / VLOOKUP("industry|NOx|Respiratory hospital admissions", US_national_yearly!$D:$AM, 10, FALSE), 1)</f>
        <v>6.13197090026805E-5</v>
      </c>
      <c r="N12" s="7">
        <f>$B12 * IFERROR(VLOOKUP("industry|NOx|Respiratory hospital admissions", US_national_yearly!$D:$AM, 22, FALSE) / VLOOKUP("industry|NOx|Respiratory hospital admissions", US_national_yearly!$D:$AM, 10, FALSE), 1)</f>
        <v>6.199211779692373E-5</v>
      </c>
      <c r="O12" s="7">
        <f>$B12 * IFERROR(VLOOKUP("industry|NOx|Respiratory hospital admissions", US_national_yearly!$D:$AM, 23, FALSE) / VLOOKUP("industry|NOx|Respiratory hospital admissions", US_national_yearly!$D:$AM, 10, FALSE), 1)</f>
        <v>6.2664526591166948E-5</v>
      </c>
      <c r="P12" s="7">
        <f>$B12 * IFERROR(VLOOKUP("industry|NOx|Respiratory hospital admissions", US_national_yearly!$D:$AM, 24, FALSE) / VLOOKUP("industry|NOx|Respiratory hospital admissions", US_national_yearly!$D:$AM, 10, FALSE), 1)</f>
        <v>6.3336935385410178E-5</v>
      </c>
      <c r="Q12" s="7">
        <f>$B12 * IFERROR(VLOOKUP("industry|NOx|Respiratory hospital admissions", US_national_yearly!$D:$AM, 25, FALSE) / VLOOKUP("industry|NOx|Respiratory hospital admissions", US_national_yearly!$D:$AM, 10, FALSE), 1)</f>
        <v>6.4009344179653395E-5</v>
      </c>
      <c r="R12" s="7">
        <f>$B12 * IFERROR(VLOOKUP("industry|NOx|Respiratory hospital admissions", US_national_yearly!$D:$AM, 26, FALSE) / VLOOKUP("industry|NOx|Respiratory hospital admissions", US_national_yearly!$D:$AM, 10, FALSE), 1)</f>
        <v>6.4681752973896626E-5</v>
      </c>
      <c r="S12" s="7">
        <f>$B12 * IFERROR(VLOOKUP("industry|NOx|Respiratory hospital admissions", US_national_yearly!$D:$AM, 27, FALSE) / VLOOKUP("industry|NOx|Respiratory hospital admissions", US_national_yearly!$D:$AM, 10, FALSE), 1)</f>
        <v>6.5046812525509847E-5</v>
      </c>
      <c r="T12" s="7">
        <f>$B12 * IFERROR(VLOOKUP("industry|NOx|Respiratory hospital admissions", US_national_yearly!$D:$AM, 28, FALSE) / VLOOKUP("industry|NOx|Respiratory hospital admissions", US_national_yearly!$D:$AM, 10, FALSE), 1)</f>
        <v>6.5411872077123081E-5</v>
      </c>
      <c r="U12" s="7">
        <f>$B12 * IFERROR(VLOOKUP("industry|NOx|Respiratory hospital admissions", US_national_yearly!$D:$AM, 29, FALSE) / VLOOKUP("industry|NOx|Respiratory hospital admissions", US_national_yearly!$D:$AM, 10, FALSE), 1)</f>
        <v>6.5776931628736289E-5</v>
      </c>
      <c r="V12" s="7">
        <f>$B12 * IFERROR(VLOOKUP("industry|NOx|Respiratory hospital admissions", US_national_yearly!$D:$AM, 30, FALSE) / VLOOKUP("industry|NOx|Respiratory hospital admissions", US_national_yearly!$D:$AM, 10, FALSE), 1)</f>
        <v>6.614199118034951E-5</v>
      </c>
      <c r="W12" s="7">
        <f>$B12 * IFERROR(VLOOKUP("industry|NOx|Respiratory hospital admissions", US_national_yearly!$D:$AM, 31, FALSE) / VLOOKUP("industry|NOx|Respiratory hospital admissions", US_national_yearly!$D:$AM, 10, FALSE), 1)</f>
        <v>6.6507050731962744E-5</v>
      </c>
      <c r="X12" s="7">
        <f>$B12 * IFERROR(VLOOKUP("industry|NOx|Respiratory hospital admissions", US_national_yearly!$D:$AM, 32, FALSE) / VLOOKUP("industry|NOx|Respiratory hospital admissions", US_national_yearly!$D:$AM, 10, FALSE), 1)</f>
        <v>6.6761592739446427E-5</v>
      </c>
      <c r="Y12" s="7">
        <f>$B12 * IFERROR(VLOOKUP("industry|NOx|Respiratory hospital admissions", US_national_yearly!$D:$AM, 33, FALSE) / VLOOKUP("industry|NOx|Respiratory hospital admissions", US_national_yearly!$D:$AM, 10, FALSE), 1)</f>
        <v>6.7016134746930095E-5</v>
      </c>
      <c r="Z12" s="7">
        <f>$B12 * IFERROR(VLOOKUP("industry|NOx|Respiratory hospital admissions", US_national_yearly!$D:$AM, 34, FALSE) / VLOOKUP("industry|NOx|Respiratory hospital admissions", US_national_yearly!$D:$AM, 10, FALSE), 1)</f>
        <v>6.7270676754413791E-5</v>
      </c>
      <c r="AA12" s="7">
        <f>$B12 * IFERROR(VLOOKUP("industry|NOx|Respiratory hospital admissions", US_national_yearly!$D:$AM, 35, FALSE) / VLOOKUP("industry|NOx|Respiratory hospital admissions", US_national_yearly!$D:$AM, 10, FALSE), 1)</f>
        <v>6.7525218761897474E-5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6.7779760769381143E-5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3.0042650160579841E-4</v>
      </c>
      <c r="C13" s="7">
        <f>$B13 * IFERROR(VLOOKUP("industry|NOx|Non-fatal heart attacks", US_national_yearly!$D:$AM, 11, FALSE) / VLOOKUP("industry|NOx|Non-fatal heart attacks", US_national_yearly!$D:$AM, 10, FALSE), 1)</f>
        <v>3.090099746493995E-4</v>
      </c>
      <c r="D13" s="7">
        <f>$B13 * IFERROR(VLOOKUP("industry|NOx|Non-fatal heart attacks", US_national_yearly!$D:$AM, 12, FALSE) / VLOOKUP("industry|NOx|Non-fatal heart attacks", US_national_yearly!$D:$AM, 10, FALSE), 1)</f>
        <v>3.1759344769300058E-4</v>
      </c>
      <c r="E13" s="7">
        <f>$B13 * IFERROR(VLOOKUP("industry|NOx|Non-fatal heart attacks", US_national_yearly!$D:$AM, 13, FALSE) / VLOOKUP("industry|NOx|Non-fatal heart attacks", US_national_yearly!$D:$AM, 10, FALSE), 1)</f>
        <v>3.2617692073660172E-4</v>
      </c>
      <c r="F13" s="7">
        <f>$B13 * IFERROR(VLOOKUP("industry|NOx|Non-fatal heart attacks", US_national_yearly!$D:$AM, 14, FALSE) / VLOOKUP("industry|NOx|Non-fatal heart attacks", US_national_yearly!$D:$AM, 10, FALSE), 1)</f>
        <v>3.3476039378020281E-4</v>
      </c>
      <c r="G13" s="7">
        <f>$B13 * IFERROR(VLOOKUP("industry|NOx|Non-fatal heart attacks", US_national_yearly!$D:$AM, 15, FALSE) / VLOOKUP("industry|NOx|Non-fatal heart attacks", US_national_yearly!$D:$AM, 10, FALSE), 1)</f>
        <v>3.4278844148651549E-4</v>
      </c>
      <c r="H13" s="7">
        <f>$B13 * IFERROR(VLOOKUP("industry|NOx|Non-fatal heart attacks", US_national_yearly!$D:$AM, 16, FALSE) / VLOOKUP("industry|NOx|Non-fatal heart attacks", US_national_yearly!$D:$AM, 10, FALSE), 1)</f>
        <v>3.5081648919282812E-4</v>
      </c>
      <c r="I13" s="7">
        <f>$B13 * IFERROR(VLOOKUP("industry|NOx|Non-fatal heart attacks", US_national_yearly!$D:$AM, 17, FALSE) / VLOOKUP("industry|NOx|Non-fatal heart attacks", US_national_yearly!$D:$AM, 10, FALSE), 1)</f>
        <v>3.5716583102684136E-4</v>
      </c>
      <c r="J13" s="7">
        <f>$B13 * IFERROR(VLOOKUP("industry|NOx|Non-fatal heart attacks", US_national_yearly!$D:$AM, 18, FALSE) / VLOOKUP("industry|NOx|Non-fatal heart attacks", US_national_yearly!$D:$AM, 10, FALSE), 1)</f>
        <v>3.6351517286085461E-4</v>
      </c>
      <c r="K13" s="7">
        <f>$B13 * IFERROR(VLOOKUP("industry|NOx|Non-fatal heart attacks", US_national_yearly!$D:$AM, 19, FALSE) / VLOOKUP("industry|NOx|Non-fatal heart attacks", US_national_yearly!$D:$AM, 10, FALSE), 1)</f>
        <v>3.6986451469486775E-4</v>
      </c>
      <c r="L13" s="7">
        <f>$B13 * IFERROR(VLOOKUP("industry|NOx|Non-fatal heart attacks", US_national_yearly!$D:$AM, 20, FALSE) / VLOOKUP("industry|NOx|Non-fatal heart attacks", US_national_yearly!$D:$AM, 10, FALSE), 1)</f>
        <v>3.7621385652888116E-4</v>
      </c>
      <c r="M13" s="7">
        <f>$B13 * IFERROR(VLOOKUP("industry|NOx|Non-fatal heart attacks", US_national_yearly!$D:$AM, 21, FALSE) / VLOOKUP("industry|NOx|Non-fatal heart attacks", US_national_yearly!$D:$AM, 10, FALSE), 1)</f>
        <v>3.8256319836289451E-4</v>
      </c>
      <c r="N13" s="7">
        <f>$B13 * IFERROR(VLOOKUP("industry|NOx|Non-fatal heart attacks", US_national_yearly!$D:$AM, 22, FALSE) / VLOOKUP("industry|NOx|Non-fatal heart attacks", US_national_yearly!$D:$AM, 10, FALSE), 1)</f>
        <v>3.8638837207857448E-4</v>
      </c>
      <c r="O13" s="7">
        <f>$B13 * IFERROR(VLOOKUP("industry|NOx|Non-fatal heart attacks", US_national_yearly!$D:$AM, 23, FALSE) / VLOOKUP("industry|NOx|Non-fatal heart attacks", US_national_yearly!$D:$AM, 10, FALSE), 1)</f>
        <v>3.902135457942544E-4</v>
      </c>
      <c r="P13" s="7">
        <f>$B13 * IFERROR(VLOOKUP("industry|NOx|Non-fatal heart attacks", US_national_yearly!$D:$AM, 24, FALSE) / VLOOKUP("industry|NOx|Non-fatal heart attacks", US_national_yearly!$D:$AM, 10, FALSE), 1)</f>
        <v>3.9403871950993431E-4</v>
      </c>
      <c r="Q13" s="7">
        <f>$B13 * IFERROR(VLOOKUP("industry|NOx|Non-fatal heart attacks", US_national_yearly!$D:$AM, 25, FALSE) / VLOOKUP("industry|NOx|Non-fatal heart attacks", US_national_yearly!$D:$AM, 10, FALSE), 1)</f>
        <v>3.9786389322561422E-4</v>
      </c>
      <c r="R13" s="7">
        <f>$B13 * IFERROR(VLOOKUP("industry|NOx|Non-fatal heart attacks", US_national_yearly!$D:$AM, 26, FALSE) / VLOOKUP("industry|NOx|Non-fatal heart attacks", US_national_yearly!$D:$AM, 10, FALSE), 1)</f>
        <v>4.0168906694129414E-4</v>
      </c>
      <c r="S13" s="7">
        <f>$B13 * IFERROR(VLOOKUP("industry|NOx|Non-fatal heart attacks", US_national_yearly!$D:$AM, 27, FALSE) / VLOOKUP("industry|NOx|Non-fatal heart attacks", US_national_yearly!$D:$AM, 10, FALSE), 1)</f>
        <v>4.0344413294055785E-4</v>
      </c>
      <c r="T13" s="7">
        <f>$B13 * IFERROR(VLOOKUP("industry|NOx|Non-fatal heart attacks", US_national_yearly!$D:$AM, 28, FALSE) / VLOOKUP("industry|NOx|Non-fatal heart attacks", US_national_yearly!$D:$AM, 10, FALSE), 1)</f>
        <v>4.0519919893982145E-4</v>
      </c>
      <c r="U13" s="7">
        <f>$B13 * IFERROR(VLOOKUP("industry|NOx|Non-fatal heart attacks", US_national_yearly!$D:$AM, 29, FALSE) / VLOOKUP("industry|NOx|Non-fatal heart attacks", US_national_yearly!$D:$AM, 10, FALSE), 1)</f>
        <v>4.0695426493908511E-4</v>
      </c>
      <c r="V13" s="7">
        <f>$B13 * IFERROR(VLOOKUP("industry|NOx|Non-fatal heart attacks", US_national_yearly!$D:$AM, 30, FALSE) / VLOOKUP("industry|NOx|Non-fatal heart attacks", US_national_yearly!$D:$AM, 10, FALSE), 1)</f>
        <v>4.0870933093834882E-4</v>
      </c>
      <c r="W13" s="7">
        <f>$B13 * IFERROR(VLOOKUP("industry|NOx|Non-fatal heart attacks", US_national_yearly!$D:$AM, 31, FALSE) / VLOOKUP("industry|NOx|Non-fatal heart attacks", US_national_yearly!$D:$AM, 10, FALSE), 1)</f>
        <v>4.1046439693761242E-4</v>
      </c>
      <c r="X13" s="7">
        <f>$B13 * IFERROR(VLOOKUP("industry|NOx|Non-fatal heart attacks", US_national_yearly!$D:$AM, 32, FALSE) / VLOOKUP("industry|NOx|Non-fatal heart attacks", US_national_yearly!$D:$AM, 10, FALSE), 1)</f>
        <v>4.1164887421154482E-4</v>
      </c>
      <c r="Y13" s="7">
        <f>$B13 * IFERROR(VLOOKUP("industry|NOx|Non-fatal heart attacks", US_national_yearly!$D:$AM, 33, FALSE) / VLOOKUP("industry|NOx|Non-fatal heart attacks", US_national_yearly!$D:$AM, 10, FALSE), 1)</f>
        <v>4.1283335148547715E-4</v>
      </c>
      <c r="Z13" s="7">
        <f>$B13 * IFERROR(VLOOKUP("industry|NOx|Non-fatal heart attacks", US_national_yearly!$D:$AM, 34, FALSE) / VLOOKUP("industry|NOx|Non-fatal heart attacks", US_national_yearly!$D:$AM, 10, FALSE), 1)</f>
        <v>4.1401782875940949E-4</v>
      </c>
      <c r="AA13" s="7">
        <f>$B13 * IFERROR(VLOOKUP("industry|NOx|Non-fatal heart attacks", US_national_yearly!$D:$AM, 35, FALSE) / VLOOKUP("industry|NOx|Non-fatal heart attacks", US_national_yearly!$D:$AM, 10, FALSE), 1)</f>
        <v>4.1520230603334188E-4</v>
      </c>
      <c r="AB13" s="7">
        <f>$B13 * IFERROR(VLOOKUP("industry|NOx|Non-fatal heart attacks", US_national_yearly!$D:$AM, 36, FALSE) / VLOOKUP("industry|NOx|Non-fatal heart attacks", US_national_yearly!$D:$AM, 10, FALSE), 1)</f>
        <v>4.1638678330727422E-4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0.21699019102295294</v>
      </c>
      <c r="C14" s="7">
        <f>$B14 * IFERROR(VLOOKUP("industry|NOx|Minor restricted activity days", US_national_yearly!$D:$AM, 11, FALSE) / VLOOKUP("industry|NOx|Minor restricted activity days", US_national_yearly!$D:$AM, 10, FALSE), 1)</f>
        <v>0.21731167873489657</v>
      </c>
      <c r="D14" s="7">
        <f>$B14 * IFERROR(VLOOKUP("industry|NOx|Minor restricted activity days", US_national_yearly!$D:$AM, 12, FALSE) / VLOOKUP("industry|NOx|Minor restricted activity days", US_national_yearly!$D:$AM, 10, FALSE), 1)</f>
        <v>0.21763316644684014</v>
      </c>
      <c r="E14" s="7">
        <f>$B14 * IFERROR(VLOOKUP("industry|NOx|Minor restricted activity days", US_national_yearly!$D:$AM, 13, FALSE) / VLOOKUP("industry|NOx|Minor restricted activity days", US_national_yearly!$D:$AM, 10, FALSE), 1)</f>
        <v>0.21795465415878376</v>
      </c>
      <c r="F14" s="7">
        <f>$B14 * IFERROR(VLOOKUP("industry|NOx|Minor restricted activity days", US_national_yearly!$D:$AM, 14, FALSE) / VLOOKUP("industry|NOx|Minor restricted activity days", US_national_yearly!$D:$AM, 10, FALSE), 1)</f>
        <v>0.21827614187072736</v>
      </c>
      <c r="G14" s="7">
        <f>$B14 * IFERROR(VLOOKUP("industry|NOx|Minor restricted activity days", US_national_yearly!$D:$AM, 15, FALSE) / VLOOKUP("industry|NOx|Minor restricted activity days", US_national_yearly!$D:$AM, 10, FALSE), 1)</f>
        <v>0.21886138018535234</v>
      </c>
      <c r="H14" s="7">
        <f>$B14 * IFERROR(VLOOKUP("industry|NOx|Minor restricted activity days", US_national_yearly!$D:$AM, 16, FALSE) / VLOOKUP("industry|NOx|Minor restricted activity days", US_national_yearly!$D:$AM, 10, FALSE), 1)</f>
        <v>0.21944661849997732</v>
      </c>
      <c r="I14" s="7">
        <f>$B14 * IFERROR(VLOOKUP("industry|NOx|Minor restricted activity days", US_national_yearly!$D:$AM, 17, FALSE) / VLOOKUP("industry|NOx|Minor restricted activity days", US_national_yearly!$D:$AM, 10, FALSE), 1)</f>
        <v>0.2205987434295501</v>
      </c>
      <c r="J14" s="7">
        <f>$B14 * IFERROR(VLOOKUP("industry|NOx|Minor restricted activity days", US_national_yearly!$D:$AM, 18, FALSE) / VLOOKUP("industry|NOx|Minor restricted activity days", US_national_yearly!$D:$AM, 10, FALSE), 1)</f>
        <v>0.22175086835912286</v>
      </c>
      <c r="K14" s="7">
        <f>$B14 * IFERROR(VLOOKUP("industry|NOx|Minor restricted activity days", US_national_yearly!$D:$AM, 19, FALSE) / VLOOKUP("industry|NOx|Minor restricted activity days", US_national_yearly!$D:$AM, 10, FALSE), 1)</f>
        <v>0.22290299328869556</v>
      </c>
      <c r="L14" s="7">
        <f>$B14 * IFERROR(VLOOKUP("industry|NOx|Minor restricted activity days", US_national_yearly!$D:$AM, 20, FALSE) / VLOOKUP("industry|NOx|Minor restricted activity days", US_national_yearly!$D:$AM, 10, FALSE), 1)</f>
        <v>0.22405511821826835</v>
      </c>
      <c r="M14" s="7">
        <f>$B14 * IFERROR(VLOOKUP("industry|NOx|Minor restricted activity days", US_national_yearly!$D:$AM, 21, FALSE) / VLOOKUP("industry|NOx|Minor restricted activity days", US_national_yearly!$D:$AM, 10, FALSE), 1)</f>
        <v>0.2252072431478411</v>
      </c>
      <c r="N14" s="7">
        <f>$B14 * IFERROR(VLOOKUP("industry|NOx|Minor restricted activity days", US_national_yearly!$D:$AM, 22, FALSE) / VLOOKUP("industry|NOx|Minor restricted activity days", US_national_yearly!$D:$AM, 10, FALSE), 1)</f>
        <v>0.22686638006835755</v>
      </c>
      <c r="O14" s="7">
        <f>$B14 * IFERROR(VLOOKUP("industry|NOx|Minor restricted activity days", US_national_yearly!$D:$AM, 23, FALSE) / VLOOKUP("industry|NOx|Minor restricted activity days", US_national_yearly!$D:$AM, 10, FALSE), 1)</f>
        <v>0.22852551698887405</v>
      </c>
      <c r="P14" s="7">
        <f>$B14 * IFERROR(VLOOKUP("industry|NOx|Minor restricted activity days", US_national_yearly!$D:$AM, 24, FALSE) / VLOOKUP("industry|NOx|Minor restricted activity days", US_national_yearly!$D:$AM, 10, FALSE), 1)</f>
        <v>0.23018465390939058</v>
      </c>
      <c r="Q14" s="7">
        <f>$B14 * IFERROR(VLOOKUP("industry|NOx|Minor restricted activity days", US_national_yearly!$D:$AM, 25, FALSE) / VLOOKUP("industry|NOx|Minor restricted activity days", US_national_yearly!$D:$AM, 10, FALSE), 1)</f>
        <v>0.23184379082990703</v>
      </c>
      <c r="R14" s="7">
        <f>$B14 * IFERROR(VLOOKUP("industry|NOx|Minor restricted activity days", US_national_yearly!$D:$AM, 26, FALSE) / VLOOKUP("industry|NOx|Minor restricted activity days", US_national_yearly!$D:$AM, 10, FALSE), 1)</f>
        <v>0.23350292775042353</v>
      </c>
      <c r="S14" s="7">
        <f>$B14 * IFERROR(VLOOKUP("industry|NOx|Minor restricted activity days", US_national_yearly!$D:$AM, 27, FALSE) / VLOOKUP("industry|NOx|Minor restricted activity days", US_national_yearly!$D:$AM, 10, FALSE), 1)</f>
        <v>0.23516384099904647</v>
      </c>
      <c r="T14" s="7">
        <f>$B14 * IFERROR(VLOOKUP("industry|NOx|Minor restricted activity days", US_national_yearly!$D:$AM, 28, FALSE) / VLOOKUP("industry|NOx|Minor restricted activity days", US_national_yearly!$D:$AM, 10, FALSE), 1)</f>
        <v>0.23682475424766944</v>
      </c>
      <c r="U14" s="7">
        <f>$B14 * IFERROR(VLOOKUP("industry|NOx|Minor restricted activity days", US_national_yearly!$D:$AM, 29, FALSE) / VLOOKUP("industry|NOx|Minor restricted activity days", US_national_yearly!$D:$AM, 10, FALSE), 1)</f>
        <v>0.23848566749629241</v>
      </c>
      <c r="V14" s="7">
        <f>$B14 * IFERROR(VLOOKUP("industry|NOx|Minor restricted activity days", US_national_yearly!$D:$AM, 30, FALSE) / VLOOKUP("industry|NOx|Minor restricted activity days", US_national_yearly!$D:$AM, 10, FALSE), 1)</f>
        <v>0.24014658074491538</v>
      </c>
      <c r="W14" s="7">
        <f>$B14 * IFERROR(VLOOKUP("industry|NOx|Minor restricted activity days", US_national_yearly!$D:$AM, 31, FALSE) / VLOOKUP("industry|NOx|Minor restricted activity days", US_national_yearly!$D:$AM, 10, FALSE), 1)</f>
        <v>0.24180749399353835</v>
      </c>
      <c r="X14" s="7">
        <f>$B14 * IFERROR(VLOOKUP("industry|NOx|Minor restricted activity days", US_national_yearly!$D:$AM, 32, FALSE) / VLOOKUP("industry|NOx|Minor restricted activity days", US_national_yearly!$D:$AM, 10, FALSE), 1)</f>
        <v>0.24320977880914596</v>
      </c>
      <c r="Y14" s="7">
        <f>$B14 * IFERROR(VLOOKUP("industry|NOx|Minor restricted activity days", US_national_yearly!$D:$AM, 33, FALSE) / VLOOKUP("industry|NOx|Minor restricted activity days", US_national_yearly!$D:$AM, 10, FALSE), 1)</f>
        <v>0.24461206362475352</v>
      </c>
      <c r="Z14" s="7">
        <f>$B14 * IFERROR(VLOOKUP("industry|NOx|Minor restricted activity days", US_national_yearly!$D:$AM, 34, FALSE) / VLOOKUP("industry|NOx|Minor restricted activity days", US_national_yearly!$D:$AM, 10, FALSE), 1)</f>
        <v>0.24601434844036105</v>
      </c>
      <c r="AA14" s="7">
        <f>$B14 * IFERROR(VLOOKUP("industry|NOx|Minor restricted activity days", US_national_yearly!$D:$AM, 35, FALSE) / VLOOKUP("industry|NOx|Minor restricted activity days", US_national_yearly!$D:$AM, 10, FALSE), 1)</f>
        <v>0.24741663325596866</v>
      </c>
      <c r="AB14" s="7">
        <f>$B14 * IFERROR(VLOOKUP("industry|NOx|Minor restricted activity days", US_national_yearly!$D:$AM, 36, FALSE) / VLOOKUP("industry|NOx|Minor restricted activity days", US_national_yearly!$D:$AM, 10, FALSE), 1)</f>
        <v>0.24881891807157624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3.6817863910894158E-2</v>
      </c>
      <c r="C15" s="7">
        <f>$B15 * IFERROR(VLOOKUP("industry|NOx|Work loss days", US_national_yearly!$D:$AM, 11, FALSE) / VLOOKUP("industry|NOx|Work loss days", US_national_yearly!$D:$AM, 10, FALSE), 1)</f>
        <v>3.6897636325415685E-2</v>
      </c>
      <c r="D15" s="7">
        <f>$B15 * IFERROR(VLOOKUP("industry|NOx|Work loss days", US_national_yearly!$D:$AM, 12, FALSE) / VLOOKUP("industry|NOx|Work loss days", US_national_yearly!$D:$AM, 10, FALSE), 1)</f>
        <v>3.6977408739937191E-2</v>
      </c>
      <c r="E15" s="7">
        <f>$B15 * IFERROR(VLOOKUP("industry|NOx|Work loss days", US_national_yearly!$D:$AM, 13, FALSE) / VLOOKUP("industry|NOx|Work loss days", US_national_yearly!$D:$AM, 10, FALSE), 1)</f>
        <v>3.7057181154458711E-2</v>
      </c>
      <c r="F15" s="7">
        <f>$B15 * IFERROR(VLOOKUP("industry|NOx|Work loss days", US_national_yearly!$D:$AM, 14, FALSE) / VLOOKUP("industry|NOx|Work loss days", US_national_yearly!$D:$AM, 10, FALSE), 1)</f>
        <v>3.7136953568980231E-2</v>
      </c>
      <c r="G15" s="7">
        <f>$B15 * IFERROR(VLOOKUP("industry|NOx|Work loss days", US_national_yearly!$D:$AM, 15, FALSE) / VLOOKUP("industry|NOx|Work loss days", US_national_yearly!$D:$AM, 10, FALSE), 1)</f>
        <v>3.7253640603921695E-2</v>
      </c>
      <c r="H15" s="7">
        <f>$B15 * IFERROR(VLOOKUP("industry|NOx|Work loss days", US_national_yearly!$D:$AM, 16, FALSE) / VLOOKUP("industry|NOx|Work loss days", US_national_yearly!$D:$AM, 10, FALSE), 1)</f>
        <v>3.7370327638863166E-2</v>
      </c>
      <c r="I15" s="7">
        <f>$B15 * IFERROR(VLOOKUP("industry|NOx|Work loss days", US_national_yearly!$D:$AM, 17, FALSE) / VLOOKUP("industry|NOx|Work loss days", US_national_yearly!$D:$AM, 10, FALSE), 1)</f>
        <v>3.7559914484108184E-2</v>
      </c>
      <c r="J15" s="7">
        <f>$B15 * IFERROR(VLOOKUP("industry|NOx|Work loss days", US_national_yearly!$D:$AM, 18, FALSE) / VLOOKUP("industry|NOx|Work loss days", US_national_yearly!$D:$AM, 10, FALSE), 1)</f>
        <v>3.7749501329353195E-2</v>
      </c>
      <c r="K15" s="7">
        <f>$B15 * IFERROR(VLOOKUP("industry|NOx|Work loss days", US_national_yearly!$D:$AM, 19, FALSE) / VLOOKUP("industry|NOx|Work loss days", US_national_yearly!$D:$AM, 10, FALSE), 1)</f>
        <v>3.7939088174598207E-2</v>
      </c>
      <c r="L15" s="7">
        <f>$B15 * IFERROR(VLOOKUP("industry|NOx|Work loss days", US_national_yearly!$D:$AM, 20, FALSE) / VLOOKUP("industry|NOx|Work loss days", US_national_yearly!$D:$AM, 10, FALSE), 1)</f>
        <v>3.8128675019843218E-2</v>
      </c>
      <c r="M15" s="7">
        <f>$B15 * IFERROR(VLOOKUP("industry|NOx|Work loss days", US_national_yearly!$D:$AM, 21, FALSE) / VLOOKUP("industry|NOx|Work loss days", US_national_yearly!$D:$AM, 10, FALSE), 1)</f>
        <v>3.8318261865088236E-2</v>
      </c>
      <c r="N15" s="7">
        <f>$B15 * IFERROR(VLOOKUP("industry|NOx|Work loss days", US_national_yearly!$D:$AM, 22, FALSE) / VLOOKUP("industry|NOx|Work loss days", US_national_yearly!$D:$AM, 10, FALSE), 1)</f>
        <v>3.856619846477876E-2</v>
      </c>
      <c r="O15" s="7">
        <f>$B15 * IFERROR(VLOOKUP("industry|NOx|Work loss days", US_national_yearly!$D:$AM, 23, FALSE) / VLOOKUP("industry|NOx|Work loss days", US_national_yearly!$D:$AM, 10, FALSE), 1)</f>
        <v>3.8814135064469298E-2</v>
      </c>
      <c r="P15" s="7">
        <f>$B15 * IFERROR(VLOOKUP("industry|NOx|Work loss days", US_national_yearly!$D:$AM, 24, FALSE) / VLOOKUP("industry|NOx|Work loss days", US_national_yearly!$D:$AM, 10, FALSE), 1)</f>
        <v>3.9062071664159828E-2</v>
      </c>
      <c r="Q15" s="7">
        <f>$B15 * IFERROR(VLOOKUP("industry|NOx|Work loss days", US_national_yearly!$D:$AM, 25, FALSE) / VLOOKUP("industry|NOx|Work loss days", US_national_yearly!$D:$AM, 10, FALSE), 1)</f>
        <v>3.9310008263850359E-2</v>
      </c>
      <c r="R15" s="7">
        <f>$B15 * IFERROR(VLOOKUP("industry|NOx|Work loss days", US_national_yearly!$D:$AM, 26, FALSE) / VLOOKUP("industry|NOx|Work loss days", US_national_yearly!$D:$AM, 10, FALSE), 1)</f>
        <v>3.9557944863540896E-2</v>
      </c>
      <c r="S15" s="7">
        <f>$B15 * IFERROR(VLOOKUP("industry|NOx|Work loss days", US_national_yearly!$D:$AM, 27, FALSE) / VLOOKUP("industry|NOx|Work loss days", US_national_yearly!$D:$AM, 10, FALSE), 1)</f>
        <v>3.9835122964002039E-2</v>
      </c>
      <c r="T15" s="7">
        <f>$B15 * IFERROR(VLOOKUP("industry|NOx|Work loss days", US_national_yearly!$D:$AM, 28, FALSE) / VLOOKUP("industry|NOx|Work loss days", US_national_yearly!$D:$AM, 10, FALSE), 1)</f>
        <v>4.0112301064463195E-2</v>
      </c>
      <c r="U15" s="7">
        <f>$B15 * IFERROR(VLOOKUP("industry|NOx|Work loss days", US_national_yearly!$D:$AM, 29, FALSE) / VLOOKUP("industry|NOx|Work loss days", US_national_yearly!$D:$AM, 10, FALSE), 1)</f>
        <v>4.0389479164924351E-2</v>
      </c>
      <c r="V15" s="7">
        <f>$B15 * IFERROR(VLOOKUP("industry|NOx|Work loss days", US_national_yearly!$D:$AM, 30, FALSE) / VLOOKUP("industry|NOx|Work loss days", US_national_yearly!$D:$AM, 10, FALSE), 1)</f>
        <v>4.06666572653855E-2</v>
      </c>
      <c r="W15" s="7">
        <f>$B15 * IFERROR(VLOOKUP("industry|NOx|Work loss days", US_national_yearly!$D:$AM, 31, FALSE) / VLOOKUP("industry|NOx|Work loss days", US_national_yearly!$D:$AM, 10, FALSE), 1)</f>
        <v>4.0943835365846656E-2</v>
      </c>
      <c r="X15" s="7">
        <f>$B15 * IFERROR(VLOOKUP("industry|NOx|Work loss days", US_national_yearly!$D:$AM, 32, FALSE) / VLOOKUP("industry|NOx|Work loss days", US_national_yearly!$D:$AM, 10, FALSE), 1)</f>
        <v>4.1184297034581971E-2</v>
      </c>
      <c r="Y15" s="7">
        <f>$B15 * IFERROR(VLOOKUP("industry|NOx|Work loss days", US_national_yearly!$D:$AM, 33, FALSE) / VLOOKUP("industry|NOx|Work loss days", US_national_yearly!$D:$AM, 10, FALSE), 1)</f>
        <v>4.1424758703317292E-2</v>
      </c>
      <c r="Z15" s="7">
        <f>$B15 * IFERROR(VLOOKUP("industry|NOx|Work loss days", US_national_yearly!$D:$AM, 34, FALSE) / VLOOKUP("industry|NOx|Work loss days", US_national_yearly!$D:$AM, 10, FALSE), 1)</f>
        <v>4.1665220372052607E-2</v>
      </c>
      <c r="AA15" s="7">
        <f>$B15 * IFERROR(VLOOKUP("industry|NOx|Work loss days", US_national_yearly!$D:$AM, 35, FALSE) / VLOOKUP("industry|NOx|Work loss days", US_national_yearly!$D:$AM, 10, FALSE), 1)</f>
        <v>4.1905682040787921E-2</v>
      </c>
      <c r="AB15" s="7">
        <f>$B15 * IFERROR(VLOOKUP("industry|NOx|Work loss days", US_national_yearly!$D:$AM, 36, FALSE) / VLOOKUP("industry|NOx|Work loss days", US_national_yearly!$D:$AM, 10, FALSE), 1)</f>
        <v>4.2146143709523243E-2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7.5690234012829366E-5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7.7912701463683643E-5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8.0135168914537906E-5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8.2357636365392183E-5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8.4580103816246459E-5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8.6692390552423412E-5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8.8804677288600379E-5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9.0585487846142797E-5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9.2366298403685215E-5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9.4147108961227605E-5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9.5927919518770023E-5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9.7708730076312414E-5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9.8823590766949248E-5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9.9938451457586041E-5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1.0105331214822285E-4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1.0216817283885965E-4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1.0328303352949645E-4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1.0379734069269756E-4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1.0431164785589867E-4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1.0482595501909979E-4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1.053402621823009E-4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1.0585456934550201E-4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1.0614514929835065E-4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1.064357292511993E-4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1.0672630920404794E-4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1.0701688915689657E-4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1.0730746910974524E-4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4.3962866803516909E-3</v>
      </c>
      <c r="C2" s="7">
        <f>$B2 * IFERROR(VLOOKUP("industry|SO2|Premature mortality", US_national_yearly!$D:$AM, 11, FALSE) / VLOOKUP("industry|SO2|Premature mortality", US_national_yearly!$D:$AM, 10, FALSE), 1)</f>
        <v>4.452017978822307E-3</v>
      </c>
      <c r="D2" s="7">
        <f>$B2 * IFERROR(VLOOKUP("industry|SO2|Premature mortality", US_national_yearly!$D:$AM, 12, FALSE) / VLOOKUP("industry|SO2|Premature mortality", US_national_yearly!$D:$AM, 10, FALSE), 1)</f>
        <v>4.5077492772929214E-3</v>
      </c>
      <c r="E2" s="7">
        <f>$B2 * IFERROR(VLOOKUP("industry|SO2|Premature mortality", US_national_yearly!$D:$AM, 13, FALSE) / VLOOKUP("industry|SO2|Premature mortality", US_national_yearly!$D:$AM, 10, FALSE), 1)</f>
        <v>4.5634805757635358E-3</v>
      </c>
      <c r="F2" s="7">
        <f>$B2 * IFERROR(VLOOKUP("industry|SO2|Premature mortality", US_national_yearly!$D:$AM, 14, FALSE) / VLOOKUP("industry|SO2|Premature mortality", US_national_yearly!$D:$AM, 10, FALSE), 1)</f>
        <v>4.6192118742341519E-3</v>
      </c>
      <c r="G2" s="7">
        <f>$B2 * IFERROR(VLOOKUP("industry|SO2|Premature mortality", US_national_yearly!$D:$AM, 15, FALSE) / VLOOKUP("industry|SO2|Premature mortality", US_national_yearly!$D:$AM, 10, FALSE), 1)</f>
        <v>4.726631924284218E-3</v>
      </c>
      <c r="H2" s="7">
        <f>$B2 * IFERROR(VLOOKUP("industry|SO2|Premature mortality", US_national_yearly!$D:$AM, 16, FALSE) / VLOOKUP("industry|SO2|Premature mortality", US_national_yearly!$D:$AM, 10, FALSE), 1)</f>
        <v>4.8340519743342849E-3</v>
      </c>
      <c r="I2" s="7">
        <f>$B2 * IFERROR(VLOOKUP("industry|SO2|Premature mortality", US_national_yearly!$D:$AM, 17, FALSE) / VLOOKUP("industry|SO2|Premature mortality", US_national_yearly!$D:$AM, 10, FALSE), 1)</f>
        <v>4.9051823874049173E-3</v>
      </c>
      <c r="J2" s="7">
        <f>$B2 * IFERROR(VLOOKUP("industry|SO2|Premature mortality", US_national_yearly!$D:$AM, 18, FALSE) / VLOOKUP("industry|SO2|Premature mortality", US_national_yearly!$D:$AM, 10, FALSE), 1)</f>
        <v>4.9763128004755479E-3</v>
      </c>
      <c r="K2" s="7">
        <f>$B2 * IFERROR(VLOOKUP("industry|SO2|Premature mortality", US_national_yearly!$D:$AM, 19, FALSE) / VLOOKUP("industry|SO2|Premature mortality", US_national_yearly!$D:$AM, 10, FALSE), 1)</f>
        <v>5.0474432135461794E-3</v>
      </c>
      <c r="L2" s="7">
        <f>$B2 * IFERROR(VLOOKUP("industry|SO2|Premature mortality", US_national_yearly!$D:$AM, 20, FALSE) / VLOOKUP("industry|SO2|Premature mortality", US_national_yearly!$D:$AM, 10, FALSE), 1)</f>
        <v>5.1185736266168118E-3</v>
      </c>
      <c r="M2" s="7">
        <f>$B2 * IFERROR(VLOOKUP("industry|SO2|Premature mortality", US_national_yearly!$D:$AM, 21, FALSE) / VLOOKUP("industry|SO2|Premature mortality", US_national_yearly!$D:$AM, 10, FALSE), 1)</f>
        <v>5.1897040396874433E-3</v>
      </c>
      <c r="N2" s="7">
        <f>$B2 * IFERROR(VLOOKUP("industry|SO2|Premature mortality", US_national_yearly!$D:$AM, 22, FALSE) / VLOOKUP("industry|SO2|Premature mortality", US_national_yearly!$D:$AM, 10, FALSE), 1)</f>
        <v>5.245344934772524E-3</v>
      </c>
      <c r="O2" s="7">
        <f>$B2 * IFERROR(VLOOKUP("industry|SO2|Premature mortality", US_national_yearly!$D:$AM, 23, FALSE) / VLOOKUP("industry|SO2|Premature mortality", US_national_yearly!$D:$AM, 10, FALSE), 1)</f>
        <v>5.3009858298576048E-3</v>
      </c>
      <c r="P2" s="7">
        <f>$B2 * IFERROR(VLOOKUP("industry|SO2|Premature mortality", US_national_yearly!$D:$AM, 24, FALSE) / VLOOKUP("industry|SO2|Premature mortality", US_national_yearly!$D:$AM, 10, FALSE), 1)</f>
        <v>5.3566267249426864E-3</v>
      </c>
      <c r="Q2" s="7">
        <f>$B2 * IFERROR(VLOOKUP("industry|SO2|Premature mortality", US_national_yearly!$D:$AM, 25, FALSE) / VLOOKUP("industry|SO2|Premature mortality", US_national_yearly!$D:$AM, 10, FALSE), 1)</f>
        <v>5.4122676200277671E-3</v>
      </c>
      <c r="R2" s="7">
        <f>$B2 * IFERROR(VLOOKUP("industry|SO2|Premature mortality", US_national_yearly!$D:$AM, 26, FALSE) / VLOOKUP("industry|SO2|Premature mortality", US_national_yearly!$D:$AM, 10, FALSE), 1)</f>
        <v>5.4679085151128487E-3</v>
      </c>
      <c r="S2" s="7">
        <f>$B2 * IFERROR(VLOOKUP("industry|SO2|Premature mortality", US_national_yearly!$D:$AM, 27, FALSE) / VLOOKUP("industry|SO2|Premature mortality", US_national_yearly!$D:$AM, 10, FALSE), 1)</f>
        <v>5.4979515331638395E-3</v>
      </c>
      <c r="T2" s="7">
        <f>$B2 * IFERROR(VLOOKUP("industry|SO2|Premature mortality", US_national_yearly!$D:$AM, 28, FALSE) / VLOOKUP("industry|SO2|Premature mortality", US_national_yearly!$D:$AM, 10, FALSE), 1)</f>
        <v>5.5279945512148312E-3</v>
      </c>
      <c r="U2" s="7">
        <f>$B2 * IFERROR(VLOOKUP("industry|SO2|Premature mortality", US_national_yearly!$D:$AM, 29, FALSE) / VLOOKUP("industry|SO2|Premature mortality", US_national_yearly!$D:$AM, 10, FALSE), 1)</f>
        <v>5.5580375692658238E-3</v>
      </c>
      <c r="V2" s="7">
        <f>$B2 * IFERROR(VLOOKUP("industry|SO2|Premature mortality", US_national_yearly!$D:$AM, 30, FALSE) / VLOOKUP("industry|SO2|Premature mortality", US_national_yearly!$D:$AM, 10, FALSE), 1)</f>
        <v>5.5880805873168163E-3</v>
      </c>
      <c r="W2" s="7">
        <f>$B2 * IFERROR(VLOOKUP("industry|SO2|Premature mortality", US_national_yearly!$D:$AM, 31, FALSE) / VLOOKUP("industry|SO2|Premature mortality", US_national_yearly!$D:$AM, 10, FALSE), 1)</f>
        <v>5.618123605367808E-3</v>
      </c>
      <c r="X2" s="7">
        <f>$B2 * IFERROR(VLOOKUP("industry|SO2|Premature mortality", US_national_yearly!$D:$AM, 32, FALSE) / VLOOKUP("industry|SO2|Premature mortality", US_national_yearly!$D:$AM, 10, FALSE), 1)</f>
        <v>5.6245897795822418E-3</v>
      </c>
      <c r="Y2" s="7">
        <f>$B2 * IFERROR(VLOOKUP("industry|SO2|Premature mortality", US_national_yearly!$D:$AM, 33, FALSE) / VLOOKUP("industry|SO2|Premature mortality", US_national_yearly!$D:$AM, 10, FALSE), 1)</f>
        <v>5.6310559537966747E-3</v>
      </c>
      <c r="Z2" s="7">
        <f>$B2 * IFERROR(VLOOKUP("industry|SO2|Premature mortality", US_national_yearly!$D:$AM, 34, FALSE) / VLOOKUP("industry|SO2|Premature mortality", US_national_yearly!$D:$AM, 10, FALSE), 1)</f>
        <v>5.6375221280111094E-3</v>
      </c>
      <c r="AA2" s="7">
        <f>$B2 * IFERROR(VLOOKUP("industry|SO2|Premature mortality", US_national_yearly!$D:$AM, 35, FALSE) / VLOOKUP("industry|SO2|Premature mortality", US_national_yearly!$D:$AM, 10, FALSE), 1)</f>
        <v>5.6439883022255432E-3</v>
      </c>
      <c r="AB2" s="7">
        <f>$B2 * IFERROR(VLOOKUP("industry|SO2|Premature mortality", US_national_yearly!$D:$AM, 36, FALSE) / VLOOKUP("industry|SO2|Premature mortality", US_national_yearly!$D:$AM, 10, FALSE), 1)</f>
        <v>5.6504544764399769E-3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1.1930865081066866E-5</v>
      </c>
      <c r="C3" s="7">
        <f>$B3 * IFERROR(VLOOKUP("industry|SO2|Infant mortality", US_national_yearly!$D:$AM, 11, FALSE) / VLOOKUP("industry|SO2|Infant mortality", US_national_yearly!$D:$AM, 10, FALSE), 1)</f>
        <v>1.1828222928704792E-5</v>
      </c>
      <c r="D3" s="7">
        <f>$B3 * IFERROR(VLOOKUP("industry|SO2|Infant mortality", US_national_yearly!$D:$AM, 12, FALSE) / VLOOKUP("industry|SO2|Infant mortality", US_national_yearly!$D:$AM, 10, FALSE), 1)</f>
        <v>1.172558077634272E-5</v>
      </c>
      <c r="E3" s="7">
        <f>$B3 * IFERROR(VLOOKUP("industry|SO2|Infant mortality", US_national_yearly!$D:$AM, 13, FALSE) / VLOOKUP("industry|SO2|Infant mortality", US_national_yearly!$D:$AM, 10, FALSE), 1)</f>
        <v>1.1622938623980647E-5</v>
      </c>
      <c r="F3" s="7">
        <f>$B3 * IFERROR(VLOOKUP("industry|SO2|Infant mortality", US_national_yearly!$D:$AM, 14, FALSE) / VLOOKUP("industry|SO2|Infant mortality", US_national_yearly!$D:$AM, 10, FALSE), 1)</f>
        <v>1.1520296471618575E-5</v>
      </c>
      <c r="G3" s="7">
        <f>$B3 * IFERROR(VLOOKUP("industry|SO2|Infant mortality", US_national_yearly!$D:$AM, 15, FALSE) / VLOOKUP("industry|SO2|Infant mortality", US_national_yearly!$D:$AM, 10, FALSE), 1)</f>
        <v>7.6690423096651714E-6</v>
      </c>
      <c r="H3" s="7">
        <f>$B3 * IFERROR(VLOOKUP("industry|SO2|Infant mortality", US_national_yearly!$D:$AM, 16, FALSE) / VLOOKUP("industry|SO2|Infant mortality", US_national_yearly!$D:$AM, 10, FALSE), 1)</f>
        <v>3.817788147711769E-6</v>
      </c>
      <c r="I3" s="7">
        <f>$B3 * IFERROR(VLOOKUP("industry|SO2|Infant mortality", US_national_yearly!$D:$AM, 17, FALSE) / VLOOKUP("industry|SO2|Infant mortality", US_national_yearly!$D:$AM, 10, FALSE), 1)</f>
        <v>3.7935455185957466E-6</v>
      </c>
      <c r="J3" s="7">
        <f>$B3 * IFERROR(VLOOKUP("industry|SO2|Infant mortality", US_national_yearly!$D:$AM, 18, FALSE) / VLOOKUP("industry|SO2|Infant mortality", US_national_yearly!$D:$AM, 10, FALSE), 1)</f>
        <v>3.7693028894797237E-6</v>
      </c>
      <c r="K3" s="7">
        <f>$B3 * IFERROR(VLOOKUP("industry|SO2|Infant mortality", US_national_yearly!$D:$AM, 19, FALSE) / VLOOKUP("industry|SO2|Infant mortality", US_national_yearly!$D:$AM, 10, FALSE), 1)</f>
        <v>3.7450602603637005E-6</v>
      </c>
      <c r="L3" s="7">
        <f>$B3 * IFERROR(VLOOKUP("industry|SO2|Infant mortality", US_national_yearly!$D:$AM, 20, FALSE) / VLOOKUP("industry|SO2|Infant mortality", US_national_yearly!$D:$AM, 10, FALSE), 1)</f>
        <v>3.7208176312476776E-6</v>
      </c>
      <c r="M3" s="7">
        <f>$B3 * IFERROR(VLOOKUP("industry|SO2|Infant mortality", US_national_yearly!$D:$AM, 21, FALSE) / VLOOKUP("industry|SO2|Infant mortality", US_national_yearly!$D:$AM, 10, FALSE), 1)</f>
        <v>3.6965750021316548E-6</v>
      </c>
      <c r="N3" s="7">
        <f>$B3 * IFERROR(VLOOKUP("industry|SO2|Infant mortality", US_national_yearly!$D:$AM, 22, FALSE) / VLOOKUP("industry|SO2|Infant mortality", US_national_yearly!$D:$AM, 10, FALSE), 1)</f>
        <v>3.6812099099073166E-6</v>
      </c>
      <c r="O3" s="7">
        <f>$B3 * IFERROR(VLOOKUP("industry|SO2|Infant mortality", US_national_yearly!$D:$AM, 23, FALSE) / VLOOKUP("industry|SO2|Infant mortality", US_national_yearly!$D:$AM, 10, FALSE), 1)</f>
        <v>3.6658448176829779E-6</v>
      </c>
      <c r="P3" s="7">
        <f>$B3 * IFERROR(VLOOKUP("industry|SO2|Infant mortality", US_national_yearly!$D:$AM, 24, FALSE) / VLOOKUP("industry|SO2|Infant mortality", US_national_yearly!$D:$AM, 10, FALSE), 1)</f>
        <v>3.6504797254586396E-6</v>
      </c>
      <c r="Q3" s="7">
        <f>$B3 * IFERROR(VLOOKUP("industry|SO2|Infant mortality", US_national_yearly!$D:$AM, 25, FALSE) / VLOOKUP("industry|SO2|Infant mortality", US_national_yearly!$D:$AM, 10, FALSE), 1)</f>
        <v>3.6351146332343009E-6</v>
      </c>
      <c r="R3" s="7">
        <f>$B3 * IFERROR(VLOOKUP("industry|SO2|Infant mortality", US_national_yearly!$D:$AM, 26, FALSE) / VLOOKUP("industry|SO2|Infant mortality", US_national_yearly!$D:$AM, 10, FALSE), 1)</f>
        <v>3.6197495410099627E-6</v>
      </c>
      <c r="S3" s="7">
        <f>$B3 * IFERROR(VLOOKUP("industry|SO2|Infant mortality", US_national_yearly!$D:$AM, 27, FALSE) / VLOOKUP("industry|SO2|Infant mortality", US_national_yearly!$D:$AM, 10, FALSE), 1)</f>
        <v>3.6006278590168926E-6</v>
      </c>
      <c r="T3" s="7">
        <f>$B3 * IFERROR(VLOOKUP("industry|SO2|Infant mortality", US_national_yearly!$D:$AM, 28, FALSE) / VLOOKUP("industry|SO2|Infant mortality", US_national_yearly!$D:$AM, 10, FALSE), 1)</f>
        <v>3.5815061770238222E-6</v>
      </c>
      <c r="U3" s="7">
        <f>$B3 * IFERROR(VLOOKUP("industry|SO2|Infant mortality", US_national_yearly!$D:$AM, 29, FALSE) / VLOOKUP("industry|SO2|Infant mortality", US_national_yearly!$D:$AM, 10, FALSE), 1)</f>
        <v>3.5623844950307521E-6</v>
      </c>
      <c r="V3" s="7">
        <f>$B3 * IFERROR(VLOOKUP("industry|SO2|Infant mortality", US_national_yearly!$D:$AM, 30, FALSE) / VLOOKUP("industry|SO2|Infant mortality", US_national_yearly!$D:$AM, 10, FALSE), 1)</f>
        <v>3.5432628130376817E-6</v>
      </c>
      <c r="W3" s="7">
        <f>$B3 * IFERROR(VLOOKUP("industry|SO2|Infant mortality", US_national_yearly!$D:$AM, 31, FALSE) / VLOOKUP("industry|SO2|Infant mortality", US_national_yearly!$D:$AM, 10, FALSE), 1)</f>
        <v>3.5241411310446116E-6</v>
      </c>
      <c r="X3" s="7">
        <f>$B3 * IFERROR(VLOOKUP("industry|SO2|Infant mortality", US_national_yearly!$D:$AM, 32, FALSE) / VLOOKUP("industry|SO2|Infant mortality", US_national_yearly!$D:$AM, 10, FALSE), 1)</f>
        <v>3.5033615690313678E-6</v>
      </c>
      <c r="Y3" s="7">
        <f>$B3 * IFERROR(VLOOKUP("industry|SO2|Infant mortality", US_national_yearly!$D:$AM, 33, FALSE) / VLOOKUP("industry|SO2|Infant mortality", US_national_yearly!$D:$AM, 10, FALSE), 1)</f>
        <v>3.4825820070181244E-6</v>
      </c>
      <c r="Z3" s="7">
        <f>$B3 * IFERROR(VLOOKUP("industry|SO2|Infant mortality", US_national_yearly!$D:$AM, 34, FALSE) / VLOOKUP("industry|SO2|Infant mortality", US_national_yearly!$D:$AM, 10, FALSE), 1)</f>
        <v>3.4618024450048805E-6</v>
      </c>
      <c r="AA3" s="7">
        <f>$B3 * IFERROR(VLOOKUP("industry|SO2|Infant mortality", US_national_yearly!$D:$AM, 35, FALSE) / VLOOKUP("industry|SO2|Infant mortality", US_national_yearly!$D:$AM, 10, FALSE), 1)</f>
        <v>3.4410228829916371E-6</v>
      </c>
      <c r="AB3" s="7">
        <f>$B3 * IFERROR(VLOOKUP("industry|SO2|Infant mortality", US_national_yearly!$D:$AM, 36, FALSE) / VLOOKUP("industry|SO2|Infant mortality", US_national_yearly!$D:$AM, 10, FALSE), 1)</f>
        <v>3.4202433209783933E-6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1.193386329970408E-2</v>
      </c>
      <c r="C6" s="7">
        <f>$B6 * IFERROR(VLOOKUP("industry|SO2|Asthma symptoms cough", US_national_yearly!$D:$AM, 11, FALSE) / VLOOKUP("industry|SO2|Asthma symptoms cough", US_national_yearly!$D:$AM, 10, FALSE), 1)</f>
        <v>1.193386329970408E-2</v>
      </c>
      <c r="D6" s="7">
        <f>$B6 * IFERROR(VLOOKUP("industry|SO2|Asthma symptoms cough", US_national_yearly!$D:$AM, 12, FALSE) / VLOOKUP("industry|SO2|Asthma symptoms cough", US_national_yearly!$D:$AM, 10, FALSE), 1)</f>
        <v>1.193386329970408E-2</v>
      </c>
      <c r="E6" s="7">
        <f>$B6 * IFERROR(VLOOKUP("industry|SO2|Asthma symptoms cough", US_national_yearly!$D:$AM, 13, FALSE) / VLOOKUP("industry|SO2|Asthma symptoms cough", US_national_yearly!$D:$AM, 10, FALSE), 1)</f>
        <v>1.193386329970408E-2</v>
      </c>
      <c r="F6" s="7">
        <f>$B6 * IFERROR(VLOOKUP("industry|SO2|Asthma symptoms cough", US_national_yearly!$D:$AM, 14, FALSE) / VLOOKUP("industry|SO2|Asthma symptoms cough", US_national_yearly!$D:$AM, 10, FALSE), 1)</f>
        <v>1.193386329970408E-2</v>
      </c>
      <c r="G6" s="7">
        <f>$B6 * IFERROR(VLOOKUP("industry|SO2|Asthma symptoms cough", US_national_yearly!$D:$AM, 15, FALSE) / VLOOKUP("industry|SO2|Asthma symptoms cough", US_national_yearly!$D:$AM, 10, FALSE), 1)</f>
        <v>1.193386329970408E-2</v>
      </c>
      <c r="H6" s="7">
        <f>$B6 * IFERROR(VLOOKUP("industry|SO2|Asthma symptoms cough", US_national_yearly!$D:$AM, 16, FALSE) / VLOOKUP("industry|SO2|Asthma symptoms cough", US_national_yearly!$D:$AM, 10, FALSE), 1)</f>
        <v>1.193386329970408E-2</v>
      </c>
      <c r="I6" s="7">
        <f>$B6 * IFERROR(VLOOKUP("industry|SO2|Asthma symptoms cough", US_national_yearly!$D:$AM, 17, FALSE) / VLOOKUP("industry|SO2|Asthma symptoms cough", US_national_yearly!$D:$AM, 10, FALSE), 1)</f>
        <v>1.193386329970408E-2</v>
      </c>
      <c r="J6" s="7">
        <f>$B6 * IFERROR(VLOOKUP("industry|SO2|Asthma symptoms cough", US_national_yearly!$D:$AM, 18, FALSE) / VLOOKUP("industry|SO2|Asthma symptoms cough", US_national_yearly!$D:$AM, 10, FALSE), 1)</f>
        <v>1.193386329970408E-2</v>
      </c>
      <c r="K6" s="7">
        <f>$B6 * IFERROR(VLOOKUP("industry|SO2|Asthma symptoms cough", US_national_yearly!$D:$AM, 19, FALSE) / VLOOKUP("industry|SO2|Asthma symptoms cough", US_national_yearly!$D:$AM, 10, FALSE), 1)</f>
        <v>1.193386329970408E-2</v>
      </c>
      <c r="L6" s="7">
        <f>$B6 * IFERROR(VLOOKUP("industry|SO2|Asthma symptoms cough", US_national_yearly!$D:$AM, 20, FALSE) / VLOOKUP("industry|SO2|Asthma symptoms cough", US_national_yearly!$D:$AM, 10, FALSE), 1)</f>
        <v>1.193386329970408E-2</v>
      </c>
      <c r="M6" s="7">
        <f>$B6 * IFERROR(VLOOKUP("industry|SO2|Asthma symptoms cough", US_national_yearly!$D:$AM, 21, FALSE) / VLOOKUP("industry|SO2|Asthma symptoms cough", US_national_yearly!$D:$AM, 10, FALSE), 1)</f>
        <v>1.193386329970408E-2</v>
      </c>
      <c r="N6" s="7">
        <f>$B6 * IFERROR(VLOOKUP("industry|SO2|Asthma symptoms cough", US_national_yearly!$D:$AM, 22, FALSE) / VLOOKUP("industry|SO2|Asthma symptoms cough", US_national_yearly!$D:$AM, 10, FALSE), 1)</f>
        <v>1.193386329970408E-2</v>
      </c>
      <c r="O6" s="7">
        <f>$B6 * IFERROR(VLOOKUP("industry|SO2|Asthma symptoms cough", US_national_yearly!$D:$AM, 23, FALSE) / VLOOKUP("industry|SO2|Asthma symptoms cough", US_national_yearly!$D:$AM, 10, FALSE), 1)</f>
        <v>1.193386329970408E-2</v>
      </c>
      <c r="P6" s="7">
        <f>$B6 * IFERROR(VLOOKUP("industry|SO2|Asthma symptoms cough", US_national_yearly!$D:$AM, 24, FALSE) / VLOOKUP("industry|SO2|Asthma symptoms cough", US_national_yearly!$D:$AM, 10, FALSE), 1)</f>
        <v>1.193386329970408E-2</v>
      </c>
      <c r="Q6" s="7">
        <f>$B6 * IFERROR(VLOOKUP("industry|SO2|Asthma symptoms cough", US_national_yearly!$D:$AM, 25, FALSE) / VLOOKUP("industry|SO2|Asthma symptoms cough", US_national_yearly!$D:$AM, 10, FALSE), 1)</f>
        <v>1.193386329970408E-2</v>
      </c>
      <c r="R6" s="7">
        <f>$B6 * IFERROR(VLOOKUP("industry|SO2|Asthma symptoms cough", US_national_yearly!$D:$AM, 26, FALSE) / VLOOKUP("industry|SO2|Asthma symptoms cough", US_national_yearly!$D:$AM, 10, FALSE), 1)</f>
        <v>1.193386329970408E-2</v>
      </c>
      <c r="S6" s="7">
        <f>$B6 * IFERROR(VLOOKUP("industry|SO2|Asthma symptoms cough", US_national_yearly!$D:$AM, 27, FALSE) / VLOOKUP("industry|SO2|Asthma symptoms cough", US_national_yearly!$D:$AM, 10, FALSE), 1)</f>
        <v>1.193386329970408E-2</v>
      </c>
      <c r="T6" s="7">
        <f>$B6 * IFERROR(VLOOKUP("industry|SO2|Asthma symptoms cough", US_national_yearly!$D:$AM, 28, FALSE) / VLOOKUP("industry|SO2|Asthma symptoms cough", US_national_yearly!$D:$AM, 10, FALSE), 1)</f>
        <v>1.193386329970408E-2</v>
      </c>
      <c r="U6" s="7">
        <f>$B6 * IFERROR(VLOOKUP("industry|SO2|Asthma symptoms cough", US_national_yearly!$D:$AM, 29, FALSE) / VLOOKUP("industry|SO2|Asthma symptoms cough", US_national_yearly!$D:$AM, 10, FALSE), 1)</f>
        <v>1.193386329970408E-2</v>
      </c>
      <c r="V6" s="7">
        <f>$B6 * IFERROR(VLOOKUP("industry|SO2|Asthma symptoms cough", US_national_yearly!$D:$AM, 30, FALSE) / VLOOKUP("industry|SO2|Asthma symptoms cough", US_national_yearly!$D:$AM, 10, FALSE), 1)</f>
        <v>1.193386329970408E-2</v>
      </c>
      <c r="W6" s="7">
        <f>$B6 * IFERROR(VLOOKUP("industry|SO2|Asthma symptoms cough", US_national_yearly!$D:$AM, 31, FALSE) / VLOOKUP("industry|SO2|Asthma symptoms cough", US_national_yearly!$D:$AM, 10, FALSE), 1)</f>
        <v>1.193386329970408E-2</v>
      </c>
      <c r="X6" s="7">
        <f>$B6 * IFERROR(VLOOKUP("industry|SO2|Asthma symptoms cough", US_national_yearly!$D:$AM, 32, FALSE) / VLOOKUP("industry|SO2|Asthma symptoms cough", US_national_yearly!$D:$AM, 10, FALSE), 1)</f>
        <v>1.193386329970408E-2</v>
      </c>
      <c r="Y6" s="7">
        <f>$B6 * IFERROR(VLOOKUP("industry|SO2|Asthma symptoms cough", US_national_yearly!$D:$AM, 33, FALSE) / VLOOKUP("industry|SO2|Asthma symptoms cough", US_national_yearly!$D:$AM, 10, FALSE), 1)</f>
        <v>1.193386329970408E-2</v>
      </c>
      <c r="Z6" s="7">
        <f>$B6 * IFERROR(VLOOKUP("industry|SO2|Asthma symptoms cough", US_national_yearly!$D:$AM, 34, FALSE) / VLOOKUP("industry|SO2|Asthma symptoms cough", US_national_yearly!$D:$AM, 10, FALSE), 1)</f>
        <v>1.193386329970408E-2</v>
      </c>
      <c r="AA6" s="7">
        <f>$B6 * IFERROR(VLOOKUP("industry|SO2|Asthma symptoms cough", US_national_yearly!$D:$AM, 35, FALSE) / VLOOKUP("industry|SO2|Asthma symptoms cough", US_national_yearly!$D:$AM, 10, FALSE), 1)</f>
        <v>1.193386329970408E-2</v>
      </c>
      <c r="AB6" s="7">
        <f>$B6 * IFERROR(VLOOKUP("industry|SO2|Asthma symptoms cough", US_national_yearly!$D:$AM, 36, FALSE) / VLOOKUP("industry|SO2|Asthma symptoms cough", US_national_yearly!$D:$AM, 10, FALSE), 1)</f>
        <v>1.193386329970408E-2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1.6070540357640939E-2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1.6070540357640939E-2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1.6070540357640939E-2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1.6070540357640939E-2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1.6070540357640939E-2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1.6070540357640939E-2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1.6070540357640939E-2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1.6070540357640939E-2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1.6070540357640939E-2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1.6070540357640939E-2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1.6070540357640939E-2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1.6070540357640939E-2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1.6070540357640939E-2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1.6070540357640939E-2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1.6070540357640939E-2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1.6070540357640939E-2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1.6070540357640939E-2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1.6070540357640939E-2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1.6070540357640939E-2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1.6070540357640939E-2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1.6070540357640939E-2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1.6070540357640939E-2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1.6070540357640939E-2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1.6070540357640939E-2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1.6070540357640939E-2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1.6070540357640939E-2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1.6070540357640939E-2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2.4553555116078343E-2</v>
      </c>
      <c r="C8" s="7">
        <f>$B8 * IFERROR(VLOOKUP("industry|SO2|Asthma symptoms wheeze", US_national_yearly!$D:$AM, 11, FALSE) / VLOOKUP("industry|SO2|Asthma symptoms wheeze", US_national_yearly!$D:$AM, 10, FALSE), 1)</f>
        <v>2.4553555116078343E-2</v>
      </c>
      <c r="D8" s="7">
        <f>$B8 * IFERROR(VLOOKUP("industry|SO2|Asthma symptoms wheeze", US_national_yearly!$D:$AM, 12, FALSE) / VLOOKUP("industry|SO2|Asthma symptoms wheeze", US_national_yearly!$D:$AM, 10, FALSE), 1)</f>
        <v>2.4553555116078343E-2</v>
      </c>
      <c r="E8" s="7">
        <f>$B8 * IFERROR(VLOOKUP("industry|SO2|Asthma symptoms wheeze", US_national_yearly!$D:$AM, 13, FALSE) / VLOOKUP("industry|SO2|Asthma symptoms wheeze", US_national_yearly!$D:$AM, 10, FALSE), 1)</f>
        <v>2.4553555116078343E-2</v>
      </c>
      <c r="F8" s="7">
        <f>$B8 * IFERROR(VLOOKUP("industry|SO2|Asthma symptoms wheeze", US_national_yearly!$D:$AM, 14, FALSE) / VLOOKUP("industry|SO2|Asthma symptoms wheeze", US_national_yearly!$D:$AM, 10, FALSE), 1)</f>
        <v>2.4553555116078343E-2</v>
      </c>
      <c r="G8" s="7">
        <f>$B8 * IFERROR(VLOOKUP("industry|SO2|Asthma symptoms wheeze", US_national_yearly!$D:$AM, 15, FALSE) / VLOOKUP("industry|SO2|Asthma symptoms wheeze", US_national_yearly!$D:$AM, 10, FALSE), 1)</f>
        <v>2.4553555116078343E-2</v>
      </c>
      <c r="H8" s="7">
        <f>$B8 * IFERROR(VLOOKUP("industry|SO2|Asthma symptoms wheeze", US_national_yearly!$D:$AM, 16, FALSE) / VLOOKUP("industry|SO2|Asthma symptoms wheeze", US_national_yearly!$D:$AM, 10, FALSE), 1)</f>
        <v>2.4553555116078343E-2</v>
      </c>
      <c r="I8" s="7">
        <f>$B8 * IFERROR(VLOOKUP("industry|SO2|Asthma symptoms wheeze", US_national_yearly!$D:$AM, 17, FALSE) / VLOOKUP("industry|SO2|Asthma symptoms wheeze", US_national_yearly!$D:$AM, 10, FALSE), 1)</f>
        <v>2.4553555116078343E-2</v>
      </c>
      <c r="J8" s="7">
        <f>$B8 * IFERROR(VLOOKUP("industry|SO2|Asthma symptoms wheeze", US_national_yearly!$D:$AM, 18, FALSE) / VLOOKUP("industry|SO2|Asthma symptoms wheeze", US_national_yearly!$D:$AM, 10, FALSE), 1)</f>
        <v>2.4553555116078343E-2</v>
      </c>
      <c r="K8" s="7">
        <f>$B8 * IFERROR(VLOOKUP("industry|SO2|Asthma symptoms wheeze", US_national_yearly!$D:$AM, 19, FALSE) / VLOOKUP("industry|SO2|Asthma symptoms wheeze", US_national_yearly!$D:$AM, 10, FALSE), 1)</f>
        <v>2.4553555116078343E-2</v>
      </c>
      <c r="L8" s="7">
        <f>$B8 * IFERROR(VLOOKUP("industry|SO2|Asthma symptoms wheeze", US_national_yearly!$D:$AM, 20, FALSE) / VLOOKUP("industry|SO2|Asthma symptoms wheeze", US_national_yearly!$D:$AM, 10, FALSE), 1)</f>
        <v>2.4553555116078343E-2</v>
      </c>
      <c r="M8" s="7">
        <f>$B8 * IFERROR(VLOOKUP("industry|SO2|Asthma symptoms wheeze", US_national_yearly!$D:$AM, 21, FALSE) / VLOOKUP("industry|SO2|Asthma symptoms wheeze", US_national_yearly!$D:$AM, 10, FALSE), 1)</f>
        <v>2.4553555116078343E-2</v>
      </c>
      <c r="N8" s="7">
        <f>$B8 * IFERROR(VLOOKUP("industry|SO2|Asthma symptoms wheeze", US_national_yearly!$D:$AM, 22, FALSE) / VLOOKUP("industry|SO2|Asthma symptoms wheeze", US_national_yearly!$D:$AM, 10, FALSE), 1)</f>
        <v>2.4553555116078343E-2</v>
      </c>
      <c r="O8" s="7">
        <f>$B8 * IFERROR(VLOOKUP("industry|SO2|Asthma symptoms wheeze", US_national_yearly!$D:$AM, 23, FALSE) / VLOOKUP("industry|SO2|Asthma symptoms wheeze", US_national_yearly!$D:$AM, 10, FALSE), 1)</f>
        <v>2.4553555116078343E-2</v>
      </c>
      <c r="P8" s="7">
        <f>$B8 * IFERROR(VLOOKUP("industry|SO2|Asthma symptoms wheeze", US_national_yearly!$D:$AM, 24, FALSE) / VLOOKUP("industry|SO2|Asthma symptoms wheeze", US_national_yearly!$D:$AM, 10, FALSE), 1)</f>
        <v>2.4553555116078343E-2</v>
      </c>
      <c r="Q8" s="7">
        <f>$B8 * IFERROR(VLOOKUP("industry|SO2|Asthma symptoms wheeze", US_national_yearly!$D:$AM, 25, FALSE) / VLOOKUP("industry|SO2|Asthma symptoms wheeze", US_national_yearly!$D:$AM, 10, FALSE), 1)</f>
        <v>2.4553555116078343E-2</v>
      </c>
      <c r="R8" s="7">
        <f>$B8 * IFERROR(VLOOKUP("industry|SO2|Asthma symptoms wheeze", US_national_yearly!$D:$AM, 26, FALSE) / VLOOKUP("industry|SO2|Asthma symptoms wheeze", US_national_yearly!$D:$AM, 10, FALSE), 1)</f>
        <v>2.4553555116078343E-2</v>
      </c>
      <c r="S8" s="7">
        <f>$B8 * IFERROR(VLOOKUP("industry|SO2|Asthma symptoms wheeze", US_national_yearly!$D:$AM, 27, FALSE) / VLOOKUP("industry|SO2|Asthma symptoms wheeze", US_national_yearly!$D:$AM, 10, FALSE), 1)</f>
        <v>2.4553555116078343E-2</v>
      </c>
      <c r="T8" s="7">
        <f>$B8 * IFERROR(VLOOKUP("industry|SO2|Asthma symptoms wheeze", US_national_yearly!$D:$AM, 28, FALSE) / VLOOKUP("industry|SO2|Asthma symptoms wheeze", US_national_yearly!$D:$AM, 10, FALSE), 1)</f>
        <v>2.4553555116078343E-2</v>
      </c>
      <c r="U8" s="7">
        <f>$B8 * IFERROR(VLOOKUP("industry|SO2|Asthma symptoms wheeze", US_national_yearly!$D:$AM, 29, FALSE) / VLOOKUP("industry|SO2|Asthma symptoms wheeze", US_national_yearly!$D:$AM, 10, FALSE), 1)</f>
        <v>2.4553555116078343E-2</v>
      </c>
      <c r="V8" s="7">
        <f>$B8 * IFERROR(VLOOKUP("industry|SO2|Asthma symptoms wheeze", US_national_yearly!$D:$AM, 30, FALSE) / VLOOKUP("industry|SO2|Asthma symptoms wheeze", US_national_yearly!$D:$AM, 10, FALSE), 1)</f>
        <v>2.4553555116078343E-2</v>
      </c>
      <c r="W8" s="7">
        <f>$B8 * IFERROR(VLOOKUP("industry|SO2|Asthma symptoms wheeze", US_national_yearly!$D:$AM, 31, FALSE) / VLOOKUP("industry|SO2|Asthma symptoms wheeze", US_national_yearly!$D:$AM, 10, FALSE), 1)</f>
        <v>2.4553555116078343E-2</v>
      </c>
      <c r="X8" s="7">
        <f>$B8 * IFERROR(VLOOKUP("industry|SO2|Asthma symptoms wheeze", US_national_yearly!$D:$AM, 32, FALSE) / VLOOKUP("industry|SO2|Asthma symptoms wheeze", US_national_yearly!$D:$AM, 10, FALSE), 1)</f>
        <v>2.4553555116078343E-2</v>
      </c>
      <c r="Y8" s="7">
        <f>$B8 * IFERROR(VLOOKUP("industry|SO2|Asthma symptoms wheeze", US_national_yearly!$D:$AM, 33, FALSE) / VLOOKUP("industry|SO2|Asthma symptoms wheeze", US_national_yearly!$D:$AM, 10, FALSE), 1)</f>
        <v>2.4553555116078343E-2</v>
      </c>
      <c r="Z8" s="7">
        <f>$B8 * IFERROR(VLOOKUP("industry|SO2|Asthma symptoms wheeze", US_national_yearly!$D:$AM, 34, FALSE) / VLOOKUP("industry|SO2|Asthma symptoms wheeze", US_national_yearly!$D:$AM, 10, FALSE), 1)</f>
        <v>2.4553555116078343E-2</v>
      </c>
      <c r="AA8" s="7">
        <f>$B8 * IFERROR(VLOOKUP("industry|SO2|Asthma symptoms wheeze", US_national_yearly!$D:$AM, 35, FALSE) / VLOOKUP("industry|SO2|Asthma symptoms wheeze", US_national_yearly!$D:$AM, 10, FALSE), 1)</f>
        <v>2.4553555116078343E-2</v>
      </c>
      <c r="AB8" s="7">
        <f>$B8 * IFERROR(VLOOKUP("industry|SO2|Asthma symptoms wheeze", US_national_yearly!$D:$AM, 36, FALSE) / VLOOKUP("industry|SO2|Asthma symptoms wheeze", US_national_yearly!$D:$AM, 10, FALSE), 1)</f>
        <v>2.4553555116078343E-2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3.4168003837594171E-4</v>
      </c>
      <c r="C12" s="7">
        <f>$B12 * IFERROR(VLOOKUP("industry|SO2|Respiratory hospital admissions", US_national_yearly!$D:$AM, 11, FALSE) / VLOOKUP("industry|SO2|Respiratory hospital admissions", US_national_yearly!$D:$AM, 10, FALSE), 1)</f>
        <v>3.4368163111600666E-4</v>
      </c>
      <c r="D12" s="7">
        <f>$B12 * IFERROR(VLOOKUP("industry|SO2|Respiratory hospital admissions", US_national_yearly!$D:$AM, 12, FALSE) / VLOOKUP("industry|SO2|Respiratory hospital admissions", US_national_yearly!$D:$AM, 10, FALSE), 1)</f>
        <v>3.456832238560716E-4</v>
      </c>
      <c r="E12" s="7">
        <f>$B12 * IFERROR(VLOOKUP("industry|SO2|Respiratory hospital admissions", US_national_yearly!$D:$AM, 13, FALSE) / VLOOKUP("industry|SO2|Respiratory hospital admissions", US_national_yearly!$D:$AM, 10, FALSE), 1)</f>
        <v>3.4768481659613654E-4</v>
      </c>
      <c r="F12" s="7">
        <f>$B12 * IFERROR(VLOOKUP("industry|SO2|Respiratory hospital admissions", US_national_yearly!$D:$AM, 14, FALSE) / VLOOKUP("industry|SO2|Respiratory hospital admissions", US_national_yearly!$D:$AM, 10, FALSE), 1)</f>
        <v>3.4968640933620153E-4</v>
      </c>
      <c r="G12" s="7">
        <f>$B12 * IFERROR(VLOOKUP("industry|SO2|Respiratory hospital admissions", US_national_yearly!$D:$AM, 15, FALSE) / VLOOKUP("industry|SO2|Respiratory hospital admissions", US_national_yearly!$D:$AM, 10, FALSE), 1)</f>
        <v>3.5186853261533739E-4</v>
      </c>
      <c r="H12" s="7">
        <f>$B12 * IFERROR(VLOOKUP("industry|SO2|Respiratory hospital admissions", US_national_yearly!$D:$AM, 16, FALSE) / VLOOKUP("industry|SO2|Respiratory hospital admissions", US_national_yearly!$D:$AM, 10, FALSE), 1)</f>
        <v>3.540506558944733E-4</v>
      </c>
      <c r="I12" s="7">
        <f>$B12 * IFERROR(VLOOKUP("industry|SO2|Respiratory hospital admissions", US_national_yearly!$D:$AM, 17, FALSE) / VLOOKUP("industry|SO2|Respiratory hospital admissions", US_national_yearly!$D:$AM, 10, FALSE), 1)</f>
        <v>3.5619385875978625E-4</v>
      </c>
      <c r="J12" s="7">
        <f>$B12 * IFERROR(VLOOKUP("industry|SO2|Respiratory hospital admissions", US_national_yearly!$D:$AM, 18, FALSE) / VLOOKUP("industry|SO2|Respiratory hospital admissions", US_national_yearly!$D:$AM, 10, FALSE), 1)</f>
        <v>3.583370616250992E-4</v>
      </c>
      <c r="K12" s="7">
        <f>$B12 * IFERROR(VLOOKUP("industry|SO2|Respiratory hospital admissions", US_national_yearly!$D:$AM, 19, FALSE) / VLOOKUP("industry|SO2|Respiratory hospital admissions", US_national_yearly!$D:$AM, 10, FALSE), 1)</f>
        <v>3.6048026449041209E-4</v>
      </c>
      <c r="L12" s="7">
        <f>$B12 * IFERROR(VLOOKUP("industry|SO2|Respiratory hospital admissions", US_national_yearly!$D:$AM, 20, FALSE) / VLOOKUP("industry|SO2|Respiratory hospital admissions", US_national_yearly!$D:$AM, 10, FALSE), 1)</f>
        <v>3.6262346735572499E-4</v>
      </c>
      <c r="M12" s="7">
        <f>$B12 * IFERROR(VLOOKUP("industry|SO2|Respiratory hospital admissions", US_national_yearly!$D:$AM, 21, FALSE) / VLOOKUP("industry|SO2|Respiratory hospital admissions", US_national_yearly!$D:$AM, 10, FALSE), 1)</f>
        <v>3.6476667022103794E-4</v>
      </c>
      <c r="N12" s="7">
        <f>$B12 * IFERROR(VLOOKUP("industry|SO2|Respiratory hospital admissions", US_national_yearly!$D:$AM, 22, FALSE) / VLOOKUP("industry|SO2|Respiratory hospital admissions", US_national_yearly!$D:$AM, 10, FALSE), 1)</f>
        <v>3.6631752198023829E-4</v>
      </c>
      <c r="O12" s="7">
        <f>$B12 * IFERROR(VLOOKUP("industry|SO2|Respiratory hospital admissions", US_national_yearly!$D:$AM, 23, FALSE) / VLOOKUP("industry|SO2|Respiratory hospital admissions", US_national_yearly!$D:$AM, 10, FALSE), 1)</f>
        <v>3.6786837373943863E-4</v>
      </c>
      <c r="P12" s="7">
        <f>$B12 * IFERROR(VLOOKUP("industry|SO2|Respiratory hospital admissions", US_national_yearly!$D:$AM, 24, FALSE) / VLOOKUP("industry|SO2|Respiratory hospital admissions", US_national_yearly!$D:$AM, 10, FALSE), 1)</f>
        <v>3.6941922549863892E-4</v>
      </c>
      <c r="Q12" s="7">
        <f>$B12 * IFERROR(VLOOKUP("industry|SO2|Respiratory hospital admissions", US_national_yearly!$D:$AM, 25, FALSE) / VLOOKUP("industry|SO2|Respiratory hospital admissions", US_national_yearly!$D:$AM, 10, FALSE), 1)</f>
        <v>3.7097007725783927E-4</v>
      </c>
      <c r="R12" s="7">
        <f>$B12 * IFERROR(VLOOKUP("industry|SO2|Respiratory hospital admissions", US_national_yearly!$D:$AM, 26, FALSE) / VLOOKUP("industry|SO2|Respiratory hospital admissions", US_national_yearly!$D:$AM, 10, FALSE), 1)</f>
        <v>3.725209290170395E-4</v>
      </c>
      <c r="S12" s="7">
        <f>$B12 * IFERROR(VLOOKUP("industry|SO2|Respiratory hospital admissions", US_national_yearly!$D:$AM, 27, FALSE) / VLOOKUP("industry|SO2|Respiratory hospital admissions", US_national_yearly!$D:$AM, 10, FALSE), 1)</f>
        <v>3.7399477655479795E-4</v>
      </c>
      <c r="T12" s="7">
        <f>$B12 * IFERROR(VLOOKUP("industry|SO2|Respiratory hospital admissions", US_national_yearly!$D:$AM, 28, FALSE) / VLOOKUP("industry|SO2|Respiratory hospital admissions", US_national_yearly!$D:$AM, 10, FALSE), 1)</f>
        <v>3.7546862409255628E-4</v>
      </c>
      <c r="U12" s="7">
        <f>$B12 * IFERROR(VLOOKUP("industry|SO2|Respiratory hospital admissions", US_national_yearly!$D:$AM, 29, FALSE) / VLOOKUP("industry|SO2|Respiratory hospital admissions", US_national_yearly!$D:$AM, 10, FALSE), 1)</f>
        <v>3.7694247163031467E-4</v>
      </c>
      <c r="V12" s="7">
        <f>$B12 * IFERROR(VLOOKUP("industry|SO2|Respiratory hospital admissions", US_national_yearly!$D:$AM, 30, FALSE) / VLOOKUP("industry|SO2|Respiratory hospital admissions", US_national_yearly!$D:$AM, 10, FALSE), 1)</f>
        <v>3.7841631916807306E-4</v>
      </c>
      <c r="W12" s="7">
        <f>$B12 * IFERROR(VLOOKUP("industry|SO2|Respiratory hospital admissions", US_national_yearly!$D:$AM, 31, FALSE) / VLOOKUP("industry|SO2|Respiratory hospital admissions", US_national_yearly!$D:$AM, 10, FALSE), 1)</f>
        <v>3.7989016670583145E-4</v>
      </c>
      <c r="X12" s="7">
        <f>$B12 * IFERROR(VLOOKUP("industry|SO2|Respiratory hospital admissions", US_national_yearly!$D:$AM, 32, FALSE) / VLOOKUP("industry|SO2|Respiratory hospital admissions", US_national_yearly!$D:$AM, 10, FALSE), 1)</f>
        <v>3.8128975446765847E-4</v>
      </c>
      <c r="Y12" s="7">
        <f>$B12 * IFERROR(VLOOKUP("industry|SO2|Respiratory hospital admissions", US_national_yearly!$D:$AM, 33, FALSE) / VLOOKUP("industry|SO2|Respiratory hospital admissions", US_national_yearly!$D:$AM, 10, FALSE), 1)</f>
        <v>3.826893422294856E-4</v>
      </c>
      <c r="Z12" s="7">
        <f>$B12 * IFERROR(VLOOKUP("industry|SO2|Respiratory hospital admissions", US_national_yearly!$D:$AM, 34, FALSE) / VLOOKUP("industry|SO2|Respiratory hospital admissions", US_national_yearly!$D:$AM, 10, FALSE), 1)</f>
        <v>3.8408892999131262E-4</v>
      </c>
      <c r="AA12" s="7">
        <f>$B12 * IFERROR(VLOOKUP("industry|SO2|Respiratory hospital admissions", US_national_yearly!$D:$AM, 35, FALSE) / VLOOKUP("industry|SO2|Respiratory hospital admissions", US_national_yearly!$D:$AM, 10, FALSE), 1)</f>
        <v>3.8548851775313964E-4</v>
      </c>
      <c r="AB12" s="7">
        <f>$B12 * IFERROR(VLOOKUP("industry|SO2|Respiratory hospital admissions", US_national_yearly!$D:$AM, 36, FALSE) / VLOOKUP("industry|SO2|Respiratory hospital admissions", US_national_yearly!$D:$AM, 10, FALSE), 1)</f>
        <v>3.8688810551496677E-4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2.0990782164352875E-3</v>
      </c>
      <c r="C13" s="7">
        <f>$B13 * IFERROR(VLOOKUP("industry|SO2|Non-fatal heart attacks", US_national_yearly!$D:$AM, 11, FALSE) / VLOOKUP("industry|SO2|Non-fatal heart attacks", US_national_yearly!$D:$AM, 10, FALSE), 1)</f>
        <v>2.1606992814618164E-3</v>
      </c>
      <c r="D13" s="7">
        <f>$B13 * IFERROR(VLOOKUP("industry|SO2|Non-fatal heart attacks", US_national_yearly!$D:$AM, 12, FALSE) / VLOOKUP("industry|SO2|Non-fatal heart attacks", US_national_yearly!$D:$AM, 10, FALSE), 1)</f>
        <v>2.2223203464883452E-3</v>
      </c>
      <c r="E13" s="7">
        <f>$B13 * IFERROR(VLOOKUP("industry|SO2|Non-fatal heart attacks", US_national_yearly!$D:$AM, 13, FALSE) / VLOOKUP("industry|SO2|Non-fatal heart attacks", US_national_yearly!$D:$AM, 10, FALSE), 1)</f>
        <v>2.2839414115148737E-3</v>
      </c>
      <c r="F13" s="7">
        <f>$B13 * IFERROR(VLOOKUP("industry|SO2|Non-fatal heart attacks", US_national_yearly!$D:$AM, 14, FALSE) / VLOOKUP("industry|SO2|Non-fatal heart attacks", US_national_yearly!$D:$AM, 10, FALSE), 1)</f>
        <v>2.3455624765414029E-3</v>
      </c>
      <c r="G13" s="7">
        <f>$B13 * IFERROR(VLOOKUP("industry|SO2|Non-fatal heart attacks", US_national_yearly!$D:$AM, 15, FALSE) / VLOOKUP("industry|SO2|Non-fatal heart attacks", US_national_yearly!$D:$AM, 10, FALSE), 1)</f>
        <v>2.4037154995182356E-3</v>
      </c>
      <c r="H13" s="7">
        <f>$B13 * IFERROR(VLOOKUP("industry|SO2|Non-fatal heart attacks", US_national_yearly!$D:$AM, 16, FALSE) / VLOOKUP("industry|SO2|Non-fatal heart attacks", US_national_yearly!$D:$AM, 10, FALSE), 1)</f>
        <v>2.4618685224950683E-3</v>
      </c>
      <c r="I13" s="7">
        <f>$B13 * IFERROR(VLOOKUP("industry|SO2|Non-fatal heart attacks", US_national_yearly!$D:$AM, 17, FALSE) / VLOOKUP("industry|SO2|Non-fatal heart attacks", US_national_yearly!$D:$AM, 10, FALSE), 1)</f>
        <v>2.5087499249564931E-3</v>
      </c>
      <c r="J13" s="7">
        <f>$B13 * IFERROR(VLOOKUP("industry|SO2|Non-fatal heart attacks", US_national_yearly!$D:$AM, 18, FALSE) / VLOOKUP("industry|SO2|Non-fatal heart attacks", US_national_yearly!$D:$AM, 10, FALSE), 1)</f>
        <v>2.5556313274179188E-3</v>
      </c>
      <c r="K13" s="7">
        <f>$B13 * IFERROR(VLOOKUP("industry|SO2|Non-fatal heart attacks", US_national_yearly!$D:$AM, 19, FALSE) / VLOOKUP("industry|SO2|Non-fatal heart attacks", US_national_yearly!$D:$AM, 10, FALSE), 1)</f>
        <v>2.6025127298793436E-3</v>
      </c>
      <c r="L13" s="7">
        <f>$B13 * IFERROR(VLOOKUP("industry|SO2|Non-fatal heart attacks", US_national_yearly!$D:$AM, 20, FALSE) / VLOOKUP("industry|SO2|Non-fatal heart attacks", US_national_yearly!$D:$AM, 10, FALSE), 1)</f>
        <v>2.6493941323407688E-3</v>
      </c>
      <c r="M13" s="7">
        <f>$B13 * IFERROR(VLOOKUP("industry|SO2|Non-fatal heart attacks", US_national_yearly!$D:$AM, 21, FALSE) / VLOOKUP("industry|SO2|Non-fatal heart attacks", US_national_yearly!$D:$AM, 10, FALSE), 1)</f>
        <v>2.696275534802194E-3</v>
      </c>
      <c r="N13" s="7">
        <f>$B13 * IFERROR(VLOOKUP("industry|SO2|Non-fatal heart attacks", US_national_yearly!$D:$AM, 22, FALSE) / VLOOKUP("industry|SO2|Non-fatal heart attacks", US_national_yearly!$D:$AM, 10, FALSE), 1)</f>
        <v>2.7267321914909597E-3</v>
      </c>
      <c r="O13" s="7">
        <f>$B13 * IFERROR(VLOOKUP("industry|SO2|Non-fatal heart attacks", US_national_yearly!$D:$AM, 23, FALSE) / VLOOKUP("industry|SO2|Non-fatal heart attacks", US_national_yearly!$D:$AM, 10, FALSE), 1)</f>
        <v>2.7571888481797268E-3</v>
      </c>
      <c r="P13" s="7">
        <f>$B13 * IFERROR(VLOOKUP("industry|SO2|Non-fatal heart attacks", US_national_yearly!$D:$AM, 24, FALSE) / VLOOKUP("industry|SO2|Non-fatal heart attacks", US_national_yearly!$D:$AM, 10, FALSE), 1)</f>
        <v>2.7876455048684926E-3</v>
      </c>
      <c r="Q13" s="7">
        <f>$B13 * IFERROR(VLOOKUP("industry|SO2|Non-fatal heart attacks", US_national_yearly!$D:$AM, 25, FALSE) / VLOOKUP("industry|SO2|Non-fatal heart attacks", US_national_yearly!$D:$AM, 10, FALSE), 1)</f>
        <v>2.8181021615572587E-3</v>
      </c>
      <c r="R13" s="7">
        <f>$B13 * IFERROR(VLOOKUP("industry|SO2|Non-fatal heart attacks", US_national_yearly!$D:$AM, 26, FALSE) / VLOOKUP("industry|SO2|Non-fatal heart attacks", US_national_yearly!$D:$AM, 10, FALSE), 1)</f>
        <v>2.8485588182460249E-3</v>
      </c>
      <c r="S13" s="7">
        <f>$B13 * IFERROR(VLOOKUP("industry|SO2|Non-fatal heart attacks", US_national_yearly!$D:$AM, 27, FALSE) / VLOOKUP("industry|SO2|Non-fatal heart attacks", US_national_yearly!$D:$AM, 10, FALSE), 1)</f>
        <v>2.864555102142197E-3</v>
      </c>
      <c r="T13" s="7">
        <f>$B13 * IFERROR(VLOOKUP("industry|SO2|Non-fatal heart attacks", US_national_yearly!$D:$AM, 28, FALSE) / VLOOKUP("industry|SO2|Non-fatal heart attacks", US_national_yearly!$D:$AM, 10, FALSE), 1)</f>
        <v>2.8805513860383691E-3</v>
      </c>
      <c r="U13" s="7">
        <f>$B13 * IFERROR(VLOOKUP("industry|SO2|Non-fatal heart attacks", US_national_yearly!$D:$AM, 29, FALSE) / VLOOKUP("industry|SO2|Non-fatal heart attacks", US_national_yearly!$D:$AM, 10, FALSE), 1)</f>
        <v>2.8965476699345408E-3</v>
      </c>
      <c r="V13" s="7">
        <f>$B13 * IFERROR(VLOOKUP("industry|SO2|Non-fatal heart attacks", US_national_yearly!$D:$AM, 30, FALSE) / VLOOKUP("industry|SO2|Non-fatal heart attacks", US_national_yearly!$D:$AM, 10, FALSE), 1)</f>
        <v>2.9125439538307128E-3</v>
      </c>
      <c r="W13" s="7">
        <f>$B13 * IFERROR(VLOOKUP("industry|SO2|Non-fatal heart attacks", US_national_yearly!$D:$AM, 31, FALSE) / VLOOKUP("industry|SO2|Non-fatal heart attacks", US_national_yearly!$D:$AM, 10, FALSE), 1)</f>
        <v>2.9285402377268845E-3</v>
      </c>
      <c r="X13" s="7">
        <f>$B13 * IFERROR(VLOOKUP("industry|SO2|Non-fatal heart attacks", US_national_yearly!$D:$AM, 32, FALSE) / VLOOKUP("industry|SO2|Non-fatal heart attacks", US_national_yearly!$D:$AM, 10, FALSE), 1)</f>
        <v>2.9406889537396948E-3</v>
      </c>
      <c r="Y13" s="7">
        <f>$B13 * IFERROR(VLOOKUP("industry|SO2|Non-fatal heart attacks", US_national_yearly!$D:$AM, 33, FALSE) / VLOOKUP("industry|SO2|Non-fatal heart attacks", US_national_yearly!$D:$AM, 10, FALSE), 1)</f>
        <v>2.9528376697525046E-3</v>
      </c>
      <c r="Z13" s="7">
        <f>$B13 * IFERROR(VLOOKUP("industry|SO2|Non-fatal heart attacks", US_national_yearly!$D:$AM, 34, FALSE) / VLOOKUP("industry|SO2|Non-fatal heart attacks", US_national_yearly!$D:$AM, 10, FALSE), 1)</f>
        <v>2.9649863857653144E-3</v>
      </c>
      <c r="AA13" s="7">
        <f>$B13 * IFERROR(VLOOKUP("industry|SO2|Non-fatal heart attacks", US_national_yearly!$D:$AM, 35, FALSE) / VLOOKUP("industry|SO2|Non-fatal heart attacks", US_national_yearly!$D:$AM, 10, FALSE), 1)</f>
        <v>2.9771351017781251E-3</v>
      </c>
      <c r="AB13" s="7">
        <f>$B13 * IFERROR(VLOOKUP("industry|SO2|Non-fatal heart attacks", US_national_yearly!$D:$AM, 36, FALSE) / VLOOKUP("industry|SO2|Non-fatal heart attacks", US_national_yearly!$D:$AM, 10, FALSE), 1)</f>
        <v>2.9892838177909349E-3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1.5227026913568134</v>
      </c>
      <c r="C14" s="7">
        <f>$B14 * IFERROR(VLOOKUP("industry|SO2|Minor restricted activity days", US_national_yearly!$D:$AM, 11, FALSE) / VLOOKUP("industry|SO2|Minor restricted activity days", US_national_yearly!$D:$AM, 10, FALSE), 1)</f>
        <v>1.526511563188943</v>
      </c>
      <c r="D14" s="7">
        <f>$B14 * IFERROR(VLOOKUP("industry|SO2|Minor restricted activity days", US_national_yearly!$D:$AM, 12, FALSE) / VLOOKUP("industry|SO2|Minor restricted activity days", US_national_yearly!$D:$AM, 10, FALSE), 1)</f>
        <v>1.5303204350210724</v>
      </c>
      <c r="E14" s="7">
        <f>$B14 * IFERROR(VLOOKUP("industry|SO2|Minor restricted activity days", US_national_yearly!$D:$AM, 13, FALSE) / VLOOKUP("industry|SO2|Minor restricted activity days", US_national_yearly!$D:$AM, 10, FALSE), 1)</f>
        <v>1.534129306853202</v>
      </c>
      <c r="F14" s="7">
        <f>$B14 * IFERROR(VLOOKUP("industry|SO2|Minor restricted activity days", US_national_yearly!$D:$AM, 14, FALSE) / VLOOKUP("industry|SO2|Minor restricted activity days", US_national_yearly!$D:$AM, 10, FALSE), 1)</f>
        <v>1.5379381786853319</v>
      </c>
      <c r="G14" s="7">
        <f>$B14 * IFERROR(VLOOKUP("industry|SO2|Minor restricted activity days", US_national_yearly!$D:$AM, 15, FALSE) / VLOOKUP("industry|SO2|Minor restricted activity days", US_national_yearly!$D:$AM, 10, FALSE), 1)</f>
        <v>1.5435413920874566</v>
      </c>
      <c r="H14" s="7">
        <f>$B14 * IFERROR(VLOOKUP("industry|SO2|Minor restricted activity days", US_national_yearly!$D:$AM, 16, FALSE) / VLOOKUP("industry|SO2|Minor restricted activity days", US_national_yearly!$D:$AM, 10, FALSE), 1)</f>
        <v>1.5491446054895808</v>
      </c>
      <c r="I14" s="7">
        <f>$B14 * IFERROR(VLOOKUP("industry|SO2|Minor restricted activity days", US_national_yearly!$D:$AM, 17, FALSE) / VLOOKUP("industry|SO2|Minor restricted activity days", US_national_yearly!$D:$AM, 10, FALSE), 1)</f>
        <v>1.5586997791844699</v>
      </c>
      <c r="J14" s="7">
        <f>$B14 * IFERROR(VLOOKUP("industry|SO2|Minor restricted activity days", US_national_yearly!$D:$AM, 18, FALSE) / VLOOKUP("industry|SO2|Minor restricted activity days", US_national_yearly!$D:$AM, 10, FALSE), 1)</f>
        <v>1.568254952879359</v>
      </c>
      <c r="K14" s="7">
        <f>$B14 * IFERROR(VLOOKUP("industry|SO2|Minor restricted activity days", US_national_yearly!$D:$AM, 19, FALSE) / VLOOKUP("industry|SO2|Minor restricted activity days", US_national_yearly!$D:$AM, 10, FALSE), 1)</f>
        <v>1.5778101265742481</v>
      </c>
      <c r="L14" s="7">
        <f>$B14 * IFERROR(VLOOKUP("industry|SO2|Minor restricted activity days", US_national_yearly!$D:$AM, 20, FALSE) / VLOOKUP("industry|SO2|Minor restricted activity days", US_national_yearly!$D:$AM, 10, FALSE), 1)</f>
        <v>1.587365300269137</v>
      </c>
      <c r="M14" s="7">
        <f>$B14 * IFERROR(VLOOKUP("industry|SO2|Minor restricted activity days", US_national_yearly!$D:$AM, 21, FALSE) / VLOOKUP("industry|SO2|Minor restricted activity days", US_national_yearly!$D:$AM, 10, FALSE), 1)</f>
        <v>1.5969204739640261</v>
      </c>
      <c r="N14" s="7">
        <f>$B14 * IFERROR(VLOOKUP("industry|SO2|Minor restricted activity days", US_national_yearly!$D:$AM, 22, FALSE) / VLOOKUP("industry|SO2|Minor restricted activity days", US_national_yearly!$D:$AM, 10, FALSE), 1)</f>
        <v>1.6100217662738801</v>
      </c>
      <c r="O14" s="7">
        <f>$B14 * IFERROR(VLOOKUP("industry|SO2|Minor restricted activity days", US_national_yearly!$D:$AM, 23, FALSE) / VLOOKUP("industry|SO2|Minor restricted activity days", US_national_yearly!$D:$AM, 10, FALSE), 1)</f>
        <v>1.6231230585837337</v>
      </c>
      <c r="P14" s="7">
        <f>$B14 * IFERROR(VLOOKUP("industry|SO2|Minor restricted activity days", US_national_yearly!$D:$AM, 24, FALSE) / VLOOKUP("industry|SO2|Minor restricted activity days", US_national_yearly!$D:$AM, 10, FALSE), 1)</f>
        <v>1.6362243508935874</v>
      </c>
      <c r="Q14" s="7">
        <f>$B14 * IFERROR(VLOOKUP("industry|SO2|Minor restricted activity days", US_national_yearly!$D:$AM, 25, FALSE) / VLOOKUP("industry|SO2|Minor restricted activity days", US_national_yearly!$D:$AM, 10, FALSE), 1)</f>
        <v>1.6493256432034415</v>
      </c>
      <c r="R14" s="7">
        <f>$B14 * IFERROR(VLOOKUP("industry|SO2|Minor restricted activity days", US_national_yearly!$D:$AM, 26, FALSE) / VLOOKUP("industry|SO2|Minor restricted activity days", US_national_yearly!$D:$AM, 10, FALSE), 1)</f>
        <v>1.6624269355132955</v>
      </c>
      <c r="S14" s="7">
        <f>$B14 * IFERROR(VLOOKUP("industry|SO2|Minor restricted activity days", US_national_yearly!$D:$AM, 27, FALSE) / VLOOKUP("industry|SO2|Minor restricted activity days", US_national_yearly!$D:$AM, 10, FALSE), 1)</f>
        <v>1.6757978624018617</v>
      </c>
      <c r="T14" s="7">
        <f>$B14 * IFERROR(VLOOKUP("industry|SO2|Minor restricted activity days", US_national_yearly!$D:$AM, 28, FALSE) / VLOOKUP("industry|SO2|Minor restricted activity days", US_national_yearly!$D:$AM, 10, FALSE), 1)</f>
        <v>1.6891687892904286</v>
      </c>
      <c r="U14" s="7">
        <f>$B14 * IFERROR(VLOOKUP("industry|SO2|Minor restricted activity days", US_national_yearly!$D:$AM, 29, FALSE) / VLOOKUP("industry|SO2|Minor restricted activity days", US_national_yearly!$D:$AM, 10, FALSE), 1)</f>
        <v>1.702539716178995</v>
      </c>
      <c r="V14" s="7">
        <f>$B14 * IFERROR(VLOOKUP("industry|SO2|Minor restricted activity days", US_national_yearly!$D:$AM, 30, FALSE) / VLOOKUP("industry|SO2|Minor restricted activity days", US_national_yearly!$D:$AM, 10, FALSE), 1)</f>
        <v>1.7159106430675617</v>
      </c>
      <c r="W14" s="7">
        <f>$B14 * IFERROR(VLOOKUP("industry|SO2|Minor restricted activity days", US_national_yearly!$D:$AM, 31, FALSE) / VLOOKUP("industry|SO2|Minor restricted activity days", US_national_yearly!$D:$AM, 10, FALSE), 1)</f>
        <v>1.7292815699561281</v>
      </c>
      <c r="X14" s="7">
        <f>$B14 * IFERROR(VLOOKUP("industry|SO2|Minor restricted activity days", US_national_yearly!$D:$AM, 32, FALSE) / VLOOKUP("industry|SO2|Minor restricted activity days", US_national_yearly!$D:$AM, 10, FALSE), 1)</f>
        <v>1.741038520438229</v>
      </c>
      <c r="Y14" s="7">
        <f>$B14 * IFERROR(VLOOKUP("industry|SO2|Minor restricted activity days", US_national_yearly!$D:$AM, 33, FALSE) / VLOOKUP("industry|SO2|Minor restricted activity days", US_national_yearly!$D:$AM, 10, FALSE), 1)</f>
        <v>1.7527954709203295</v>
      </c>
      <c r="Z14" s="7">
        <f>$B14 * IFERROR(VLOOKUP("industry|SO2|Minor restricted activity days", US_national_yearly!$D:$AM, 34, FALSE) / VLOOKUP("industry|SO2|Minor restricted activity days", US_national_yearly!$D:$AM, 10, FALSE), 1)</f>
        <v>1.76455242140243</v>
      </c>
      <c r="AA14" s="7">
        <f>$B14 * IFERROR(VLOOKUP("industry|SO2|Minor restricted activity days", US_national_yearly!$D:$AM, 35, FALSE) / VLOOKUP("industry|SO2|Minor restricted activity days", US_national_yearly!$D:$AM, 10, FALSE), 1)</f>
        <v>1.7763093718845304</v>
      </c>
      <c r="AB14" s="7">
        <f>$B14 * IFERROR(VLOOKUP("industry|SO2|Minor restricted activity days", US_national_yearly!$D:$AM, 36, FALSE) / VLOOKUP("industry|SO2|Minor restricted activity days", US_national_yearly!$D:$AM, 10, FALSE), 1)</f>
        <v>1.7880663223666313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0.2583207006459361</v>
      </c>
      <c r="C15" s="7">
        <f>$B15 * IFERROR(VLOOKUP("industry|SO2|Work loss days", US_national_yearly!$D:$AM, 11, FALSE) / VLOOKUP("industry|SO2|Work loss days", US_national_yearly!$D:$AM, 10, FALSE), 1)</f>
        <v>0.25915143083494907</v>
      </c>
      <c r="D15" s="7">
        <f>$B15 * IFERROR(VLOOKUP("industry|SO2|Work loss days", US_national_yearly!$D:$AM, 12, FALSE) / VLOOKUP("industry|SO2|Work loss days", US_national_yearly!$D:$AM, 10, FALSE), 1)</f>
        <v>0.2599821610239621</v>
      </c>
      <c r="E15" s="7">
        <f>$B15 * IFERROR(VLOOKUP("industry|SO2|Work loss days", US_national_yearly!$D:$AM, 13, FALSE) / VLOOKUP("industry|SO2|Work loss days", US_national_yearly!$D:$AM, 10, FALSE), 1)</f>
        <v>0.26081289121297507</v>
      </c>
      <c r="F15" s="7">
        <f>$B15 * IFERROR(VLOOKUP("industry|SO2|Work loss days", US_national_yearly!$D:$AM, 14, FALSE) / VLOOKUP("industry|SO2|Work loss days", US_national_yearly!$D:$AM, 10, FALSE), 1)</f>
        <v>0.2616436214019881</v>
      </c>
      <c r="G15" s="7">
        <f>$B15 * IFERROR(VLOOKUP("industry|SO2|Work loss days", US_national_yearly!$D:$AM, 15, FALSE) / VLOOKUP("industry|SO2|Work loss days", US_national_yearly!$D:$AM, 10, FALSE), 1)</f>
        <v>0.26272794879368838</v>
      </c>
      <c r="H15" s="7">
        <f>$B15 * IFERROR(VLOOKUP("industry|SO2|Work loss days", US_national_yearly!$D:$AM, 16, FALSE) / VLOOKUP("industry|SO2|Work loss days", US_national_yearly!$D:$AM, 10, FALSE), 1)</f>
        <v>0.26381227618538872</v>
      </c>
      <c r="I15" s="7">
        <f>$B15 * IFERROR(VLOOKUP("industry|SO2|Work loss days", US_national_yearly!$D:$AM, 17, FALSE) / VLOOKUP("industry|SO2|Work loss days", US_national_yearly!$D:$AM, 10, FALSE), 1)</f>
        <v>0.26539725728391805</v>
      </c>
      <c r="J15" s="7">
        <f>$B15 * IFERROR(VLOOKUP("industry|SO2|Work loss days", US_national_yearly!$D:$AM, 18, FALSE) / VLOOKUP("industry|SO2|Work loss days", US_national_yearly!$D:$AM, 10, FALSE), 1)</f>
        <v>0.26698223838244733</v>
      </c>
      <c r="K15" s="7">
        <f>$B15 * IFERROR(VLOOKUP("industry|SO2|Work loss days", US_national_yearly!$D:$AM, 19, FALSE) / VLOOKUP("industry|SO2|Work loss days", US_national_yearly!$D:$AM, 10, FALSE), 1)</f>
        <v>0.26856721948097667</v>
      </c>
      <c r="L15" s="7">
        <f>$B15 * IFERROR(VLOOKUP("industry|SO2|Work loss days", US_national_yearly!$D:$AM, 20, FALSE) / VLOOKUP("industry|SO2|Work loss days", US_national_yearly!$D:$AM, 10, FALSE), 1)</f>
        <v>0.27015220057950601</v>
      </c>
      <c r="M15" s="7">
        <f>$B15 * IFERROR(VLOOKUP("industry|SO2|Work loss days", US_national_yearly!$D:$AM, 21, FALSE) / VLOOKUP("industry|SO2|Work loss days", US_national_yearly!$D:$AM, 10, FALSE), 1)</f>
        <v>0.27173718167803529</v>
      </c>
      <c r="N15" s="7">
        <f>$B15 * IFERROR(VLOOKUP("industry|SO2|Work loss days", US_national_yearly!$D:$AM, 22, FALSE) / VLOOKUP("industry|SO2|Work loss days", US_national_yearly!$D:$AM, 10, FALSE), 1)</f>
        <v>0.27372926957902705</v>
      </c>
      <c r="O15" s="7">
        <f>$B15 * IFERROR(VLOOKUP("industry|SO2|Work loss days", US_national_yearly!$D:$AM, 23, FALSE) / VLOOKUP("industry|SO2|Work loss days", US_national_yearly!$D:$AM, 10, FALSE), 1)</f>
        <v>0.27572135748001886</v>
      </c>
      <c r="P15" s="7">
        <f>$B15 * IFERROR(VLOOKUP("industry|SO2|Work loss days", US_national_yearly!$D:$AM, 24, FALSE) / VLOOKUP("industry|SO2|Work loss days", US_national_yearly!$D:$AM, 10, FALSE), 1)</f>
        <v>0.27771344538101062</v>
      </c>
      <c r="Q15" s="7">
        <f>$B15 * IFERROR(VLOOKUP("industry|SO2|Work loss days", US_national_yearly!$D:$AM, 25, FALSE) / VLOOKUP("industry|SO2|Work loss days", US_national_yearly!$D:$AM, 10, FALSE), 1)</f>
        <v>0.27970553328200243</v>
      </c>
      <c r="R15" s="7">
        <f>$B15 * IFERROR(VLOOKUP("industry|SO2|Work loss days", US_national_yearly!$D:$AM, 26, FALSE) / VLOOKUP("industry|SO2|Work loss days", US_national_yearly!$D:$AM, 10, FALSE), 1)</f>
        <v>0.28169762118299418</v>
      </c>
      <c r="S15" s="7">
        <f>$B15 * IFERROR(VLOOKUP("industry|SO2|Work loss days", US_national_yearly!$D:$AM, 27, FALSE) / VLOOKUP("industry|SO2|Work loss days", US_national_yearly!$D:$AM, 10, FALSE), 1)</f>
        <v>0.28392668544504324</v>
      </c>
      <c r="T15" s="7">
        <f>$B15 * IFERROR(VLOOKUP("industry|SO2|Work loss days", US_national_yearly!$D:$AM, 28, FALSE) / VLOOKUP("industry|SO2|Work loss days", US_national_yearly!$D:$AM, 10, FALSE), 1)</f>
        <v>0.28615574970709234</v>
      </c>
      <c r="U15" s="7">
        <f>$B15 * IFERROR(VLOOKUP("industry|SO2|Work loss days", US_national_yearly!$D:$AM, 29, FALSE) / VLOOKUP("industry|SO2|Work loss days", US_national_yearly!$D:$AM, 10, FALSE), 1)</f>
        <v>0.28838481396914151</v>
      </c>
      <c r="V15" s="7">
        <f>$B15 * IFERROR(VLOOKUP("industry|SO2|Work loss days", US_national_yearly!$D:$AM, 30, FALSE) / VLOOKUP("industry|SO2|Work loss days", US_national_yearly!$D:$AM, 10, FALSE), 1)</f>
        <v>0.29061387823119056</v>
      </c>
      <c r="W15" s="7">
        <f>$B15 * IFERROR(VLOOKUP("industry|SO2|Work loss days", US_national_yearly!$D:$AM, 31, FALSE) / VLOOKUP("industry|SO2|Work loss days", US_national_yearly!$D:$AM, 10, FALSE), 1)</f>
        <v>0.29284294249323967</v>
      </c>
      <c r="X15" s="7">
        <f>$B15 * IFERROR(VLOOKUP("industry|SO2|Work loss days", US_national_yearly!$D:$AM, 32, FALSE) / VLOOKUP("industry|SO2|Work loss days", US_national_yearly!$D:$AM, 10, FALSE), 1)</f>
        <v>0.29484502759162712</v>
      </c>
      <c r="Y15" s="7">
        <f>$B15 * IFERROR(VLOOKUP("industry|SO2|Work loss days", US_national_yearly!$D:$AM, 33, FALSE) / VLOOKUP("industry|SO2|Work loss days", US_national_yearly!$D:$AM, 10, FALSE), 1)</f>
        <v>0.29684711269001457</v>
      </c>
      <c r="Z15" s="7">
        <f>$B15 * IFERROR(VLOOKUP("industry|SO2|Work loss days", US_national_yearly!$D:$AM, 34, FALSE) / VLOOKUP("industry|SO2|Work loss days", US_national_yearly!$D:$AM, 10, FALSE), 1)</f>
        <v>0.29884919778840191</v>
      </c>
      <c r="AA15" s="7">
        <f>$B15 * IFERROR(VLOOKUP("industry|SO2|Work loss days", US_national_yearly!$D:$AM, 35, FALSE) / VLOOKUP("industry|SO2|Work loss days", US_national_yearly!$D:$AM, 10, FALSE), 1)</f>
        <v>0.30085128288678936</v>
      </c>
      <c r="AB15" s="7">
        <f>$B15 * IFERROR(VLOOKUP("industry|SO2|Work loss days", US_national_yearly!$D:$AM, 36, FALSE) / VLOOKUP("industry|SO2|Work loss days", US_national_yearly!$D:$AM, 10, FALSE), 1)</f>
        <v>0.30285336798517676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5.2888613570685038E-4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5.4487816972656445E-4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5.6087020374627863E-4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5.768622377659928E-4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5.9285427178570698E-4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6.0818040855767027E-4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6.2350654532963368E-4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6.3665690734808695E-4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6.4980726936654043E-4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6.6295763138499392E-4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6.7610799340344751E-4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6.8925835542190078E-4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6.9809348146479631E-4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7.0692860750769173E-4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7.1576373355058715E-4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7.2459885959348257E-4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7.3343398563637809E-4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7.3810565776408264E-4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7.4277732989178752E-4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7.4744900201949218E-4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7.5212067414719705E-4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7.567923462749016E-4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7.5995163526784107E-4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7.6311092426078033E-4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7.662702132537198E-4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7.6942950224665916E-4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7.7258879123959841E-4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6.3789681976564002E-4</v>
      </c>
      <c r="C2" s="7">
        <f>$B2 * IFERROR(VLOOKUP("LULUCF|PM25|Premature mortality", US_national_yearly!$D:$AM, 11, FALSE) / VLOOKUP("LULUCF|PM25|Premature mortality", US_national_yearly!$D:$AM, 10, FALSE), 1)</f>
        <v>6.4580534238869861E-4</v>
      </c>
      <c r="D2" s="7">
        <f>$B2 * IFERROR(VLOOKUP("LULUCF|PM25|Premature mortality", US_national_yearly!$D:$AM, 12, FALSE) / VLOOKUP("LULUCF|PM25|Premature mortality", US_national_yearly!$D:$AM, 10, FALSE), 1)</f>
        <v>6.5371386501175699E-4</v>
      </c>
      <c r="E2" s="7">
        <f>$B2 * IFERROR(VLOOKUP("LULUCF|PM25|Premature mortality", US_national_yearly!$D:$AM, 13, FALSE) / VLOOKUP("LULUCF|PM25|Premature mortality", US_national_yearly!$D:$AM, 10, FALSE), 1)</f>
        <v>6.6162238763481536E-4</v>
      </c>
      <c r="F2" s="7">
        <f>$B2 * IFERROR(VLOOKUP("LULUCF|PM25|Premature mortality", US_national_yearly!$D:$AM, 14, FALSE) / VLOOKUP("LULUCF|PM25|Premature mortality", US_national_yearly!$D:$AM, 10, FALSE), 1)</f>
        <v>6.6953091025787374E-4</v>
      </c>
      <c r="G2" s="7">
        <f>$B2 * IFERROR(VLOOKUP("LULUCF|PM25|Premature mortality", US_national_yearly!$D:$AM, 15, FALSE) / VLOOKUP("LULUCF|PM25|Premature mortality", US_national_yearly!$D:$AM, 10, FALSE), 1)</f>
        <v>6.8493269842161435E-4</v>
      </c>
      <c r="H2" s="7">
        <f>$B2 * IFERROR(VLOOKUP("LULUCF|PM25|Premature mortality", US_national_yearly!$D:$AM, 16, FALSE) / VLOOKUP("LULUCF|PM25|Premature mortality", US_national_yearly!$D:$AM, 10, FALSE), 1)</f>
        <v>7.0033448658535496E-4</v>
      </c>
      <c r="I2" s="7">
        <f>$B2 * IFERROR(VLOOKUP("LULUCF|PM25|Premature mortality", US_national_yearly!$D:$AM, 17, FALSE) / VLOOKUP("LULUCF|PM25|Premature mortality", US_national_yearly!$D:$AM, 10, FALSE), 1)</f>
        <v>7.1045102939165845E-4</v>
      </c>
      <c r="J2" s="7">
        <f>$B2 * IFERROR(VLOOKUP("LULUCF|PM25|Premature mortality", US_national_yearly!$D:$AM, 18, FALSE) / VLOOKUP("LULUCF|PM25|Premature mortality", US_national_yearly!$D:$AM, 10, FALSE), 1)</f>
        <v>7.2056757219796216E-4</v>
      </c>
      <c r="K2" s="7">
        <f>$B2 * IFERROR(VLOOKUP("LULUCF|PM25|Premature mortality", US_national_yearly!$D:$AM, 19, FALSE) / VLOOKUP("LULUCF|PM25|Premature mortality", US_national_yearly!$D:$AM, 10, FALSE), 1)</f>
        <v>7.3068411500426577E-4</v>
      </c>
      <c r="L2" s="7">
        <f>$B2 * IFERROR(VLOOKUP("LULUCF|PM25|Premature mortality", US_national_yearly!$D:$AM, 20, FALSE) / VLOOKUP("LULUCF|PM25|Premature mortality", US_national_yearly!$D:$AM, 10, FALSE), 1)</f>
        <v>7.4080065781056948E-4</v>
      </c>
      <c r="M2" s="7">
        <f>$B2 * IFERROR(VLOOKUP("LULUCF|PM25|Premature mortality", US_national_yearly!$D:$AM, 21, FALSE) / VLOOKUP("LULUCF|PM25|Premature mortality", US_national_yearly!$D:$AM, 10, FALSE), 1)</f>
        <v>7.5091720061687308E-4</v>
      </c>
      <c r="N2" s="7">
        <f>$B2 * IFERROR(VLOOKUP("LULUCF|PM25|Premature mortality", US_national_yearly!$D:$AM, 22, FALSE) / VLOOKUP("LULUCF|PM25|Premature mortality", US_national_yearly!$D:$AM, 10, FALSE), 1)</f>
        <v>7.5877205224831874E-4</v>
      </c>
      <c r="O2" s="7">
        <f>$B2 * IFERROR(VLOOKUP("LULUCF|PM25|Premature mortality", US_national_yearly!$D:$AM, 23, FALSE) / VLOOKUP("LULUCF|PM25|Premature mortality", US_national_yearly!$D:$AM, 10, FALSE), 1)</f>
        <v>7.6662690387976451E-4</v>
      </c>
      <c r="P2" s="7">
        <f>$B2 * IFERROR(VLOOKUP("LULUCF|PM25|Premature mortality", US_national_yearly!$D:$AM, 24, FALSE) / VLOOKUP("LULUCF|PM25|Premature mortality", US_national_yearly!$D:$AM, 10, FALSE), 1)</f>
        <v>7.7448175551121017E-4</v>
      </c>
      <c r="Q2" s="7">
        <f>$B2 * IFERROR(VLOOKUP("LULUCF|PM25|Premature mortality", US_national_yearly!$D:$AM, 25, FALSE) / VLOOKUP("LULUCF|PM25|Premature mortality", US_national_yearly!$D:$AM, 10, FALSE), 1)</f>
        <v>7.8233660714265593E-4</v>
      </c>
      <c r="R2" s="7">
        <f>$B2 * IFERROR(VLOOKUP("LULUCF|PM25|Premature mortality", US_national_yearly!$D:$AM, 26, FALSE) / VLOOKUP("LULUCF|PM25|Premature mortality", US_national_yearly!$D:$AM, 10, FALSE), 1)</f>
        <v>7.901914587741017E-4</v>
      </c>
      <c r="S2" s="7">
        <f>$B2 * IFERROR(VLOOKUP("LULUCF|PM25|Premature mortality", US_national_yearly!$D:$AM, 27, FALSE) / VLOOKUP("LULUCF|PM25|Premature mortality", US_national_yearly!$D:$AM, 10, FALSE), 1)</f>
        <v>7.9435272579302118E-4</v>
      </c>
      <c r="T2" s="7">
        <f>$B2 * IFERROR(VLOOKUP("LULUCF|PM25|Premature mortality", US_national_yearly!$D:$AM, 28, FALSE) / VLOOKUP("LULUCF|PM25|Premature mortality", US_national_yearly!$D:$AM, 10, FALSE), 1)</f>
        <v>7.9851399281194045E-4</v>
      </c>
      <c r="U2" s="7">
        <f>$B2 * IFERROR(VLOOKUP("LULUCF|PM25|Premature mortality", US_national_yearly!$D:$AM, 29, FALSE) / VLOOKUP("LULUCF|PM25|Premature mortality", US_national_yearly!$D:$AM, 10, FALSE), 1)</f>
        <v>8.0267525983085972E-4</v>
      </c>
      <c r="V2" s="7">
        <f>$B2 * IFERROR(VLOOKUP("LULUCF|PM25|Premature mortality", US_national_yearly!$D:$AM, 30, FALSE) / VLOOKUP("LULUCF|PM25|Premature mortality", US_national_yearly!$D:$AM, 10, FALSE), 1)</f>
        <v>8.0683652684977898E-4</v>
      </c>
      <c r="W2" s="7">
        <f>$B2 * IFERROR(VLOOKUP("LULUCF|PM25|Premature mortality", US_national_yearly!$D:$AM, 31, FALSE) / VLOOKUP("LULUCF|PM25|Premature mortality", US_national_yearly!$D:$AM, 10, FALSE), 1)</f>
        <v>8.1099779386869836E-4</v>
      </c>
      <c r="X2" s="7">
        <f>$B2 * IFERROR(VLOOKUP("LULUCF|PM25|Premature mortality", US_national_yearly!$D:$AM, 32, FALSE) / VLOOKUP("LULUCF|PM25|Premature mortality", US_national_yearly!$D:$AM, 10, FALSE), 1)</f>
        <v>8.1172542359658664E-4</v>
      </c>
      <c r="Y2" s="7">
        <f>$B2 * IFERROR(VLOOKUP("LULUCF|PM25|Premature mortality", US_national_yearly!$D:$AM, 33, FALSE) / VLOOKUP("LULUCF|PM25|Premature mortality", US_national_yearly!$D:$AM, 10, FALSE), 1)</f>
        <v>8.1245305332447513E-4</v>
      </c>
      <c r="Z2" s="7">
        <f>$B2 * IFERROR(VLOOKUP("LULUCF|PM25|Premature mortality", US_national_yearly!$D:$AM, 34, FALSE) / VLOOKUP("LULUCF|PM25|Premature mortality", US_national_yearly!$D:$AM, 10, FALSE), 1)</f>
        <v>8.1318068305236352E-4</v>
      </c>
      <c r="AA2" s="7">
        <f>$B2 * IFERROR(VLOOKUP("LULUCF|PM25|Premature mortality", US_national_yearly!$D:$AM, 35, FALSE) / VLOOKUP("LULUCF|PM25|Premature mortality", US_national_yearly!$D:$AM, 10, FALSE), 1)</f>
        <v>8.1390831278025202E-4</v>
      </c>
      <c r="AB2" s="7">
        <f>$B2 * IFERROR(VLOOKUP("LULUCF|PM25|Premature mortality", US_national_yearly!$D:$AM, 36, FALSE) / VLOOKUP("LULUCF|PM25|Premature mortality", US_national_yearly!$D:$AM, 10, FALSE), 1)</f>
        <v>8.146359425081404E-4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1.7125351650583465E-6</v>
      </c>
      <c r="C3" s="7">
        <f>$B3 * IFERROR(VLOOKUP("LULUCF|PM25|Infant mortality", US_national_yearly!$D:$AM, 11, FALSE) / VLOOKUP("LULUCF|PM25|Infant mortality", US_national_yearly!$D:$AM, 10, FALSE), 1)</f>
        <v>1.6976034211185144E-6</v>
      </c>
      <c r="D3" s="7">
        <f>$B3 * IFERROR(VLOOKUP("LULUCF|PM25|Infant mortality", US_national_yearly!$D:$AM, 12, FALSE) / VLOOKUP("LULUCF|PM25|Infant mortality", US_national_yearly!$D:$AM, 10, FALSE), 1)</f>
        <v>1.6826716771786823E-6</v>
      </c>
      <c r="E3" s="7">
        <f>$B3 * IFERROR(VLOOKUP("LULUCF|PM25|Infant mortality", US_national_yearly!$D:$AM, 13, FALSE) / VLOOKUP("LULUCF|PM25|Infant mortality", US_national_yearly!$D:$AM, 10, FALSE), 1)</f>
        <v>1.6677399332388502E-6</v>
      </c>
      <c r="F3" s="7">
        <f>$B3 * IFERROR(VLOOKUP("LULUCF|PM25|Infant mortality", US_national_yearly!$D:$AM, 14, FALSE) / VLOOKUP("LULUCF|PM25|Infant mortality", US_national_yearly!$D:$AM, 10, FALSE), 1)</f>
        <v>1.6528081892990179E-6</v>
      </c>
      <c r="G3" s="7">
        <f>$B3 * IFERROR(VLOOKUP("LULUCF|PM25|Infant mortality", US_national_yearly!$D:$AM, 15, FALSE) / VLOOKUP("LULUCF|PM25|Infant mortality", US_national_yearly!$D:$AM, 10, FALSE), 1)</f>
        <v>1.0992058578269241E-6</v>
      </c>
      <c r="H3" s="7">
        <f>$B3 * IFERROR(VLOOKUP("LULUCF|PM25|Infant mortality", US_national_yearly!$D:$AM, 16, FALSE) / VLOOKUP("LULUCF|PM25|Infant mortality", US_national_yearly!$D:$AM, 10, FALSE), 1)</f>
        <v>5.4560352635482993E-7</v>
      </c>
      <c r="I3" s="7">
        <f>$B3 * IFERROR(VLOOKUP("LULUCF|PM25|Infant mortality", US_national_yearly!$D:$AM, 17, FALSE) / VLOOKUP("LULUCF|PM25|Infant mortality", US_national_yearly!$D:$AM, 10, FALSE), 1)</f>
        <v>5.4203710605344967E-7</v>
      </c>
      <c r="J3" s="7">
        <f>$B3 * IFERROR(VLOOKUP("LULUCF|PM25|Infant mortality", US_national_yearly!$D:$AM, 18, FALSE) / VLOOKUP("LULUCF|PM25|Infant mortality", US_national_yearly!$D:$AM, 10, FALSE), 1)</f>
        <v>5.3847068575206941E-7</v>
      </c>
      <c r="K3" s="7">
        <f>$B3 * IFERROR(VLOOKUP("LULUCF|PM25|Infant mortality", US_national_yearly!$D:$AM, 19, FALSE) / VLOOKUP("LULUCF|PM25|Infant mortality", US_national_yearly!$D:$AM, 10, FALSE), 1)</f>
        <v>5.3490426545068904E-7</v>
      </c>
      <c r="L3" s="7">
        <f>$B3 * IFERROR(VLOOKUP("LULUCF|PM25|Infant mortality", US_national_yearly!$D:$AM, 20, FALSE) / VLOOKUP("LULUCF|PM25|Infant mortality", US_national_yearly!$D:$AM, 10, FALSE), 1)</f>
        <v>5.3133784514930889E-7</v>
      </c>
      <c r="M3" s="7">
        <f>$B3 * IFERROR(VLOOKUP("LULUCF|PM25|Infant mortality", US_national_yearly!$D:$AM, 21, FALSE) / VLOOKUP("LULUCF|PM25|Infant mortality", US_national_yearly!$D:$AM, 10, FALSE), 1)</f>
        <v>5.2777142484792863E-7</v>
      </c>
      <c r="N3" s="7">
        <f>$B3 * IFERROR(VLOOKUP("LULUCF|PM25|Infant mortality", US_national_yearly!$D:$AM, 22, FALSE) / VLOOKUP("LULUCF|PM25|Infant mortality", US_national_yearly!$D:$AM, 10, FALSE), 1)</f>
        <v>5.2553131805737249E-7</v>
      </c>
      <c r="O3" s="7">
        <f>$B3 * IFERROR(VLOOKUP("LULUCF|PM25|Infant mortality", US_national_yearly!$D:$AM, 23, FALSE) / VLOOKUP("LULUCF|PM25|Infant mortality", US_national_yearly!$D:$AM, 10, FALSE), 1)</f>
        <v>5.2329121126681646E-7</v>
      </c>
      <c r="P3" s="7">
        <f>$B3 * IFERROR(VLOOKUP("LULUCF|PM25|Infant mortality", US_national_yearly!$D:$AM, 24, FALSE) / VLOOKUP("LULUCF|PM25|Infant mortality", US_national_yearly!$D:$AM, 10, FALSE), 1)</f>
        <v>5.2105110447626021E-7</v>
      </c>
      <c r="Q3" s="7">
        <f>$B3 * IFERROR(VLOOKUP("LULUCF|PM25|Infant mortality", US_national_yearly!$D:$AM, 25, FALSE) / VLOOKUP("LULUCF|PM25|Infant mortality", US_national_yearly!$D:$AM, 10, FALSE), 1)</f>
        <v>5.1881099768570418E-7</v>
      </c>
      <c r="R3" s="7">
        <f>$B3 * IFERROR(VLOOKUP("LULUCF|PM25|Infant mortality", US_national_yearly!$D:$AM, 26, FALSE) / VLOOKUP("LULUCF|PM25|Infant mortality", US_national_yearly!$D:$AM, 10, FALSE), 1)</f>
        <v>5.1657089089514804E-7</v>
      </c>
      <c r="S3" s="7">
        <f>$B3 * IFERROR(VLOOKUP("LULUCF|PM25|Infant mortality", US_national_yearly!$D:$AM, 27, FALSE) / VLOOKUP("LULUCF|PM25|Infant mortality", US_national_yearly!$D:$AM, 10, FALSE), 1)</f>
        <v>5.1377855197815531E-7</v>
      </c>
      <c r="T3" s="7">
        <f>$B3 * IFERROR(VLOOKUP("LULUCF|PM25|Infant mortality", US_national_yearly!$D:$AM, 28, FALSE) / VLOOKUP("LULUCF|PM25|Infant mortality", US_national_yearly!$D:$AM, 10, FALSE), 1)</f>
        <v>5.1098621306116258E-7</v>
      </c>
      <c r="U3" s="7">
        <f>$B3 * IFERROR(VLOOKUP("LULUCF|PM25|Infant mortality", US_national_yearly!$D:$AM, 29, FALSE) / VLOOKUP("LULUCF|PM25|Infant mortality", US_national_yearly!$D:$AM, 10, FALSE), 1)</f>
        <v>5.0819387414416995E-7</v>
      </c>
      <c r="V3" s="7">
        <f>$B3 * IFERROR(VLOOKUP("LULUCF|PM25|Infant mortality", US_national_yearly!$D:$AM, 30, FALSE) / VLOOKUP("LULUCF|PM25|Infant mortality", US_national_yearly!$D:$AM, 10, FALSE), 1)</f>
        <v>5.0540153522717733E-7</v>
      </c>
      <c r="W3" s="7">
        <f>$B3 * IFERROR(VLOOKUP("LULUCF|PM25|Infant mortality", US_national_yearly!$D:$AM, 31, FALSE) / VLOOKUP("LULUCF|PM25|Infant mortality", US_national_yearly!$D:$AM, 10, FALSE), 1)</f>
        <v>5.026091963101846E-7</v>
      </c>
      <c r="X3" s="7">
        <f>$B3 * IFERROR(VLOOKUP("LULUCF|PM25|Infant mortality", US_national_yearly!$D:$AM, 32, FALSE) / VLOOKUP("LULUCF|PM25|Infant mortality", US_national_yearly!$D:$AM, 10, FALSE), 1)</f>
        <v>4.9959870399748453E-7</v>
      </c>
      <c r="Y3" s="7">
        <f>$B3 * IFERROR(VLOOKUP("LULUCF|PM25|Infant mortality", US_national_yearly!$D:$AM, 33, FALSE) / VLOOKUP("LULUCF|PM25|Infant mortality", US_national_yearly!$D:$AM, 10, FALSE), 1)</f>
        <v>4.9658821168478437E-7</v>
      </c>
      <c r="Z3" s="7">
        <f>$B3 * IFERROR(VLOOKUP("LULUCF|PM25|Infant mortality", US_national_yearly!$D:$AM, 34, FALSE) / VLOOKUP("LULUCF|PM25|Infant mortality", US_national_yearly!$D:$AM, 10, FALSE), 1)</f>
        <v>4.9357771937208441E-7</v>
      </c>
      <c r="AA3" s="7">
        <f>$B3 * IFERROR(VLOOKUP("LULUCF|PM25|Infant mortality", US_national_yearly!$D:$AM, 35, FALSE) / VLOOKUP("LULUCF|PM25|Infant mortality", US_national_yearly!$D:$AM, 10, FALSE), 1)</f>
        <v>4.9056722705938435E-7</v>
      </c>
      <c r="AB3" s="7">
        <f>$B3 * IFERROR(VLOOKUP("LULUCF|PM25|Infant mortality", US_national_yearly!$D:$AM, 36, FALSE) / VLOOKUP("LULUCF|PM25|Infant mortality", US_national_yearly!$D:$AM, 10, FALSE), 1)</f>
        <v>4.8755673474668428E-7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1.7019630154601021E-3</v>
      </c>
      <c r="C6" s="7">
        <f>$B6 * IFERROR(VLOOKUP("LULUCF|PM25|Asthma symptoms cough", US_national_yearly!$D:$AM, 11, FALSE) / VLOOKUP("LULUCF|PM25|Asthma symptoms cough", US_national_yearly!$D:$AM, 10, FALSE), 1)</f>
        <v>1.7019630154601021E-3</v>
      </c>
      <c r="D6" s="7">
        <f>$B6 * IFERROR(VLOOKUP("LULUCF|PM25|Asthma symptoms cough", US_national_yearly!$D:$AM, 12, FALSE) / VLOOKUP("LULUCF|PM25|Asthma symptoms cough", US_national_yearly!$D:$AM, 10, FALSE), 1)</f>
        <v>1.7019630154601021E-3</v>
      </c>
      <c r="E6" s="7">
        <f>$B6 * IFERROR(VLOOKUP("LULUCF|PM25|Asthma symptoms cough", US_national_yearly!$D:$AM, 13, FALSE) / VLOOKUP("LULUCF|PM25|Asthma symptoms cough", US_national_yearly!$D:$AM, 10, FALSE), 1)</f>
        <v>1.7019630154601021E-3</v>
      </c>
      <c r="F6" s="7">
        <f>$B6 * IFERROR(VLOOKUP("LULUCF|PM25|Asthma symptoms cough", US_national_yearly!$D:$AM, 14, FALSE) / VLOOKUP("LULUCF|PM25|Asthma symptoms cough", US_national_yearly!$D:$AM, 10, FALSE), 1)</f>
        <v>1.7019630154601021E-3</v>
      </c>
      <c r="G6" s="7">
        <f>$B6 * IFERROR(VLOOKUP("LULUCF|PM25|Asthma symptoms cough", US_national_yearly!$D:$AM, 15, FALSE) / VLOOKUP("LULUCF|PM25|Asthma symptoms cough", US_national_yearly!$D:$AM, 10, FALSE), 1)</f>
        <v>1.7019630154601021E-3</v>
      </c>
      <c r="H6" s="7">
        <f>$B6 * IFERROR(VLOOKUP("LULUCF|PM25|Asthma symptoms cough", US_national_yearly!$D:$AM, 16, FALSE) / VLOOKUP("LULUCF|PM25|Asthma symptoms cough", US_national_yearly!$D:$AM, 10, FALSE), 1)</f>
        <v>1.7019630154601021E-3</v>
      </c>
      <c r="I6" s="7">
        <f>$B6 * IFERROR(VLOOKUP("LULUCF|PM25|Asthma symptoms cough", US_national_yearly!$D:$AM, 17, FALSE) / VLOOKUP("LULUCF|PM25|Asthma symptoms cough", US_national_yearly!$D:$AM, 10, FALSE), 1)</f>
        <v>1.7019630154601021E-3</v>
      </c>
      <c r="J6" s="7">
        <f>$B6 * IFERROR(VLOOKUP("LULUCF|PM25|Asthma symptoms cough", US_national_yearly!$D:$AM, 18, FALSE) / VLOOKUP("LULUCF|PM25|Asthma symptoms cough", US_national_yearly!$D:$AM, 10, FALSE), 1)</f>
        <v>1.7019630154601021E-3</v>
      </c>
      <c r="K6" s="7">
        <f>$B6 * IFERROR(VLOOKUP("LULUCF|PM25|Asthma symptoms cough", US_national_yearly!$D:$AM, 19, FALSE) / VLOOKUP("LULUCF|PM25|Asthma symptoms cough", US_national_yearly!$D:$AM, 10, FALSE), 1)</f>
        <v>1.7019630154601021E-3</v>
      </c>
      <c r="L6" s="7">
        <f>$B6 * IFERROR(VLOOKUP("LULUCF|PM25|Asthma symptoms cough", US_national_yearly!$D:$AM, 20, FALSE) / VLOOKUP("LULUCF|PM25|Asthma symptoms cough", US_national_yearly!$D:$AM, 10, FALSE), 1)</f>
        <v>1.7019630154601021E-3</v>
      </c>
      <c r="M6" s="7">
        <f>$B6 * IFERROR(VLOOKUP("LULUCF|PM25|Asthma symptoms cough", US_national_yearly!$D:$AM, 21, FALSE) / VLOOKUP("LULUCF|PM25|Asthma symptoms cough", US_national_yearly!$D:$AM, 10, FALSE), 1)</f>
        <v>1.7019630154601021E-3</v>
      </c>
      <c r="N6" s="7">
        <f>$B6 * IFERROR(VLOOKUP("LULUCF|PM25|Asthma symptoms cough", US_national_yearly!$D:$AM, 22, FALSE) / VLOOKUP("LULUCF|PM25|Asthma symptoms cough", US_national_yearly!$D:$AM, 10, FALSE), 1)</f>
        <v>1.7019630154601021E-3</v>
      </c>
      <c r="O6" s="7">
        <f>$B6 * IFERROR(VLOOKUP("LULUCF|PM25|Asthma symptoms cough", US_national_yearly!$D:$AM, 23, FALSE) / VLOOKUP("LULUCF|PM25|Asthma symptoms cough", US_national_yearly!$D:$AM, 10, FALSE), 1)</f>
        <v>1.7019630154601021E-3</v>
      </c>
      <c r="P6" s="7">
        <f>$B6 * IFERROR(VLOOKUP("LULUCF|PM25|Asthma symptoms cough", US_national_yearly!$D:$AM, 24, FALSE) / VLOOKUP("LULUCF|PM25|Asthma symptoms cough", US_national_yearly!$D:$AM, 10, FALSE), 1)</f>
        <v>1.7019630154601021E-3</v>
      </c>
      <c r="Q6" s="7">
        <f>$B6 * IFERROR(VLOOKUP("LULUCF|PM25|Asthma symptoms cough", US_national_yearly!$D:$AM, 25, FALSE) / VLOOKUP("LULUCF|PM25|Asthma symptoms cough", US_national_yearly!$D:$AM, 10, FALSE), 1)</f>
        <v>1.7019630154601021E-3</v>
      </c>
      <c r="R6" s="7">
        <f>$B6 * IFERROR(VLOOKUP("LULUCF|PM25|Asthma symptoms cough", US_national_yearly!$D:$AM, 26, FALSE) / VLOOKUP("LULUCF|PM25|Asthma symptoms cough", US_national_yearly!$D:$AM, 10, FALSE), 1)</f>
        <v>1.7019630154601021E-3</v>
      </c>
      <c r="S6" s="7">
        <f>$B6 * IFERROR(VLOOKUP("LULUCF|PM25|Asthma symptoms cough", US_national_yearly!$D:$AM, 27, FALSE) / VLOOKUP("LULUCF|PM25|Asthma symptoms cough", US_national_yearly!$D:$AM, 10, FALSE), 1)</f>
        <v>1.7019630154601021E-3</v>
      </c>
      <c r="T6" s="7">
        <f>$B6 * IFERROR(VLOOKUP("LULUCF|PM25|Asthma symptoms cough", US_national_yearly!$D:$AM, 28, FALSE) / VLOOKUP("LULUCF|PM25|Asthma symptoms cough", US_national_yearly!$D:$AM, 10, FALSE), 1)</f>
        <v>1.7019630154601021E-3</v>
      </c>
      <c r="U6" s="7">
        <f>$B6 * IFERROR(VLOOKUP("LULUCF|PM25|Asthma symptoms cough", US_national_yearly!$D:$AM, 29, FALSE) / VLOOKUP("LULUCF|PM25|Asthma symptoms cough", US_national_yearly!$D:$AM, 10, FALSE), 1)</f>
        <v>1.7019630154601021E-3</v>
      </c>
      <c r="V6" s="7">
        <f>$B6 * IFERROR(VLOOKUP("LULUCF|PM25|Asthma symptoms cough", US_national_yearly!$D:$AM, 30, FALSE) / VLOOKUP("LULUCF|PM25|Asthma symptoms cough", US_national_yearly!$D:$AM, 10, FALSE), 1)</f>
        <v>1.7019630154601021E-3</v>
      </c>
      <c r="W6" s="7">
        <f>$B6 * IFERROR(VLOOKUP("LULUCF|PM25|Asthma symptoms cough", US_national_yearly!$D:$AM, 31, FALSE) / VLOOKUP("LULUCF|PM25|Asthma symptoms cough", US_national_yearly!$D:$AM, 10, FALSE), 1)</f>
        <v>1.7019630154601021E-3</v>
      </c>
      <c r="X6" s="7">
        <f>$B6 * IFERROR(VLOOKUP("LULUCF|PM25|Asthma symptoms cough", US_national_yearly!$D:$AM, 32, FALSE) / VLOOKUP("LULUCF|PM25|Asthma symptoms cough", US_national_yearly!$D:$AM, 10, FALSE), 1)</f>
        <v>1.7019630154601021E-3</v>
      </c>
      <c r="Y6" s="7">
        <f>$B6 * IFERROR(VLOOKUP("LULUCF|PM25|Asthma symptoms cough", US_national_yearly!$D:$AM, 33, FALSE) / VLOOKUP("LULUCF|PM25|Asthma symptoms cough", US_national_yearly!$D:$AM, 10, FALSE), 1)</f>
        <v>1.7019630154601021E-3</v>
      </c>
      <c r="Z6" s="7">
        <f>$B6 * IFERROR(VLOOKUP("LULUCF|PM25|Asthma symptoms cough", US_national_yearly!$D:$AM, 34, FALSE) / VLOOKUP("LULUCF|PM25|Asthma symptoms cough", US_national_yearly!$D:$AM, 10, FALSE), 1)</f>
        <v>1.7019630154601021E-3</v>
      </c>
      <c r="AA6" s="7">
        <f>$B6 * IFERROR(VLOOKUP("LULUCF|PM25|Asthma symptoms cough", US_national_yearly!$D:$AM, 35, FALSE) / VLOOKUP("LULUCF|PM25|Asthma symptoms cough", US_national_yearly!$D:$AM, 10, FALSE), 1)</f>
        <v>1.7019630154601021E-3</v>
      </c>
      <c r="AB6" s="7">
        <f>$B6 * IFERROR(VLOOKUP("LULUCF|PM25|Asthma symptoms cough", US_national_yearly!$D:$AM, 36, FALSE) / VLOOKUP("LULUCF|PM25|Asthma symptoms cough", US_national_yearly!$D:$AM, 10, FALSE), 1)</f>
        <v>1.7019630154601021E-3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2.2919253630254818E-3</v>
      </c>
      <c r="C7" s="7">
        <f>$B7 * IFERROR(VLOOKUP("LULUCF|PM25|Asthma symptoms shortness of breath", US_national_yearly!$D:$AM, 11, FALSE) / VLOOKUP("LULUCF|PM25|Asthma symptoms shortness of breath", US_national_yearly!$D:$AM, 10, FALSE), 1)</f>
        <v>2.2919253630254818E-3</v>
      </c>
      <c r="D7" s="7">
        <f>$B7 * IFERROR(VLOOKUP("LULUCF|PM25|Asthma symptoms shortness of breath", US_national_yearly!$D:$AM, 12, FALSE) / VLOOKUP("LULUCF|PM25|Asthma symptoms shortness of breath", US_national_yearly!$D:$AM, 10, FALSE), 1)</f>
        <v>2.2919253630254818E-3</v>
      </c>
      <c r="E7" s="7">
        <f>$B7 * IFERROR(VLOOKUP("LULUCF|PM25|Asthma symptoms shortness of breath", US_national_yearly!$D:$AM, 13, FALSE) / VLOOKUP("LULUCF|PM25|Asthma symptoms shortness of breath", US_national_yearly!$D:$AM, 10, FALSE), 1)</f>
        <v>2.2919253630254818E-3</v>
      </c>
      <c r="F7" s="7">
        <f>$B7 * IFERROR(VLOOKUP("LULUCF|PM25|Asthma symptoms shortness of breath", US_national_yearly!$D:$AM, 14, FALSE) / VLOOKUP("LULUCF|PM25|Asthma symptoms shortness of breath", US_national_yearly!$D:$AM, 10, FALSE), 1)</f>
        <v>2.2919253630254818E-3</v>
      </c>
      <c r="G7" s="7">
        <f>$B7 * IFERROR(VLOOKUP("LULUCF|PM25|Asthma symptoms shortness of breath", US_national_yearly!$D:$AM, 15, FALSE) / VLOOKUP("LULUCF|PM25|Asthma symptoms shortness of breath", US_national_yearly!$D:$AM, 10, FALSE), 1)</f>
        <v>2.2919253630254818E-3</v>
      </c>
      <c r="H7" s="7">
        <f>$B7 * IFERROR(VLOOKUP("LULUCF|PM25|Asthma symptoms shortness of breath", US_national_yearly!$D:$AM, 16, FALSE) / VLOOKUP("LULUCF|PM25|Asthma symptoms shortness of breath", US_national_yearly!$D:$AM, 10, FALSE), 1)</f>
        <v>2.2919253630254818E-3</v>
      </c>
      <c r="I7" s="7">
        <f>$B7 * IFERROR(VLOOKUP("LULUCF|PM25|Asthma symptoms shortness of breath", US_national_yearly!$D:$AM, 17, FALSE) / VLOOKUP("LULUCF|PM25|Asthma symptoms shortness of breath", US_national_yearly!$D:$AM, 10, FALSE), 1)</f>
        <v>2.2919253630254818E-3</v>
      </c>
      <c r="J7" s="7">
        <f>$B7 * IFERROR(VLOOKUP("LULUCF|PM25|Asthma symptoms shortness of breath", US_national_yearly!$D:$AM, 18, FALSE) / VLOOKUP("LULUCF|PM25|Asthma symptoms shortness of breath", US_national_yearly!$D:$AM, 10, FALSE), 1)</f>
        <v>2.2919253630254818E-3</v>
      </c>
      <c r="K7" s="7">
        <f>$B7 * IFERROR(VLOOKUP("LULUCF|PM25|Asthma symptoms shortness of breath", US_national_yearly!$D:$AM, 19, FALSE) / VLOOKUP("LULUCF|PM25|Asthma symptoms shortness of breath", US_national_yearly!$D:$AM, 10, FALSE), 1)</f>
        <v>2.2919253630254818E-3</v>
      </c>
      <c r="L7" s="7">
        <f>$B7 * IFERROR(VLOOKUP("LULUCF|PM25|Asthma symptoms shortness of breath", US_national_yearly!$D:$AM, 20, FALSE) / VLOOKUP("LULUCF|PM25|Asthma symptoms shortness of breath", US_national_yearly!$D:$AM, 10, FALSE), 1)</f>
        <v>2.2919253630254818E-3</v>
      </c>
      <c r="M7" s="7">
        <f>$B7 * IFERROR(VLOOKUP("LULUCF|PM25|Asthma symptoms shortness of breath", US_national_yearly!$D:$AM, 21, FALSE) / VLOOKUP("LULUCF|PM25|Asthma symptoms shortness of breath", US_national_yearly!$D:$AM, 10, FALSE), 1)</f>
        <v>2.2919253630254818E-3</v>
      </c>
      <c r="N7" s="7">
        <f>$B7 * IFERROR(VLOOKUP("LULUCF|PM25|Asthma symptoms shortness of breath", US_national_yearly!$D:$AM, 22, FALSE) / VLOOKUP("LULUCF|PM25|Asthma symptoms shortness of breath", US_national_yearly!$D:$AM, 10, FALSE), 1)</f>
        <v>2.2919253630254818E-3</v>
      </c>
      <c r="O7" s="7">
        <f>$B7 * IFERROR(VLOOKUP("LULUCF|PM25|Asthma symptoms shortness of breath", US_national_yearly!$D:$AM, 23, FALSE) / VLOOKUP("LULUCF|PM25|Asthma symptoms shortness of breath", US_national_yearly!$D:$AM, 10, FALSE), 1)</f>
        <v>2.2919253630254818E-3</v>
      </c>
      <c r="P7" s="7">
        <f>$B7 * IFERROR(VLOOKUP("LULUCF|PM25|Asthma symptoms shortness of breath", US_national_yearly!$D:$AM, 24, FALSE) / VLOOKUP("LULUCF|PM25|Asthma symptoms shortness of breath", US_national_yearly!$D:$AM, 10, FALSE), 1)</f>
        <v>2.2919253630254818E-3</v>
      </c>
      <c r="Q7" s="7">
        <f>$B7 * IFERROR(VLOOKUP("LULUCF|PM25|Asthma symptoms shortness of breath", US_national_yearly!$D:$AM, 25, FALSE) / VLOOKUP("LULUCF|PM25|Asthma symptoms shortness of breath", US_national_yearly!$D:$AM, 10, FALSE), 1)</f>
        <v>2.2919253630254818E-3</v>
      </c>
      <c r="R7" s="7">
        <f>$B7 * IFERROR(VLOOKUP("LULUCF|PM25|Asthma symptoms shortness of breath", US_national_yearly!$D:$AM, 26, FALSE) / VLOOKUP("LULUCF|PM25|Asthma symptoms shortness of breath", US_national_yearly!$D:$AM, 10, FALSE), 1)</f>
        <v>2.2919253630254818E-3</v>
      </c>
      <c r="S7" s="7">
        <f>$B7 * IFERROR(VLOOKUP("LULUCF|PM25|Asthma symptoms shortness of breath", US_national_yearly!$D:$AM, 27, FALSE) / VLOOKUP("LULUCF|PM25|Asthma symptoms shortness of breath", US_national_yearly!$D:$AM, 10, FALSE), 1)</f>
        <v>2.2919253630254818E-3</v>
      </c>
      <c r="T7" s="7">
        <f>$B7 * IFERROR(VLOOKUP("LULUCF|PM25|Asthma symptoms shortness of breath", US_national_yearly!$D:$AM, 28, FALSE) / VLOOKUP("LULUCF|PM25|Asthma symptoms shortness of breath", US_national_yearly!$D:$AM, 10, FALSE), 1)</f>
        <v>2.2919253630254818E-3</v>
      </c>
      <c r="U7" s="7">
        <f>$B7 * IFERROR(VLOOKUP("LULUCF|PM25|Asthma symptoms shortness of breath", US_national_yearly!$D:$AM, 29, FALSE) / VLOOKUP("LULUCF|PM25|Asthma symptoms shortness of breath", US_national_yearly!$D:$AM, 10, FALSE), 1)</f>
        <v>2.2919253630254818E-3</v>
      </c>
      <c r="V7" s="7">
        <f>$B7 * IFERROR(VLOOKUP("LULUCF|PM25|Asthma symptoms shortness of breath", US_national_yearly!$D:$AM, 30, FALSE) / VLOOKUP("LULUCF|PM25|Asthma symptoms shortness of breath", US_national_yearly!$D:$AM, 10, FALSE), 1)</f>
        <v>2.2919253630254818E-3</v>
      </c>
      <c r="W7" s="7">
        <f>$B7 * IFERROR(VLOOKUP("LULUCF|PM25|Asthma symptoms shortness of breath", US_national_yearly!$D:$AM, 31, FALSE) / VLOOKUP("LULUCF|PM25|Asthma symptoms shortness of breath", US_national_yearly!$D:$AM, 10, FALSE), 1)</f>
        <v>2.2919253630254818E-3</v>
      </c>
      <c r="X7" s="7">
        <f>$B7 * IFERROR(VLOOKUP("LULUCF|PM25|Asthma symptoms shortness of breath", US_national_yearly!$D:$AM, 32, FALSE) / VLOOKUP("LULUCF|PM25|Asthma symptoms shortness of breath", US_national_yearly!$D:$AM, 10, FALSE), 1)</f>
        <v>2.2919253630254818E-3</v>
      </c>
      <c r="Y7" s="7">
        <f>$B7 * IFERROR(VLOOKUP("LULUCF|PM25|Asthma symptoms shortness of breath", US_national_yearly!$D:$AM, 33, FALSE) / VLOOKUP("LULUCF|PM25|Asthma symptoms shortness of breath", US_national_yearly!$D:$AM, 10, FALSE), 1)</f>
        <v>2.2919253630254818E-3</v>
      </c>
      <c r="Z7" s="7">
        <f>$B7 * IFERROR(VLOOKUP("LULUCF|PM25|Asthma symptoms shortness of breath", US_national_yearly!$D:$AM, 34, FALSE) / VLOOKUP("LULUCF|PM25|Asthma symptoms shortness of breath", US_national_yearly!$D:$AM, 10, FALSE), 1)</f>
        <v>2.2919253630254818E-3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2.2919253630254818E-3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2.2919253630254818E-3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3.5017263137184142E-3</v>
      </c>
      <c r="C8" s="7">
        <f>$B8 * IFERROR(VLOOKUP("LULUCF|PM25|Asthma symptoms wheeze", US_national_yearly!$D:$AM, 11, FALSE) / VLOOKUP("LULUCF|PM25|Asthma symptoms wheeze", US_national_yearly!$D:$AM, 10, FALSE), 1)</f>
        <v>3.5017263137184142E-3</v>
      </c>
      <c r="D8" s="7">
        <f>$B8 * IFERROR(VLOOKUP("LULUCF|PM25|Asthma symptoms wheeze", US_national_yearly!$D:$AM, 12, FALSE) / VLOOKUP("LULUCF|PM25|Asthma symptoms wheeze", US_national_yearly!$D:$AM, 10, FALSE), 1)</f>
        <v>3.5017263137184142E-3</v>
      </c>
      <c r="E8" s="7">
        <f>$B8 * IFERROR(VLOOKUP("LULUCF|PM25|Asthma symptoms wheeze", US_national_yearly!$D:$AM, 13, FALSE) / VLOOKUP("LULUCF|PM25|Asthma symptoms wheeze", US_national_yearly!$D:$AM, 10, FALSE), 1)</f>
        <v>3.5017263137184142E-3</v>
      </c>
      <c r="F8" s="7">
        <f>$B8 * IFERROR(VLOOKUP("LULUCF|PM25|Asthma symptoms wheeze", US_national_yearly!$D:$AM, 14, FALSE) / VLOOKUP("LULUCF|PM25|Asthma symptoms wheeze", US_national_yearly!$D:$AM, 10, FALSE), 1)</f>
        <v>3.5017263137184142E-3</v>
      </c>
      <c r="G8" s="7">
        <f>$B8 * IFERROR(VLOOKUP("LULUCF|PM25|Asthma symptoms wheeze", US_national_yearly!$D:$AM, 15, FALSE) / VLOOKUP("LULUCF|PM25|Asthma symptoms wheeze", US_national_yearly!$D:$AM, 10, FALSE), 1)</f>
        <v>3.5017263137184142E-3</v>
      </c>
      <c r="H8" s="7">
        <f>$B8 * IFERROR(VLOOKUP("LULUCF|PM25|Asthma symptoms wheeze", US_national_yearly!$D:$AM, 16, FALSE) / VLOOKUP("LULUCF|PM25|Asthma symptoms wheeze", US_national_yearly!$D:$AM, 10, FALSE), 1)</f>
        <v>3.5017263137184142E-3</v>
      </c>
      <c r="I8" s="7">
        <f>$B8 * IFERROR(VLOOKUP("LULUCF|PM25|Asthma symptoms wheeze", US_national_yearly!$D:$AM, 17, FALSE) / VLOOKUP("LULUCF|PM25|Asthma symptoms wheeze", US_national_yearly!$D:$AM, 10, FALSE), 1)</f>
        <v>3.5017263137184142E-3</v>
      </c>
      <c r="J8" s="7">
        <f>$B8 * IFERROR(VLOOKUP("LULUCF|PM25|Asthma symptoms wheeze", US_national_yearly!$D:$AM, 18, FALSE) / VLOOKUP("LULUCF|PM25|Asthma symptoms wheeze", US_national_yearly!$D:$AM, 10, FALSE), 1)</f>
        <v>3.5017263137184142E-3</v>
      </c>
      <c r="K8" s="7">
        <f>$B8 * IFERROR(VLOOKUP("LULUCF|PM25|Asthma symptoms wheeze", US_national_yearly!$D:$AM, 19, FALSE) / VLOOKUP("LULUCF|PM25|Asthma symptoms wheeze", US_national_yearly!$D:$AM, 10, FALSE), 1)</f>
        <v>3.5017263137184142E-3</v>
      </c>
      <c r="L8" s="7">
        <f>$B8 * IFERROR(VLOOKUP("LULUCF|PM25|Asthma symptoms wheeze", US_national_yearly!$D:$AM, 20, FALSE) / VLOOKUP("LULUCF|PM25|Asthma symptoms wheeze", US_national_yearly!$D:$AM, 10, FALSE), 1)</f>
        <v>3.5017263137184142E-3</v>
      </c>
      <c r="M8" s="7">
        <f>$B8 * IFERROR(VLOOKUP("LULUCF|PM25|Asthma symptoms wheeze", US_national_yearly!$D:$AM, 21, FALSE) / VLOOKUP("LULUCF|PM25|Asthma symptoms wheeze", US_national_yearly!$D:$AM, 10, FALSE), 1)</f>
        <v>3.5017263137184142E-3</v>
      </c>
      <c r="N8" s="7">
        <f>$B8 * IFERROR(VLOOKUP("LULUCF|PM25|Asthma symptoms wheeze", US_national_yearly!$D:$AM, 22, FALSE) / VLOOKUP("LULUCF|PM25|Asthma symptoms wheeze", US_national_yearly!$D:$AM, 10, FALSE), 1)</f>
        <v>3.5017263137184142E-3</v>
      </c>
      <c r="O8" s="7">
        <f>$B8 * IFERROR(VLOOKUP("LULUCF|PM25|Asthma symptoms wheeze", US_national_yearly!$D:$AM, 23, FALSE) / VLOOKUP("LULUCF|PM25|Asthma symptoms wheeze", US_national_yearly!$D:$AM, 10, FALSE), 1)</f>
        <v>3.5017263137184142E-3</v>
      </c>
      <c r="P8" s="7">
        <f>$B8 * IFERROR(VLOOKUP("LULUCF|PM25|Asthma symptoms wheeze", US_national_yearly!$D:$AM, 24, FALSE) / VLOOKUP("LULUCF|PM25|Asthma symptoms wheeze", US_national_yearly!$D:$AM, 10, FALSE), 1)</f>
        <v>3.5017263137184142E-3</v>
      </c>
      <c r="Q8" s="7">
        <f>$B8 * IFERROR(VLOOKUP("LULUCF|PM25|Asthma symptoms wheeze", US_national_yearly!$D:$AM, 25, FALSE) / VLOOKUP("LULUCF|PM25|Asthma symptoms wheeze", US_national_yearly!$D:$AM, 10, FALSE), 1)</f>
        <v>3.5017263137184142E-3</v>
      </c>
      <c r="R8" s="7">
        <f>$B8 * IFERROR(VLOOKUP("LULUCF|PM25|Asthma symptoms wheeze", US_national_yearly!$D:$AM, 26, FALSE) / VLOOKUP("LULUCF|PM25|Asthma symptoms wheeze", US_national_yearly!$D:$AM, 10, FALSE), 1)</f>
        <v>3.5017263137184142E-3</v>
      </c>
      <c r="S8" s="7">
        <f>$B8 * IFERROR(VLOOKUP("LULUCF|PM25|Asthma symptoms wheeze", US_national_yearly!$D:$AM, 27, FALSE) / VLOOKUP("LULUCF|PM25|Asthma symptoms wheeze", US_national_yearly!$D:$AM, 10, FALSE), 1)</f>
        <v>3.5017263137184142E-3</v>
      </c>
      <c r="T8" s="7">
        <f>$B8 * IFERROR(VLOOKUP("LULUCF|PM25|Asthma symptoms wheeze", US_national_yearly!$D:$AM, 28, FALSE) / VLOOKUP("LULUCF|PM25|Asthma symptoms wheeze", US_national_yearly!$D:$AM, 10, FALSE), 1)</f>
        <v>3.5017263137184142E-3</v>
      </c>
      <c r="U8" s="7">
        <f>$B8 * IFERROR(VLOOKUP("LULUCF|PM25|Asthma symptoms wheeze", US_national_yearly!$D:$AM, 29, FALSE) / VLOOKUP("LULUCF|PM25|Asthma symptoms wheeze", US_national_yearly!$D:$AM, 10, FALSE), 1)</f>
        <v>3.5017263137184142E-3</v>
      </c>
      <c r="V8" s="7">
        <f>$B8 * IFERROR(VLOOKUP("LULUCF|PM25|Asthma symptoms wheeze", US_national_yearly!$D:$AM, 30, FALSE) / VLOOKUP("LULUCF|PM25|Asthma symptoms wheeze", US_national_yearly!$D:$AM, 10, FALSE), 1)</f>
        <v>3.5017263137184142E-3</v>
      </c>
      <c r="W8" s="7">
        <f>$B8 * IFERROR(VLOOKUP("LULUCF|PM25|Asthma symptoms wheeze", US_national_yearly!$D:$AM, 31, FALSE) / VLOOKUP("LULUCF|PM25|Asthma symptoms wheeze", US_national_yearly!$D:$AM, 10, FALSE), 1)</f>
        <v>3.5017263137184142E-3</v>
      </c>
      <c r="X8" s="7">
        <f>$B8 * IFERROR(VLOOKUP("LULUCF|PM25|Asthma symptoms wheeze", US_national_yearly!$D:$AM, 32, FALSE) / VLOOKUP("LULUCF|PM25|Asthma symptoms wheeze", US_national_yearly!$D:$AM, 10, FALSE), 1)</f>
        <v>3.5017263137184142E-3</v>
      </c>
      <c r="Y8" s="7">
        <f>$B8 * IFERROR(VLOOKUP("LULUCF|PM25|Asthma symptoms wheeze", US_national_yearly!$D:$AM, 33, FALSE) / VLOOKUP("LULUCF|PM25|Asthma symptoms wheeze", US_national_yearly!$D:$AM, 10, FALSE), 1)</f>
        <v>3.5017263137184142E-3</v>
      </c>
      <c r="Z8" s="7">
        <f>$B8 * IFERROR(VLOOKUP("LULUCF|PM25|Asthma symptoms wheeze", US_national_yearly!$D:$AM, 34, FALSE) / VLOOKUP("LULUCF|PM25|Asthma symptoms wheeze", US_national_yearly!$D:$AM, 10, FALSE), 1)</f>
        <v>3.5017263137184142E-3</v>
      </c>
      <c r="AA8" s="7">
        <f>$B8 * IFERROR(VLOOKUP("LULUCF|PM25|Asthma symptoms wheeze", US_national_yearly!$D:$AM, 35, FALSE) / VLOOKUP("LULUCF|PM25|Asthma symptoms wheeze", US_national_yearly!$D:$AM, 10, FALSE), 1)</f>
        <v>3.5017263137184142E-3</v>
      </c>
      <c r="AB8" s="7">
        <f>$B8 * IFERROR(VLOOKUP("LULUCF|PM25|Asthma symptoms wheeze", US_national_yearly!$D:$AM, 36, FALSE) / VLOOKUP("LULUCF|PM25|Asthma symptoms wheeze", US_national_yearly!$D:$AM, 10, FALSE), 1)</f>
        <v>3.5017263137184142E-3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4.9020978261883482E-5</v>
      </c>
      <c r="C12" s="7">
        <f>$B12 * IFERROR(VLOOKUP("LULUCF|PM25|Respiratory hospital admissions", US_national_yearly!$D:$AM, 11, FALSE) / VLOOKUP("LULUCF|PM25|Respiratory hospital admissions", US_national_yearly!$D:$AM, 10, FALSE), 1)</f>
        <v>4.9301946751034498E-5</v>
      </c>
      <c r="D12" s="7">
        <f>$B12 * IFERROR(VLOOKUP("LULUCF|PM25|Respiratory hospital admissions", US_national_yearly!$D:$AM, 12, FALSE) / VLOOKUP("LULUCF|PM25|Respiratory hospital admissions", US_national_yearly!$D:$AM, 10, FALSE), 1)</f>
        <v>4.95829152401855E-5</v>
      </c>
      <c r="E12" s="7">
        <f>$B12 * IFERROR(VLOOKUP("LULUCF|PM25|Respiratory hospital admissions", US_national_yearly!$D:$AM, 13, FALSE) / VLOOKUP("LULUCF|PM25|Respiratory hospital admissions", US_national_yearly!$D:$AM, 10, FALSE), 1)</f>
        <v>4.9863883729336515E-5</v>
      </c>
      <c r="F12" s="7">
        <f>$B12 * IFERROR(VLOOKUP("LULUCF|PM25|Respiratory hospital admissions", US_national_yearly!$D:$AM, 14, FALSE) / VLOOKUP("LULUCF|PM25|Respiratory hospital admissions", US_national_yearly!$D:$AM, 10, FALSE), 1)</f>
        <v>5.0144852218487517E-5</v>
      </c>
      <c r="G12" s="7">
        <f>$B12 * IFERROR(VLOOKUP("LULUCF|PM25|Respiratory hospital admissions", US_national_yearly!$D:$AM, 15, FALSE) / VLOOKUP("LULUCF|PM25|Respiratory hospital admissions", US_national_yearly!$D:$AM, 10, FALSE), 1)</f>
        <v>5.0448310171558965E-5</v>
      </c>
      <c r="H12" s="7">
        <f>$B12 * IFERROR(VLOOKUP("LULUCF|PM25|Respiratory hospital admissions", US_national_yearly!$D:$AM, 16, FALSE) / VLOOKUP("LULUCF|PM25|Respiratory hospital admissions", US_national_yearly!$D:$AM, 10, FALSE), 1)</f>
        <v>5.0751768124630419E-5</v>
      </c>
      <c r="I12" s="7">
        <f>$B12 * IFERROR(VLOOKUP("LULUCF|PM25|Respiratory hospital admissions", US_national_yearly!$D:$AM, 17, FALSE) / VLOOKUP("LULUCF|PM25|Respiratory hospital admissions", US_national_yearly!$D:$AM, 10, FALSE), 1)</f>
        <v>5.1041710669356813E-5</v>
      </c>
      <c r="J12" s="7">
        <f>$B12 * IFERROR(VLOOKUP("LULUCF|PM25|Respiratory hospital admissions", US_national_yearly!$D:$AM, 18, FALSE) / VLOOKUP("LULUCF|PM25|Respiratory hospital admissions", US_national_yearly!$D:$AM, 10, FALSE), 1)</f>
        <v>5.1331653214083227E-5</v>
      </c>
      <c r="K12" s="7">
        <f>$B12 * IFERROR(VLOOKUP("LULUCF|PM25|Respiratory hospital admissions", US_national_yearly!$D:$AM, 19, FALSE) / VLOOKUP("LULUCF|PM25|Respiratory hospital admissions", US_national_yearly!$D:$AM, 10, FALSE), 1)</f>
        <v>5.1621595758809635E-5</v>
      </c>
      <c r="L12" s="7">
        <f>$B12 * IFERROR(VLOOKUP("LULUCF|PM25|Respiratory hospital admissions", US_national_yearly!$D:$AM, 20, FALSE) / VLOOKUP("LULUCF|PM25|Respiratory hospital admissions", US_national_yearly!$D:$AM, 10, FALSE), 1)</f>
        <v>5.1911538303536056E-5</v>
      </c>
      <c r="M12" s="7">
        <f>$B12 * IFERROR(VLOOKUP("LULUCF|PM25|Respiratory hospital admissions", US_national_yearly!$D:$AM, 21, FALSE) / VLOOKUP("LULUCF|PM25|Respiratory hospital admissions", US_national_yearly!$D:$AM, 10, FALSE), 1)</f>
        <v>5.220148084826245E-5</v>
      </c>
      <c r="N12" s="7">
        <f>$B12 * IFERROR(VLOOKUP("LULUCF|PM25|Respiratory hospital admissions", US_national_yearly!$D:$AM, 22, FALSE) / VLOOKUP("LULUCF|PM25|Respiratory hospital admissions", US_national_yearly!$D:$AM, 10, FALSE), 1)</f>
        <v>5.2409581073666356E-5</v>
      </c>
      <c r="O12" s="7">
        <f>$B12 * IFERROR(VLOOKUP("LULUCF|PM25|Respiratory hospital admissions", US_national_yearly!$D:$AM, 23, FALSE) / VLOOKUP("LULUCF|PM25|Respiratory hospital admissions", US_national_yearly!$D:$AM, 10, FALSE), 1)</f>
        <v>5.2617681299070255E-5</v>
      </c>
      <c r="P12" s="7">
        <f>$B12 * IFERROR(VLOOKUP("LULUCF|PM25|Respiratory hospital admissions", US_national_yearly!$D:$AM, 24, FALSE) / VLOOKUP("LULUCF|PM25|Respiratory hospital admissions", US_national_yearly!$D:$AM, 10, FALSE), 1)</f>
        <v>5.2825781524474141E-5</v>
      </c>
      <c r="Q12" s="7">
        <f>$B12 * IFERROR(VLOOKUP("LULUCF|PM25|Respiratory hospital admissions", US_national_yearly!$D:$AM, 25, FALSE) / VLOOKUP("LULUCF|PM25|Respiratory hospital admissions", US_national_yearly!$D:$AM, 10, FALSE), 1)</f>
        <v>5.303388174987804E-5</v>
      </c>
      <c r="R12" s="7">
        <f>$B12 * IFERROR(VLOOKUP("LULUCF|PM25|Respiratory hospital admissions", US_national_yearly!$D:$AM, 26, FALSE) / VLOOKUP("LULUCF|PM25|Respiratory hospital admissions", US_national_yearly!$D:$AM, 10, FALSE), 1)</f>
        <v>5.3241981975281953E-5</v>
      </c>
      <c r="S12" s="7">
        <f>$B12 * IFERROR(VLOOKUP("LULUCF|PM25|Respiratory hospital admissions", US_national_yearly!$D:$AM, 27, FALSE) / VLOOKUP("LULUCF|PM25|Respiratory hospital admissions", US_national_yearly!$D:$AM, 10, FALSE), 1)</f>
        <v>5.344012081078993E-5</v>
      </c>
      <c r="T12" s="7">
        <f>$B12 * IFERROR(VLOOKUP("LULUCF|PM25|Respiratory hospital admissions", US_national_yearly!$D:$AM, 28, FALSE) / VLOOKUP("LULUCF|PM25|Respiratory hospital admissions", US_national_yearly!$D:$AM, 10, FALSE), 1)</f>
        <v>5.3638259646297928E-5</v>
      </c>
      <c r="U12" s="7">
        <f>$B12 * IFERROR(VLOOKUP("LULUCF|PM25|Respiratory hospital admissions", US_national_yearly!$D:$AM, 29, FALSE) / VLOOKUP("LULUCF|PM25|Respiratory hospital admissions", US_national_yearly!$D:$AM, 10, FALSE), 1)</f>
        <v>5.3836398481805906E-5</v>
      </c>
      <c r="V12" s="7">
        <f>$B12 * IFERROR(VLOOKUP("LULUCF|PM25|Respiratory hospital admissions", US_national_yearly!$D:$AM, 30, FALSE) / VLOOKUP("LULUCF|PM25|Respiratory hospital admissions", US_national_yearly!$D:$AM, 10, FALSE), 1)</f>
        <v>5.4034537317313891E-5</v>
      </c>
      <c r="W12" s="7">
        <f>$B12 * IFERROR(VLOOKUP("LULUCF|PM25|Respiratory hospital admissions", US_national_yearly!$D:$AM, 31, FALSE) / VLOOKUP("LULUCF|PM25|Respiratory hospital admissions", US_national_yearly!$D:$AM, 10, FALSE), 1)</f>
        <v>5.4232676152821868E-5</v>
      </c>
      <c r="X12" s="7">
        <f>$B12 * IFERROR(VLOOKUP("LULUCF|PM25|Respiratory hospital admissions", US_national_yearly!$D:$AM, 32, FALSE) / VLOOKUP("LULUCF|PM25|Respiratory hospital admissions", US_national_yearly!$D:$AM, 10, FALSE), 1)</f>
        <v>5.4423288240073259E-5</v>
      </c>
      <c r="Y12" s="7">
        <f>$B12 * IFERROR(VLOOKUP("LULUCF|PM25|Respiratory hospital admissions", US_national_yearly!$D:$AM, 33, FALSE) / VLOOKUP("LULUCF|PM25|Respiratory hospital admissions", US_national_yearly!$D:$AM, 10, FALSE), 1)</f>
        <v>5.4613900327324623E-5</v>
      </c>
      <c r="Z12" s="7">
        <f>$B12 * IFERROR(VLOOKUP("LULUCF|PM25|Respiratory hospital admissions", US_national_yearly!$D:$AM, 34, FALSE) / VLOOKUP("LULUCF|PM25|Respiratory hospital admissions", US_national_yearly!$D:$AM, 10, FALSE), 1)</f>
        <v>5.4804512414576E-5</v>
      </c>
      <c r="AA12" s="7">
        <f>$B12 * IFERROR(VLOOKUP("LULUCF|PM25|Respiratory hospital admissions", US_national_yearly!$D:$AM, 35, FALSE) / VLOOKUP("LULUCF|PM25|Respiratory hospital admissions", US_national_yearly!$D:$AM, 10, FALSE), 1)</f>
        <v>5.4995124501827364E-5</v>
      </c>
      <c r="AB12" s="7">
        <f>$B12 * IFERROR(VLOOKUP("LULUCF|PM25|Respiratory hospital admissions", US_national_yearly!$D:$AM, 36, FALSE) / VLOOKUP("LULUCF|PM25|Respiratory hospital admissions", US_national_yearly!$D:$AM, 10, FALSE), 1)</f>
        <v>5.5185736589078734E-5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3.0042650160579841E-4</v>
      </c>
      <c r="C13" s="7">
        <f>$B13 * IFERROR(VLOOKUP("LULUCF|PM25|Non-fatal heart attacks", US_national_yearly!$D:$AM, 11, FALSE) / VLOOKUP("LULUCF|PM25|Non-fatal heart attacks", US_national_yearly!$D:$AM, 10, FALSE), 1)</f>
        <v>3.0916069724817012E-4</v>
      </c>
      <c r="D13" s="7">
        <f>$B13 * IFERROR(VLOOKUP("LULUCF|PM25|Non-fatal heart attacks", US_national_yearly!$D:$AM, 12, FALSE) / VLOOKUP("LULUCF|PM25|Non-fatal heart attacks", US_national_yearly!$D:$AM, 10, FALSE), 1)</f>
        <v>3.1789489289054177E-4</v>
      </c>
      <c r="E13" s="7">
        <f>$B13 * IFERROR(VLOOKUP("LULUCF|PM25|Non-fatal heart attacks", US_national_yearly!$D:$AM, 13, FALSE) / VLOOKUP("LULUCF|PM25|Non-fatal heart attacks", US_national_yearly!$D:$AM, 10, FALSE), 1)</f>
        <v>3.2662908853291341E-4</v>
      </c>
      <c r="F13" s="7">
        <f>$B13 * IFERROR(VLOOKUP("LULUCF|PM25|Non-fatal heart attacks", US_national_yearly!$D:$AM, 14, FALSE) / VLOOKUP("LULUCF|PM25|Non-fatal heart attacks", US_national_yearly!$D:$AM, 10, FALSE), 1)</f>
        <v>3.3536328417528512E-4</v>
      </c>
      <c r="G13" s="7">
        <f>$B13 * IFERROR(VLOOKUP("LULUCF|PM25|Non-fatal heart attacks", US_national_yearly!$D:$AM, 15, FALSE) / VLOOKUP("LULUCF|PM25|Non-fatal heart attacks", US_national_yearly!$D:$AM, 10, FALSE), 1)</f>
        <v>3.4360018283118525E-4</v>
      </c>
      <c r="H13" s="7">
        <f>$B13 * IFERROR(VLOOKUP("LULUCF|PM25|Non-fatal heart attacks", US_national_yearly!$D:$AM, 16, FALSE) / VLOOKUP("LULUCF|PM25|Non-fatal heart attacks", US_national_yearly!$D:$AM, 10, FALSE), 1)</f>
        <v>3.5183708148708528E-4</v>
      </c>
      <c r="I13" s="7">
        <f>$B13 * IFERROR(VLOOKUP("LULUCF|PM25|Non-fatal heart attacks", US_national_yearly!$D:$AM, 17, FALSE) / VLOOKUP("LULUCF|PM25|Non-fatal heart attacks", US_national_yearly!$D:$AM, 10, FALSE), 1)</f>
        <v>3.5845680713717063E-4</v>
      </c>
      <c r="J13" s="7">
        <f>$B13 * IFERROR(VLOOKUP("LULUCF|PM25|Non-fatal heart attacks", US_national_yearly!$D:$AM, 18, FALSE) / VLOOKUP("LULUCF|PM25|Non-fatal heart attacks", US_national_yearly!$D:$AM, 10, FALSE), 1)</f>
        <v>3.6507653278725598E-4</v>
      </c>
      <c r="K13" s="7">
        <f>$B13 * IFERROR(VLOOKUP("LULUCF|PM25|Non-fatal heart attacks", US_national_yearly!$D:$AM, 19, FALSE) / VLOOKUP("LULUCF|PM25|Non-fatal heart attacks", US_national_yearly!$D:$AM, 10, FALSE), 1)</f>
        <v>3.7169625843734143E-4</v>
      </c>
      <c r="L13" s="7">
        <f>$B13 * IFERROR(VLOOKUP("LULUCF|PM25|Non-fatal heart attacks", US_national_yearly!$D:$AM, 20, FALSE) / VLOOKUP("LULUCF|PM25|Non-fatal heart attacks", US_national_yearly!$D:$AM, 10, FALSE), 1)</f>
        <v>3.7831598408742678E-4</v>
      </c>
      <c r="M13" s="7">
        <f>$B13 * IFERROR(VLOOKUP("LULUCF|PM25|Non-fatal heart attacks", US_national_yearly!$D:$AM, 21, FALSE) / VLOOKUP("LULUCF|PM25|Non-fatal heart attacks", US_national_yearly!$D:$AM, 10, FALSE), 1)</f>
        <v>3.8493570973751218E-4</v>
      </c>
      <c r="N13" s="7">
        <f>$B13 * IFERROR(VLOOKUP("LULUCF|PM25|Non-fatal heart attacks", US_national_yearly!$D:$AM, 22, FALSE) / VLOOKUP("LULUCF|PM25|Non-fatal heart attacks", US_national_yearly!$D:$AM, 10, FALSE), 1)</f>
        <v>3.8920477911383262E-4</v>
      </c>
      <c r="O13" s="7">
        <f>$B13 * IFERROR(VLOOKUP("LULUCF|PM25|Non-fatal heart attacks", US_national_yearly!$D:$AM, 23, FALSE) / VLOOKUP("LULUCF|PM25|Non-fatal heart attacks", US_national_yearly!$D:$AM, 10, FALSE), 1)</f>
        <v>3.9347384849015312E-4</v>
      </c>
      <c r="P13" s="7">
        <f>$B13 * IFERROR(VLOOKUP("LULUCF|PM25|Non-fatal heart attacks", US_national_yearly!$D:$AM, 24, FALSE) / VLOOKUP("LULUCF|PM25|Non-fatal heart attacks", US_national_yearly!$D:$AM, 10, FALSE), 1)</f>
        <v>3.9774291786647361E-4</v>
      </c>
      <c r="Q13" s="7">
        <f>$B13 * IFERROR(VLOOKUP("LULUCF|PM25|Non-fatal heart attacks", US_national_yearly!$D:$AM, 25, FALSE) / VLOOKUP("LULUCF|PM25|Non-fatal heart attacks", US_national_yearly!$D:$AM, 10, FALSE), 1)</f>
        <v>4.02011987242794E-4</v>
      </c>
      <c r="R13" s="7">
        <f>$B13 * IFERROR(VLOOKUP("LULUCF|PM25|Non-fatal heart attacks", US_national_yearly!$D:$AM, 26, FALSE) / VLOOKUP("LULUCF|PM25|Non-fatal heart attacks", US_national_yearly!$D:$AM, 10, FALSE), 1)</f>
        <v>4.0628105661911449E-4</v>
      </c>
      <c r="S13" s="7">
        <f>$B13 * IFERROR(VLOOKUP("LULUCF|PM25|Non-fatal heart attacks", US_national_yearly!$D:$AM, 27, FALSE) / VLOOKUP("LULUCF|PM25|Non-fatal heart attacks", US_national_yearly!$D:$AM, 10, FALSE), 1)</f>
        <v>4.0852927051906606E-4</v>
      </c>
      <c r="T13" s="7">
        <f>$B13 * IFERROR(VLOOKUP("LULUCF|PM25|Non-fatal heart attacks", US_national_yearly!$D:$AM, 28, FALSE) / VLOOKUP("LULUCF|PM25|Non-fatal heart attacks", US_national_yearly!$D:$AM, 10, FALSE), 1)</f>
        <v>4.1077748441901778E-4</v>
      </c>
      <c r="U13" s="7">
        <f>$B13 * IFERROR(VLOOKUP("LULUCF|PM25|Non-fatal heart attacks", US_national_yearly!$D:$AM, 29, FALSE) / VLOOKUP("LULUCF|PM25|Non-fatal heart attacks", US_national_yearly!$D:$AM, 10, FALSE), 1)</f>
        <v>4.1302569831896957E-4</v>
      </c>
      <c r="V13" s="7">
        <f>$B13 * IFERROR(VLOOKUP("LULUCF|PM25|Non-fatal heart attacks", US_national_yearly!$D:$AM, 30, FALSE) / VLOOKUP("LULUCF|PM25|Non-fatal heart attacks", US_national_yearly!$D:$AM, 10, FALSE), 1)</f>
        <v>4.1527391221892119E-4</v>
      </c>
      <c r="W13" s="7">
        <f>$B13 * IFERROR(VLOOKUP("LULUCF|PM25|Non-fatal heart attacks", US_national_yearly!$D:$AM, 31, FALSE) / VLOOKUP("LULUCF|PM25|Non-fatal heart attacks", US_national_yearly!$D:$AM, 10, FALSE), 1)</f>
        <v>4.1752212611887286E-4</v>
      </c>
      <c r="X13" s="7">
        <f>$B13 * IFERROR(VLOOKUP("LULUCF|PM25|Non-fatal heart attacks", US_national_yearly!$D:$AM, 32, FALSE) / VLOOKUP("LULUCF|PM25|Non-fatal heart attacks", US_national_yearly!$D:$AM, 10, FALSE), 1)</f>
        <v>4.1922884555398496E-4</v>
      </c>
      <c r="Y13" s="7">
        <f>$B13 * IFERROR(VLOOKUP("LULUCF|PM25|Non-fatal heart attacks", US_national_yearly!$D:$AM, 33, FALSE) / VLOOKUP("LULUCF|PM25|Non-fatal heart attacks", US_national_yearly!$D:$AM, 10, FALSE), 1)</f>
        <v>4.2093556498909717E-4</v>
      </c>
      <c r="Z13" s="7">
        <f>$B13 * IFERROR(VLOOKUP("LULUCF|PM25|Non-fatal heart attacks", US_national_yearly!$D:$AM, 34, FALSE) / VLOOKUP("LULUCF|PM25|Non-fatal heart attacks", US_national_yearly!$D:$AM, 10, FALSE), 1)</f>
        <v>4.2264228442420927E-4</v>
      </c>
      <c r="AA13" s="7">
        <f>$B13 * IFERROR(VLOOKUP("LULUCF|PM25|Non-fatal heart attacks", US_national_yearly!$D:$AM, 35, FALSE) / VLOOKUP("LULUCF|PM25|Non-fatal heart attacks", US_national_yearly!$D:$AM, 10, FALSE), 1)</f>
        <v>4.2434900385932142E-4</v>
      </c>
      <c r="AB13" s="7">
        <f>$B13 * IFERROR(VLOOKUP("LULUCF|PM25|Non-fatal heart attacks", US_national_yearly!$D:$AM, 36, FALSE) / VLOOKUP("LULUCF|PM25|Non-fatal heart attacks", US_national_yearly!$D:$AM, 10, FALSE), 1)</f>
        <v>4.2605572329443351E-4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0.21699019102295294</v>
      </c>
      <c r="C14" s="7">
        <f>$B14 * IFERROR(VLOOKUP("LULUCF|PM25|Minor restricted activity days", US_national_yearly!$D:$AM, 11, FALSE) / VLOOKUP("LULUCF|PM25|Minor restricted activity days", US_national_yearly!$D:$AM, 10, FALSE), 1)</f>
        <v>0.21752010680248954</v>
      </c>
      <c r="D14" s="7">
        <f>$B14 * IFERROR(VLOOKUP("LULUCF|PM25|Minor restricted activity days", US_national_yearly!$D:$AM, 12, FALSE) / VLOOKUP("LULUCF|PM25|Minor restricted activity days", US_national_yearly!$D:$AM, 10, FALSE), 1)</f>
        <v>0.21805002258202613</v>
      </c>
      <c r="E14" s="7">
        <f>$B14 * IFERROR(VLOOKUP("LULUCF|PM25|Minor restricted activity days", US_national_yearly!$D:$AM, 13, FALSE) / VLOOKUP("LULUCF|PM25|Minor restricted activity days", US_national_yearly!$D:$AM, 10, FALSE), 1)</f>
        <v>0.21857993836156275</v>
      </c>
      <c r="F14" s="7">
        <f>$B14 * IFERROR(VLOOKUP("LULUCF|PM25|Minor restricted activity days", US_national_yearly!$D:$AM, 14, FALSE) / VLOOKUP("LULUCF|PM25|Minor restricted activity days", US_national_yearly!$D:$AM, 10, FALSE), 1)</f>
        <v>0.21910985414109929</v>
      </c>
      <c r="G14" s="7">
        <f>$B14 * IFERROR(VLOOKUP("LULUCF|PM25|Minor restricted activity days", US_national_yearly!$D:$AM, 15, FALSE) / VLOOKUP("LULUCF|PM25|Minor restricted activity days", US_national_yearly!$D:$AM, 10, FALSE), 1)</f>
        <v>0.21989172901480056</v>
      </c>
      <c r="H14" s="7">
        <f>$B14 * IFERROR(VLOOKUP("LULUCF|PM25|Minor restricted activity days", US_national_yearly!$D:$AM, 16, FALSE) / VLOOKUP("LULUCF|PM25|Minor restricted activity days", US_national_yearly!$D:$AM, 10, FALSE), 1)</f>
        <v>0.22067360388850182</v>
      </c>
      <c r="I14" s="7">
        <f>$B14 * IFERROR(VLOOKUP("LULUCF|PM25|Minor restricted activity days", US_national_yearly!$D:$AM, 17, FALSE) / VLOOKUP("LULUCF|PM25|Minor restricted activity days", US_national_yearly!$D:$AM, 10, FALSE), 1)</f>
        <v>0.22201025187921961</v>
      </c>
      <c r="J14" s="7">
        <f>$B14 * IFERROR(VLOOKUP("LULUCF|PM25|Minor restricted activity days", US_national_yearly!$D:$AM, 18, FALSE) / VLOOKUP("LULUCF|PM25|Minor restricted activity days", US_national_yearly!$D:$AM, 10, FALSE), 1)</f>
        <v>0.22334689986993733</v>
      </c>
      <c r="K14" s="7">
        <f>$B14 * IFERROR(VLOOKUP("LULUCF|PM25|Minor restricted activity days", US_national_yearly!$D:$AM, 19, FALSE) / VLOOKUP("LULUCF|PM25|Minor restricted activity days", US_national_yearly!$D:$AM, 10, FALSE), 1)</f>
        <v>0.22468354786065511</v>
      </c>
      <c r="L14" s="7">
        <f>$B14 * IFERROR(VLOOKUP("LULUCF|PM25|Minor restricted activity days", US_national_yearly!$D:$AM, 20, FALSE) / VLOOKUP("LULUCF|PM25|Minor restricted activity days", US_national_yearly!$D:$AM, 10, FALSE), 1)</f>
        <v>0.22602019585137287</v>
      </c>
      <c r="M14" s="7">
        <f>$B14 * IFERROR(VLOOKUP("LULUCF|PM25|Minor restricted activity days", US_national_yearly!$D:$AM, 21, FALSE) / VLOOKUP("LULUCF|PM25|Minor restricted activity days", US_national_yearly!$D:$AM, 10, FALSE), 1)</f>
        <v>0.22735684384209059</v>
      </c>
      <c r="N14" s="7">
        <f>$B14 * IFERROR(VLOOKUP("LULUCF|PM25|Minor restricted activity days", US_national_yearly!$D:$AM, 22, FALSE) / VLOOKUP("LULUCF|PM25|Minor restricted activity days", US_national_yearly!$D:$AM, 10, FALSE), 1)</f>
        <v>0.22917762453158985</v>
      </c>
      <c r="O14" s="7">
        <f>$B14 * IFERROR(VLOOKUP("LULUCF|PM25|Minor restricted activity days", US_national_yearly!$D:$AM, 23, FALSE) / VLOOKUP("LULUCF|PM25|Minor restricted activity days", US_national_yearly!$D:$AM, 10, FALSE), 1)</f>
        <v>0.23099840522108908</v>
      </c>
      <c r="P14" s="7">
        <f>$B14 * IFERROR(VLOOKUP("LULUCF|PM25|Minor restricted activity days", US_national_yearly!$D:$AM, 24, FALSE) / VLOOKUP("LULUCF|PM25|Minor restricted activity days", US_national_yearly!$D:$AM, 10, FALSE), 1)</f>
        <v>0.23281918591058834</v>
      </c>
      <c r="Q14" s="7">
        <f>$B14 * IFERROR(VLOOKUP("LULUCF|PM25|Minor restricted activity days", US_national_yearly!$D:$AM, 25, FALSE) / VLOOKUP("LULUCF|PM25|Minor restricted activity days", US_national_yearly!$D:$AM, 10, FALSE), 1)</f>
        <v>0.23463996660008754</v>
      </c>
      <c r="R14" s="7">
        <f>$B14 * IFERROR(VLOOKUP("LULUCF|PM25|Minor restricted activity days", US_national_yearly!$D:$AM, 26, FALSE) / VLOOKUP("LULUCF|PM25|Minor restricted activity days", US_national_yearly!$D:$AM, 10, FALSE), 1)</f>
        <v>0.23646074728958674</v>
      </c>
      <c r="S14" s="7">
        <f>$B14 * IFERROR(VLOOKUP("LULUCF|PM25|Minor restricted activity days", US_national_yearly!$D:$AM, 27, FALSE) / VLOOKUP("LULUCF|PM25|Minor restricted activity days", US_national_yearly!$D:$AM, 10, FALSE), 1)</f>
        <v>0.23829406709906223</v>
      </c>
      <c r="T14" s="7">
        <f>$B14 * IFERROR(VLOOKUP("LULUCF|PM25|Minor restricted activity days", US_national_yearly!$D:$AM, 28, FALSE) / VLOOKUP("LULUCF|PM25|Minor restricted activity days", US_national_yearly!$D:$AM, 10, FALSE), 1)</f>
        <v>0.24012738690853774</v>
      </c>
      <c r="U14" s="7">
        <f>$B14 * IFERROR(VLOOKUP("LULUCF|PM25|Minor restricted activity days", US_national_yearly!$D:$AM, 29, FALSE) / VLOOKUP("LULUCF|PM25|Minor restricted activity days", US_national_yearly!$D:$AM, 10, FALSE), 1)</f>
        <v>0.24196070671801323</v>
      </c>
      <c r="V14" s="7">
        <f>$B14 * IFERROR(VLOOKUP("LULUCF|PM25|Minor restricted activity days", US_national_yearly!$D:$AM, 30, FALSE) / VLOOKUP("LULUCF|PM25|Minor restricted activity days", US_national_yearly!$D:$AM, 10, FALSE), 1)</f>
        <v>0.24379402652748872</v>
      </c>
      <c r="W14" s="7">
        <f>$B14 * IFERROR(VLOOKUP("LULUCF|PM25|Minor restricted activity days", US_national_yearly!$D:$AM, 31, FALSE) / VLOOKUP("LULUCF|PM25|Minor restricted activity days", US_national_yearly!$D:$AM, 10, FALSE), 1)</f>
        <v>0.24562734633696423</v>
      </c>
      <c r="X14" s="7">
        <f>$B14 * IFERROR(VLOOKUP("LULUCF|PM25|Minor restricted activity days", US_national_yearly!$D:$AM, 32, FALSE) / VLOOKUP("LULUCF|PM25|Minor restricted activity days", US_national_yearly!$D:$AM, 10, FALSE), 1)</f>
        <v>0.24721885236707089</v>
      </c>
      <c r="Y14" s="7">
        <f>$B14 * IFERROR(VLOOKUP("LULUCF|PM25|Minor restricted activity days", US_national_yearly!$D:$AM, 33, FALSE) / VLOOKUP("LULUCF|PM25|Minor restricted activity days", US_national_yearly!$D:$AM, 10, FALSE), 1)</f>
        <v>0.24881035839717755</v>
      </c>
      <c r="Z14" s="7">
        <f>$B14 * IFERROR(VLOOKUP("LULUCF|PM25|Minor restricted activity days", US_national_yearly!$D:$AM, 34, FALSE) / VLOOKUP("LULUCF|PM25|Minor restricted activity days", US_national_yearly!$D:$AM, 10, FALSE), 1)</f>
        <v>0.25040186442728418</v>
      </c>
      <c r="AA14" s="7">
        <f>$B14 * IFERROR(VLOOKUP("LULUCF|PM25|Minor restricted activity days", US_national_yearly!$D:$AM, 35, FALSE) / VLOOKUP("LULUCF|PM25|Minor restricted activity days", US_national_yearly!$D:$AM, 10, FALSE), 1)</f>
        <v>0.25199337045739084</v>
      </c>
      <c r="AB14" s="7">
        <f>$B14 * IFERROR(VLOOKUP("LULUCF|PM25|Minor restricted activity days", US_national_yearly!$D:$AM, 36, FALSE) / VLOOKUP("LULUCF|PM25|Minor restricted activity days", US_national_yearly!$D:$AM, 10, FALSE), 1)</f>
        <v>0.2535848764874975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3.6817863910894158E-2</v>
      </c>
      <c r="C15" s="7">
        <f>$B15 * IFERROR(VLOOKUP("LULUCF|PM25|Work loss days", US_national_yearly!$D:$AM, 11, FALSE) / VLOOKUP("LULUCF|PM25|Work loss days", US_national_yearly!$D:$AM, 10, FALSE), 1)</f>
        <v>3.6931986028298606E-2</v>
      </c>
      <c r="D15" s="7">
        <f>$B15 * IFERROR(VLOOKUP("LULUCF|PM25|Work loss days", US_national_yearly!$D:$AM, 12, FALSE) / VLOOKUP("LULUCF|PM25|Work loss days", US_national_yearly!$D:$AM, 10, FALSE), 1)</f>
        <v>3.7046108145703055E-2</v>
      </c>
      <c r="E15" s="7">
        <f>$B15 * IFERROR(VLOOKUP("LULUCF|PM25|Work loss days", US_national_yearly!$D:$AM, 13, FALSE) / VLOOKUP("LULUCF|PM25|Work loss days", US_national_yearly!$D:$AM, 10, FALSE), 1)</f>
        <v>3.7160230263107503E-2</v>
      </c>
      <c r="F15" s="7">
        <f>$B15 * IFERROR(VLOOKUP("LULUCF|PM25|Work loss days", US_national_yearly!$D:$AM, 14, FALSE) / VLOOKUP("LULUCF|PM25|Work loss days", US_national_yearly!$D:$AM, 10, FALSE), 1)</f>
        <v>3.7274352380511945E-2</v>
      </c>
      <c r="G15" s="7">
        <f>$B15 * IFERROR(VLOOKUP("LULUCF|PM25|Work loss days", US_national_yearly!$D:$AM, 15, FALSE) / VLOOKUP("LULUCF|PM25|Work loss days", US_national_yearly!$D:$AM, 10, FALSE), 1)</f>
        <v>3.7423973758670945E-2</v>
      </c>
      <c r="H15" s="7">
        <f>$B15 * IFERROR(VLOOKUP("LULUCF|PM25|Work loss days", US_national_yearly!$D:$AM, 16, FALSE) / VLOOKUP("LULUCF|PM25|Work loss days", US_national_yearly!$D:$AM, 10, FALSE), 1)</f>
        <v>3.7573595136829945E-2</v>
      </c>
      <c r="I15" s="7">
        <f>$B15 * IFERROR(VLOOKUP("LULUCF|PM25|Work loss days", US_national_yearly!$D:$AM, 17, FALSE) / VLOOKUP("LULUCF|PM25|Work loss days", US_national_yearly!$D:$AM, 10, FALSE), 1)</f>
        <v>3.7793929072262568E-2</v>
      </c>
      <c r="J15" s="7">
        <f>$B15 * IFERROR(VLOOKUP("LULUCF|PM25|Work loss days", US_national_yearly!$D:$AM, 18, FALSE) / VLOOKUP("LULUCF|PM25|Work loss days", US_national_yearly!$D:$AM, 10, FALSE), 1)</f>
        <v>3.8014263007695184E-2</v>
      </c>
      <c r="K15" s="7">
        <f>$B15 * IFERROR(VLOOKUP("LULUCF|PM25|Work loss days", US_national_yearly!$D:$AM, 19, FALSE) / VLOOKUP("LULUCF|PM25|Work loss days", US_national_yearly!$D:$AM, 10, FALSE), 1)</f>
        <v>3.8234596943127801E-2</v>
      </c>
      <c r="L15" s="7">
        <f>$B15 * IFERROR(VLOOKUP("LULUCF|PM25|Work loss days", US_national_yearly!$D:$AM, 20, FALSE) / VLOOKUP("LULUCF|PM25|Work loss days", US_national_yearly!$D:$AM, 10, FALSE), 1)</f>
        <v>3.8454930878560417E-2</v>
      </c>
      <c r="M15" s="7">
        <f>$B15 * IFERROR(VLOOKUP("LULUCF|PM25|Work loss days", US_national_yearly!$D:$AM, 21, FALSE) / VLOOKUP("LULUCF|PM25|Work loss days", US_national_yearly!$D:$AM, 10, FALSE), 1)</f>
        <v>3.8675264813993034E-2</v>
      </c>
      <c r="N15" s="7">
        <f>$B15 * IFERROR(VLOOKUP("LULUCF|PM25|Work loss days", US_national_yearly!$D:$AM, 22, FALSE) / VLOOKUP("LULUCF|PM25|Work loss days", US_national_yearly!$D:$AM, 10, FALSE), 1)</f>
        <v>3.8952571748546397E-2</v>
      </c>
      <c r="O15" s="7">
        <f>$B15 * IFERROR(VLOOKUP("LULUCF|PM25|Work loss days", US_national_yearly!$D:$AM, 23, FALSE) / VLOOKUP("LULUCF|PM25|Work loss days", US_national_yearly!$D:$AM, 10, FALSE), 1)</f>
        <v>3.9229878683099746E-2</v>
      </c>
      <c r="P15" s="7">
        <f>$B15 * IFERROR(VLOOKUP("LULUCF|PM25|Work loss days", US_national_yearly!$D:$AM, 24, FALSE) / VLOOKUP("LULUCF|PM25|Work loss days", US_national_yearly!$D:$AM, 10, FALSE), 1)</f>
        <v>3.9507185617653109E-2</v>
      </c>
      <c r="Q15" s="7">
        <f>$B15 * IFERROR(VLOOKUP("LULUCF|PM25|Work loss days", US_national_yearly!$D:$AM, 25, FALSE) / VLOOKUP("LULUCF|PM25|Work loss days", US_national_yearly!$D:$AM, 10, FALSE), 1)</f>
        <v>3.9784492552206459E-2</v>
      </c>
      <c r="R15" s="7">
        <f>$B15 * IFERROR(VLOOKUP("LULUCF|PM25|Work loss days", US_national_yearly!$D:$AM, 26, FALSE) / VLOOKUP("LULUCF|PM25|Work loss days", US_national_yearly!$D:$AM, 10, FALSE), 1)</f>
        <v>4.0061799486759822E-2</v>
      </c>
      <c r="S15" s="7">
        <f>$B15 * IFERROR(VLOOKUP("LULUCF|PM25|Work loss days", US_national_yearly!$D:$AM, 27, FALSE) / VLOOKUP("LULUCF|PM25|Work loss days", US_national_yearly!$D:$AM, 10, FALSE), 1)</f>
        <v>4.0368512795566434E-2</v>
      </c>
      <c r="T15" s="7">
        <f>$B15 * IFERROR(VLOOKUP("LULUCF|PM25|Work loss days", US_national_yearly!$D:$AM, 28, FALSE) / VLOOKUP("LULUCF|PM25|Work loss days", US_national_yearly!$D:$AM, 10, FALSE), 1)</f>
        <v>4.0675226104373054E-2</v>
      </c>
      <c r="U15" s="7">
        <f>$B15 * IFERROR(VLOOKUP("LULUCF|PM25|Work loss days", US_national_yearly!$D:$AM, 29, FALSE) / VLOOKUP("LULUCF|PM25|Work loss days", US_national_yearly!$D:$AM, 10, FALSE), 1)</f>
        <v>4.0981939413179666E-2</v>
      </c>
      <c r="V15" s="7">
        <f>$B15 * IFERROR(VLOOKUP("LULUCF|PM25|Work loss days", US_national_yearly!$D:$AM, 30, FALSE) / VLOOKUP("LULUCF|PM25|Work loss days", US_national_yearly!$D:$AM, 10, FALSE), 1)</f>
        <v>4.1288652721986285E-2</v>
      </c>
      <c r="W15" s="7">
        <f>$B15 * IFERROR(VLOOKUP("LULUCF|PM25|Work loss days", US_national_yearly!$D:$AM, 31, FALSE) / VLOOKUP("LULUCF|PM25|Work loss days", US_national_yearly!$D:$AM, 10, FALSE), 1)</f>
        <v>4.1595366030792905E-2</v>
      </c>
      <c r="X15" s="7">
        <f>$B15 * IFERROR(VLOOKUP("LULUCF|PM25|Work loss days", US_national_yearly!$D:$AM, 32, FALSE) / VLOOKUP("LULUCF|PM25|Work loss days", US_national_yearly!$D:$AM, 10, FALSE), 1)</f>
        <v>4.1867503457394789E-2</v>
      </c>
      <c r="Y15" s="7">
        <f>$B15 * IFERROR(VLOOKUP("LULUCF|PM25|Work loss days", US_national_yearly!$D:$AM, 33, FALSE) / VLOOKUP("LULUCF|PM25|Work loss days", US_national_yearly!$D:$AM, 10, FALSE), 1)</f>
        <v>4.2139640883996674E-2</v>
      </c>
      <c r="Z15" s="7">
        <f>$B15 * IFERROR(VLOOKUP("LULUCF|PM25|Work loss days", US_national_yearly!$D:$AM, 34, FALSE) / VLOOKUP("LULUCF|PM25|Work loss days", US_national_yearly!$D:$AM, 10, FALSE), 1)</f>
        <v>4.2411778310598572E-2</v>
      </c>
      <c r="AA15" s="7">
        <f>$B15 * IFERROR(VLOOKUP("LULUCF|PM25|Work loss days", US_national_yearly!$D:$AM, 35, FALSE) / VLOOKUP("LULUCF|PM25|Work loss days", US_national_yearly!$D:$AM, 10, FALSE), 1)</f>
        <v>4.268391573720047E-2</v>
      </c>
      <c r="AB15" s="7">
        <f>$B15 * IFERROR(VLOOKUP("LULUCF|PM25|Work loss days", US_national_yearly!$D:$AM, 36, FALSE) / VLOOKUP("LULUCF|PM25|Work loss days", US_national_yearly!$D:$AM, 10, FALSE), 1)</f>
        <v>4.2956053163802355E-2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7.5690234012829366E-5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7.7951910985208736E-5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8.021358795758812E-5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8.2475264929967503E-5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8.4736941902346886E-5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8.6903224445878026E-5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8.9069506989409219E-5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9.0922230754316406E-5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9.2774954519223566E-5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9.4627678284130739E-5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9.648040204903794E-5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9.8333125813945113E-5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9.9568379048162195E-5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1.008036322823793E-4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1.0203888551659638E-4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1.0327413875081349E-4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1.0450939198503057E-4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1.0516295627049354E-4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1.0581652055595649E-4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1.0647008484141941E-4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1.0712364912688236E-4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1.0777721341234531E-4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1.0821720148628405E-4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1.0865718956022278E-4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1.0909717763416152E-4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1.0953716570810027E-4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1.09977153782039E-4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6.3789681976564002E-4</v>
      </c>
      <c r="C2" s="7">
        <f>$B2 * IFERROR(VLOOKUP("LULUCF|NOx|Premature mortality", US_national_yearly!$D:$AM, 11, FALSE) / VLOOKUP("LULUCF|NOx|Premature mortality", US_national_yearly!$D:$AM, 10, FALSE), 1)</f>
        <v>6.4726644584080998E-4</v>
      </c>
      <c r="D2" s="7">
        <f>$B2 * IFERROR(VLOOKUP("LULUCF|NOx|Premature mortality", US_national_yearly!$D:$AM, 12, FALSE) / VLOOKUP("LULUCF|NOx|Premature mortality", US_national_yearly!$D:$AM, 10, FALSE), 1)</f>
        <v>6.5663607191597973E-4</v>
      </c>
      <c r="E2" s="7">
        <f>$B2 * IFERROR(VLOOKUP("LULUCF|NOx|Premature mortality", US_national_yearly!$D:$AM, 13, FALSE) / VLOOKUP("LULUCF|NOx|Premature mortality", US_national_yearly!$D:$AM, 10, FALSE), 1)</f>
        <v>6.6600569799114969E-4</v>
      </c>
      <c r="F2" s="7">
        <f>$B2 * IFERROR(VLOOKUP("LULUCF|NOx|Premature mortality", US_national_yearly!$D:$AM, 14, FALSE) / VLOOKUP("LULUCF|NOx|Premature mortality", US_national_yearly!$D:$AM, 10, FALSE), 1)</f>
        <v>6.7537532406631955E-4</v>
      </c>
      <c r="G2" s="7">
        <f>$B2 * IFERROR(VLOOKUP("LULUCF|NOx|Premature mortality", US_national_yearly!$D:$AM, 15, FALSE) / VLOOKUP("LULUCF|NOx|Premature mortality", US_national_yearly!$D:$AM, 10, FALSE), 1)</f>
        <v>6.9220538770371439E-4</v>
      </c>
      <c r="H2" s="7">
        <f>$B2 * IFERROR(VLOOKUP("LULUCF|NOx|Premature mortality", US_national_yearly!$D:$AM, 16, FALSE) / VLOOKUP("LULUCF|NOx|Premature mortality", US_national_yearly!$D:$AM, 10, FALSE), 1)</f>
        <v>7.0903545134110946E-4</v>
      </c>
      <c r="I2" s="7">
        <f>$B2 * IFERROR(VLOOKUP("LULUCF|NOx|Premature mortality", US_national_yearly!$D:$AM, 17, FALSE) / VLOOKUP("LULUCF|NOx|Premature mortality", US_national_yearly!$D:$AM, 10, FALSE), 1)</f>
        <v>7.1989957666238188E-4</v>
      </c>
      <c r="J2" s="7">
        <f>$B2 * IFERROR(VLOOKUP("LULUCF|NOx|Premature mortality", US_national_yearly!$D:$AM, 18, FALSE) / VLOOKUP("LULUCF|NOx|Premature mortality", US_national_yearly!$D:$AM, 10, FALSE), 1)</f>
        <v>7.3076370198365442E-4</v>
      </c>
      <c r="K2" s="7">
        <f>$B2 * IFERROR(VLOOKUP("LULUCF|NOx|Premature mortality", US_national_yearly!$D:$AM, 19, FALSE) / VLOOKUP("LULUCF|NOx|Premature mortality", US_national_yearly!$D:$AM, 10, FALSE), 1)</f>
        <v>7.4162782730492684E-4</v>
      </c>
      <c r="L2" s="7">
        <f>$B2 * IFERROR(VLOOKUP("LULUCF|NOx|Premature mortality", US_national_yearly!$D:$AM, 20, FALSE) / VLOOKUP("LULUCF|NOx|Premature mortality", US_national_yearly!$D:$AM, 10, FALSE), 1)</f>
        <v>7.5249195262619927E-4</v>
      </c>
      <c r="M2" s="7">
        <f>$B2 * IFERROR(VLOOKUP("LULUCF|NOx|Premature mortality", US_national_yearly!$D:$AM, 21, FALSE) / VLOOKUP("LULUCF|NOx|Premature mortality", US_national_yearly!$D:$AM, 10, FALSE), 1)</f>
        <v>7.633560779474718E-4</v>
      </c>
      <c r="N2" s="7">
        <f>$B2 * IFERROR(VLOOKUP("LULUCF|NOx|Premature mortality", US_national_yearly!$D:$AM, 22, FALSE) / VLOOKUP("LULUCF|NOx|Premature mortality", US_national_yearly!$D:$AM, 10, FALSE), 1)</f>
        <v>7.7140417975070852E-4</v>
      </c>
      <c r="O2" s="7">
        <f>$B2 * IFERROR(VLOOKUP("LULUCF|NOx|Premature mortality", US_national_yearly!$D:$AM, 23, FALSE) / VLOOKUP("LULUCF|NOx|Premature mortality", US_national_yearly!$D:$AM, 10, FALSE), 1)</f>
        <v>7.7945228155394523E-4</v>
      </c>
      <c r="P2" s="7">
        <f>$B2 * IFERROR(VLOOKUP("LULUCF|NOx|Premature mortality", US_national_yearly!$D:$AM, 24, FALSE) / VLOOKUP("LULUCF|NOx|Premature mortality", US_national_yearly!$D:$AM, 10, FALSE), 1)</f>
        <v>7.8750038335718194E-4</v>
      </c>
      <c r="Q2" s="7">
        <f>$B2 * IFERROR(VLOOKUP("LULUCF|NOx|Premature mortality", US_national_yearly!$D:$AM, 25, FALSE) / VLOOKUP("LULUCF|NOx|Premature mortality", US_national_yearly!$D:$AM, 10, FALSE), 1)</f>
        <v>7.9554848516041876E-4</v>
      </c>
      <c r="R2" s="7">
        <f>$B2 * IFERROR(VLOOKUP("LULUCF|NOx|Premature mortality", US_national_yearly!$D:$AM, 26, FALSE) / VLOOKUP("LULUCF|NOx|Premature mortality", US_national_yearly!$D:$AM, 10, FALSE), 1)</f>
        <v>8.0359658696365548E-4</v>
      </c>
      <c r="S2" s="7">
        <f>$B2 * IFERROR(VLOOKUP("LULUCF|NOx|Premature mortality", US_national_yearly!$D:$AM, 27, FALSE) / VLOOKUP("LULUCF|NOx|Premature mortality", US_national_yearly!$D:$AM, 10, FALSE), 1)</f>
        <v>8.0725453027653479E-4</v>
      </c>
      <c r="T2" s="7">
        <f>$B2 * IFERROR(VLOOKUP("LULUCF|NOx|Premature mortality", US_national_yearly!$D:$AM, 28, FALSE) / VLOOKUP("LULUCF|NOx|Premature mortality", US_national_yearly!$D:$AM, 10, FALSE), 1)</f>
        <v>8.1091247358941411E-4</v>
      </c>
      <c r="U2" s="7">
        <f>$B2 * IFERROR(VLOOKUP("LULUCF|NOx|Premature mortality", US_national_yearly!$D:$AM, 29, FALSE) / VLOOKUP("LULUCF|NOx|Premature mortality", US_national_yearly!$D:$AM, 10, FALSE), 1)</f>
        <v>8.1457041690229332E-4</v>
      </c>
      <c r="V2" s="7">
        <f>$B2 * IFERROR(VLOOKUP("LULUCF|NOx|Premature mortality", US_national_yearly!$D:$AM, 30, FALSE) / VLOOKUP("LULUCF|NOx|Premature mortality", US_national_yearly!$D:$AM, 10, FALSE), 1)</f>
        <v>8.1822836021517263E-4</v>
      </c>
      <c r="W2" s="7">
        <f>$B2 * IFERROR(VLOOKUP("LULUCF|NOx|Premature mortality", US_national_yearly!$D:$AM, 31, FALSE) / VLOOKUP("LULUCF|NOx|Premature mortality", US_national_yearly!$D:$AM, 10, FALSE), 1)</f>
        <v>8.2188630352805195E-4</v>
      </c>
      <c r="X2" s="7">
        <f>$B2 * IFERROR(VLOOKUP("LULUCF|NOx|Premature mortality", US_national_yearly!$D:$AM, 32, FALSE) / VLOOKUP("LULUCF|NOx|Premature mortality", US_national_yearly!$D:$AM, 10, FALSE), 1)</f>
        <v>8.2201301258473384E-4</v>
      </c>
      <c r="Y2" s="7">
        <f>$B2 * IFERROR(VLOOKUP("LULUCF|NOx|Premature mortality", US_national_yearly!$D:$AM, 33, FALSE) / VLOOKUP("LULUCF|NOx|Premature mortality", US_national_yearly!$D:$AM, 10, FALSE), 1)</f>
        <v>8.2213972164141573E-4</v>
      </c>
      <c r="Z2" s="7">
        <f>$B2 * IFERROR(VLOOKUP("LULUCF|NOx|Premature mortality", US_national_yearly!$D:$AM, 34, FALSE) / VLOOKUP("LULUCF|NOx|Premature mortality", US_national_yearly!$D:$AM, 10, FALSE), 1)</f>
        <v>8.2226643069809751E-4</v>
      </c>
      <c r="AA2" s="7">
        <f>$B2 * IFERROR(VLOOKUP("LULUCF|NOx|Premature mortality", US_national_yearly!$D:$AM, 35, FALSE) / VLOOKUP("LULUCF|NOx|Premature mortality", US_national_yearly!$D:$AM, 10, FALSE), 1)</f>
        <v>8.2239313975477951E-4</v>
      </c>
      <c r="AB2" s="7">
        <f>$B2 * IFERROR(VLOOKUP("LULUCF|NOx|Premature mortality", US_national_yearly!$D:$AM, 36, FALSE) / VLOOKUP("LULUCF|NOx|Premature mortality", US_national_yearly!$D:$AM, 10, FALSE), 1)</f>
        <v>8.225198488114614E-4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1.7125351650583465E-6</v>
      </c>
      <c r="C3" s="7">
        <f>$B3 * IFERROR(VLOOKUP("LULUCF|NOx|Infant mortality", US_national_yearly!$D:$AM, 11, FALSE) / VLOOKUP("LULUCF|NOx|Infant mortality", US_national_yearly!$D:$AM, 10, FALSE), 1)</f>
        <v>1.6962189037932731E-6</v>
      </c>
      <c r="D3" s="7">
        <f>$B3 * IFERROR(VLOOKUP("LULUCF|NOx|Infant mortality", US_national_yearly!$D:$AM, 12, FALSE) / VLOOKUP("LULUCF|NOx|Infant mortality", US_national_yearly!$D:$AM, 10, FALSE), 1)</f>
        <v>1.6799026425281994E-6</v>
      </c>
      <c r="E3" s="7">
        <f>$B3 * IFERROR(VLOOKUP("LULUCF|NOx|Infant mortality", US_national_yearly!$D:$AM, 13, FALSE) / VLOOKUP("LULUCF|NOx|Infant mortality", US_national_yearly!$D:$AM, 10, FALSE), 1)</f>
        <v>1.663586381263126E-6</v>
      </c>
      <c r="F3" s="7">
        <f>$B3 * IFERROR(VLOOKUP("LULUCF|NOx|Infant mortality", US_national_yearly!$D:$AM, 14, FALSE) / VLOOKUP("LULUCF|NOx|Infant mortality", US_national_yearly!$D:$AM, 10, FALSE), 1)</f>
        <v>1.6472701199980526E-6</v>
      </c>
      <c r="G3" s="7">
        <f>$B3 * IFERROR(VLOOKUP("LULUCF|NOx|Infant mortality", US_national_yearly!$D:$AM, 15, FALSE) / VLOOKUP("LULUCF|NOx|Infant mortality", US_national_yearly!$D:$AM, 10, FALSE), 1)</f>
        <v>1.0935392494719129E-6</v>
      </c>
      <c r="H3" s="7">
        <f>$B3 * IFERROR(VLOOKUP("LULUCF|NOx|Infant mortality", US_national_yearly!$D:$AM, 16, FALSE) / VLOOKUP("LULUCF|NOx|Infant mortality", US_national_yearly!$D:$AM, 10, FALSE), 1)</f>
        <v>5.3980837894577338E-7</v>
      </c>
      <c r="I3" s="7">
        <f>$B3 * IFERROR(VLOOKUP("LULUCF|NOx|Infant mortality", US_national_yearly!$D:$AM, 17, FALSE) / VLOOKUP("LULUCF|NOx|Infant mortality", US_national_yearly!$D:$AM, 10, FALSE), 1)</f>
        <v>5.3599141829548631E-7</v>
      </c>
      <c r="J3" s="7">
        <f>$B3 * IFERROR(VLOOKUP("LULUCF|NOx|Infant mortality", US_national_yearly!$D:$AM, 18, FALSE) / VLOOKUP("LULUCF|NOx|Infant mortality", US_national_yearly!$D:$AM, 10, FALSE), 1)</f>
        <v>5.3217445764519913E-7</v>
      </c>
      <c r="K3" s="7">
        <f>$B3 * IFERROR(VLOOKUP("LULUCF|NOx|Infant mortality", US_national_yearly!$D:$AM, 19, FALSE) / VLOOKUP("LULUCF|NOx|Infant mortality", US_national_yearly!$D:$AM, 10, FALSE), 1)</f>
        <v>5.2835749699491195E-7</v>
      </c>
      <c r="L3" s="7">
        <f>$B3 * IFERROR(VLOOKUP("LULUCF|NOx|Infant mortality", US_national_yearly!$D:$AM, 20, FALSE) / VLOOKUP("LULUCF|NOx|Infant mortality", US_national_yearly!$D:$AM, 10, FALSE), 1)</f>
        <v>5.2454053634462488E-7</v>
      </c>
      <c r="M3" s="7">
        <f>$B3 * IFERROR(VLOOKUP("LULUCF|NOx|Infant mortality", US_national_yearly!$D:$AM, 21, FALSE) / VLOOKUP("LULUCF|NOx|Infant mortality", US_national_yearly!$D:$AM, 10, FALSE), 1)</f>
        <v>5.207235756943377E-7</v>
      </c>
      <c r="N3" s="7">
        <f>$B3 * IFERROR(VLOOKUP("LULUCF|NOx|Infant mortality", US_national_yearly!$D:$AM, 22, FALSE) / VLOOKUP("LULUCF|NOx|Infant mortality", US_national_yearly!$D:$AM, 10, FALSE), 1)</f>
        <v>5.1819003681128554E-7</v>
      </c>
      <c r="O3" s="7">
        <f>$B3 * IFERROR(VLOOKUP("LULUCF|NOx|Infant mortality", US_national_yearly!$D:$AM, 23, FALSE) / VLOOKUP("LULUCF|NOx|Infant mortality", US_national_yearly!$D:$AM, 10, FALSE), 1)</f>
        <v>5.1565649792823349E-7</v>
      </c>
      <c r="P3" s="7">
        <f>$B3 * IFERROR(VLOOKUP("LULUCF|NOx|Infant mortality", US_national_yearly!$D:$AM, 24, FALSE) / VLOOKUP("LULUCF|NOx|Infant mortality", US_national_yearly!$D:$AM, 10, FALSE), 1)</f>
        <v>5.1312295904518134E-7</v>
      </c>
      <c r="Q3" s="7">
        <f>$B3 * IFERROR(VLOOKUP("LULUCF|NOx|Infant mortality", US_national_yearly!$D:$AM, 25, FALSE) / VLOOKUP("LULUCF|NOx|Infant mortality", US_national_yearly!$D:$AM, 10, FALSE), 1)</f>
        <v>5.1058942016212929E-7</v>
      </c>
      <c r="R3" s="7">
        <f>$B3 * IFERROR(VLOOKUP("LULUCF|NOx|Infant mortality", US_national_yearly!$D:$AM, 26, FALSE) / VLOOKUP("LULUCF|NOx|Infant mortality", US_national_yearly!$D:$AM, 10, FALSE), 1)</f>
        <v>5.0805588127907724E-7</v>
      </c>
      <c r="S3" s="7">
        <f>$B3 * IFERROR(VLOOKUP("LULUCF|NOx|Infant mortality", US_national_yearly!$D:$AM, 27, FALSE) / VLOOKUP("LULUCF|NOx|Infant mortality", US_national_yearly!$D:$AM, 10, FALSE), 1)</f>
        <v>5.0501016464860273E-7</v>
      </c>
      <c r="T3" s="7">
        <f>$B3 * IFERROR(VLOOKUP("LULUCF|NOx|Infant mortality", US_national_yearly!$D:$AM, 28, FALSE) / VLOOKUP("LULUCF|NOx|Infant mortality", US_national_yearly!$D:$AM, 10, FALSE), 1)</f>
        <v>5.0196444801812822E-7</v>
      </c>
      <c r="U3" s="7">
        <f>$B3 * IFERROR(VLOOKUP("LULUCF|NOx|Infant mortality", US_national_yearly!$D:$AM, 29, FALSE) / VLOOKUP("LULUCF|NOx|Infant mortality", US_national_yearly!$D:$AM, 10, FALSE), 1)</f>
        <v>4.9891873138765371E-7</v>
      </c>
      <c r="V3" s="7">
        <f>$B3 * IFERROR(VLOOKUP("LULUCF|NOx|Infant mortality", US_national_yearly!$D:$AM, 30, FALSE) / VLOOKUP("LULUCF|NOx|Infant mortality", US_national_yearly!$D:$AM, 10, FALSE), 1)</f>
        <v>4.958730147571792E-7</v>
      </c>
      <c r="W3" s="7">
        <f>$B3 * IFERROR(VLOOKUP("LULUCF|NOx|Infant mortality", US_national_yearly!$D:$AM, 31, FALSE) / VLOOKUP("LULUCF|NOx|Infant mortality", US_national_yearly!$D:$AM, 10, FALSE), 1)</f>
        <v>4.9282729812670479E-7</v>
      </c>
      <c r="X3" s="7">
        <f>$B3 * IFERROR(VLOOKUP("LULUCF|NOx|Infant mortality", US_national_yearly!$D:$AM, 32, FALSE) / VLOOKUP("LULUCF|NOx|Infant mortality", US_national_yearly!$D:$AM, 10, FALSE), 1)</f>
        <v>4.8960173693018743E-7</v>
      </c>
      <c r="Y3" s="7">
        <f>$B3 * IFERROR(VLOOKUP("LULUCF|NOx|Infant mortality", US_national_yearly!$D:$AM, 33, FALSE) / VLOOKUP("LULUCF|NOx|Infant mortality", US_national_yearly!$D:$AM, 10, FALSE), 1)</f>
        <v>4.8637617573366996E-7</v>
      </c>
      <c r="Z3" s="7">
        <f>$B3 * IFERROR(VLOOKUP("LULUCF|NOx|Infant mortality", US_national_yearly!$D:$AM, 34, FALSE) / VLOOKUP("LULUCF|NOx|Infant mortality", US_national_yearly!$D:$AM, 10, FALSE), 1)</f>
        <v>4.831506145371526E-7</v>
      </c>
      <c r="AA3" s="7">
        <f>$B3 * IFERROR(VLOOKUP("LULUCF|NOx|Infant mortality", US_national_yearly!$D:$AM, 35, FALSE) / VLOOKUP("LULUCF|NOx|Infant mortality", US_national_yearly!$D:$AM, 10, FALSE), 1)</f>
        <v>4.7992505334063513E-7</v>
      </c>
      <c r="AB3" s="7">
        <f>$B3 * IFERROR(VLOOKUP("LULUCF|NOx|Infant mortality", US_national_yearly!$D:$AM, 36, FALSE) / VLOOKUP("LULUCF|NOx|Infant mortality", US_national_yearly!$D:$AM, 10, FALSE), 1)</f>
        <v>4.7669949214411766E-7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1.7019630154601021E-3</v>
      </c>
      <c r="C6" s="7">
        <f>$B6 * IFERROR(VLOOKUP("LULUCF|NOx|Asthma symptoms cough", US_national_yearly!$D:$AM, 11, FALSE) / VLOOKUP("LULUCF|NOx|Asthma symptoms cough", US_national_yearly!$D:$AM, 10, FALSE), 1)</f>
        <v>1.7252316324808238E-3</v>
      </c>
      <c r="D6" s="7">
        <f>$B6 * IFERROR(VLOOKUP("LULUCF|NOx|Asthma symptoms cough", US_national_yearly!$D:$AM, 12, FALSE) / VLOOKUP("LULUCF|NOx|Asthma symptoms cough", US_national_yearly!$D:$AM, 10, FALSE), 1)</f>
        <v>1.7485002495015453E-3</v>
      </c>
      <c r="E6" s="7">
        <f>$B6 * IFERROR(VLOOKUP("LULUCF|NOx|Asthma symptoms cough", US_national_yearly!$D:$AM, 13, FALSE) / VLOOKUP("LULUCF|NOx|Asthma symptoms cough", US_national_yearly!$D:$AM, 10, FALSE), 1)</f>
        <v>1.7717688665222671E-3</v>
      </c>
      <c r="F6" s="7">
        <f>$B6 * IFERROR(VLOOKUP("LULUCF|NOx|Asthma symptoms cough", US_national_yearly!$D:$AM, 14, FALSE) / VLOOKUP("LULUCF|NOx|Asthma symptoms cough", US_national_yearly!$D:$AM, 10, FALSE), 1)</f>
        <v>1.7950374835429888E-3</v>
      </c>
      <c r="G6" s="7">
        <f>$B6 * IFERROR(VLOOKUP("LULUCF|NOx|Asthma symptoms cough", US_national_yearly!$D:$AM, 15, FALSE) / VLOOKUP("LULUCF|NOx|Asthma symptoms cough", US_national_yearly!$D:$AM, 10, FALSE), 1)</f>
        <v>1.8136142226644811E-3</v>
      </c>
      <c r="H6" s="7">
        <f>$B6 * IFERROR(VLOOKUP("LULUCF|NOx|Asthma symptoms cough", US_national_yearly!$D:$AM, 16, FALSE) / VLOOKUP("LULUCF|NOx|Asthma symptoms cough", US_national_yearly!$D:$AM, 10, FALSE), 1)</f>
        <v>1.8321909617859736E-3</v>
      </c>
      <c r="I6" s="7">
        <f>$B6 * IFERROR(VLOOKUP("LULUCF|NOx|Asthma symptoms cough", US_national_yearly!$D:$AM, 17, FALSE) / VLOOKUP("LULUCF|NOx|Asthma symptoms cough", US_national_yearly!$D:$AM, 10, FALSE), 1)</f>
        <v>1.8385848098231487E-3</v>
      </c>
      <c r="J6" s="7">
        <f>$B6 * IFERROR(VLOOKUP("LULUCF|NOx|Asthma symptoms cough", US_national_yearly!$D:$AM, 18, FALSE) / VLOOKUP("LULUCF|NOx|Asthma symptoms cough", US_national_yearly!$D:$AM, 10, FALSE), 1)</f>
        <v>1.8449786578603241E-3</v>
      </c>
      <c r="K6" s="7">
        <f>$B6 * IFERROR(VLOOKUP("LULUCF|NOx|Asthma symptoms cough", US_national_yearly!$D:$AM, 19, FALSE) / VLOOKUP("LULUCF|NOx|Asthma symptoms cough", US_national_yearly!$D:$AM, 10, FALSE), 1)</f>
        <v>1.851372505897499E-3</v>
      </c>
      <c r="L6" s="7">
        <f>$B6 * IFERROR(VLOOKUP("LULUCF|NOx|Asthma symptoms cough", US_national_yearly!$D:$AM, 20, FALSE) / VLOOKUP("LULUCF|NOx|Asthma symptoms cough", US_national_yearly!$D:$AM, 10, FALSE), 1)</f>
        <v>1.8577663539346739E-3</v>
      </c>
      <c r="M6" s="7">
        <f>$B6 * IFERROR(VLOOKUP("LULUCF|NOx|Asthma symptoms cough", US_national_yearly!$D:$AM, 21, FALSE) / VLOOKUP("LULUCF|NOx|Asthma symptoms cough", US_national_yearly!$D:$AM, 10, FALSE), 1)</f>
        <v>1.8641602019718493E-3</v>
      </c>
      <c r="N6" s="7">
        <f>$B6 * IFERROR(VLOOKUP("LULUCF|NOx|Asthma symptoms cough", US_national_yearly!$D:$AM, 22, FALSE) / VLOOKUP("LULUCF|NOx|Asthma symptoms cough", US_national_yearly!$D:$AM, 10, FALSE), 1)</f>
        <v>1.8715743449033595E-3</v>
      </c>
      <c r="O6" s="7">
        <f>$B6 * IFERROR(VLOOKUP("LULUCF|NOx|Asthma symptoms cough", US_national_yearly!$D:$AM, 23, FALSE) / VLOOKUP("LULUCF|NOx|Asthma symptoms cough", US_national_yearly!$D:$AM, 10, FALSE), 1)</f>
        <v>1.8789884878348698E-3</v>
      </c>
      <c r="P6" s="7">
        <f>$B6 * IFERROR(VLOOKUP("LULUCF|NOx|Asthma symptoms cough", US_national_yearly!$D:$AM, 24, FALSE) / VLOOKUP("LULUCF|NOx|Asthma symptoms cough", US_national_yearly!$D:$AM, 10, FALSE), 1)</f>
        <v>1.88640263076638E-3</v>
      </c>
      <c r="Q6" s="7">
        <f>$B6 * IFERROR(VLOOKUP("LULUCF|NOx|Asthma symptoms cough", US_national_yearly!$D:$AM, 25, FALSE) / VLOOKUP("LULUCF|NOx|Asthma symptoms cough", US_national_yearly!$D:$AM, 10, FALSE), 1)</f>
        <v>1.8938167736978905E-3</v>
      </c>
      <c r="R6" s="7">
        <f>$B6 * IFERROR(VLOOKUP("LULUCF|NOx|Asthma symptoms cough", US_national_yearly!$D:$AM, 26, FALSE) / VLOOKUP("LULUCF|NOx|Asthma symptoms cough", US_national_yearly!$D:$AM, 10, FALSE), 1)</f>
        <v>1.9012309166294007E-3</v>
      </c>
      <c r="S6" s="7">
        <f>$B6 * IFERROR(VLOOKUP("LULUCF|NOx|Asthma symptoms cough", US_national_yearly!$D:$AM, 27, FALSE) / VLOOKUP("LULUCF|NOx|Asthma symptoms cough", US_national_yearly!$D:$AM, 10, FALSE), 1)</f>
        <v>1.910916148684979E-3</v>
      </c>
      <c r="T6" s="7">
        <f>$B6 * IFERROR(VLOOKUP("LULUCF|NOx|Asthma symptoms cough", US_national_yearly!$D:$AM, 28, FALSE) / VLOOKUP("LULUCF|NOx|Asthma symptoms cough", US_national_yearly!$D:$AM, 10, FALSE), 1)</f>
        <v>1.920601380740557E-3</v>
      </c>
      <c r="U6" s="7">
        <f>$B6 * IFERROR(VLOOKUP("LULUCF|NOx|Asthma symptoms cough", US_national_yearly!$D:$AM, 29, FALSE) / VLOOKUP("LULUCF|NOx|Asthma symptoms cough", US_national_yearly!$D:$AM, 10, FALSE), 1)</f>
        <v>1.9302866127961346E-3</v>
      </c>
      <c r="V6" s="7">
        <f>$B6 * IFERROR(VLOOKUP("LULUCF|NOx|Asthma symptoms cough", US_national_yearly!$D:$AM, 30, FALSE) / VLOOKUP("LULUCF|NOx|Asthma symptoms cough", US_national_yearly!$D:$AM, 10, FALSE), 1)</f>
        <v>1.9399718448517129E-3</v>
      </c>
      <c r="W6" s="7">
        <f>$B6 * IFERROR(VLOOKUP("LULUCF|NOx|Asthma symptoms cough", US_national_yearly!$D:$AM, 31, FALSE) / VLOOKUP("LULUCF|NOx|Asthma symptoms cough", US_national_yearly!$D:$AM, 10, FALSE), 1)</f>
        <v>1.9496570769072909E-3</v>
      </c>
      <c r="X6" s="7">
        <f>$B6 * IFERROR(VLOOKUP("LULUCF|NOx|Asthma symptoms cough", US_national_yearly!$D:$AM, 32, FALSE) / VLOOKUP("LULUCF|NOx|Asthma symptoms cough", US_national_yearly!$D:$AM, 10, FALSE), 1)</f>
        <v>1.9586560491147952E-3</v>
      </c>
      <c r="Y6" s="7">
        <f>$B6 * IFERROR(VLOOKUP("LULUCF|NOx|Asthma symptoms cough", US_national_yearly!$D:$AM, 33, FALSE) / VLOOKUP("LULUCF|NOx|Asthma symptoms cough", US_national_yearly!$D:$AM, 10, FALSE), 1)</f>
        <v>1.9676550213222998E-3</v>
      </c>
      <c r="Z6" s="7">
        <f>$B6 * IFERROR(VLOOKUP("LULUCF|NOx|Asthma symptoms cough", US_national_yearly!$D:$AM, 34, FALSE) / VLOOKUP("LULUCF|NOx|Asthma symptoms cough", US_national_yearly!$D:$AM, 10, FALSE), 1)</f>
        <v>1.9766539935298041E-3</v>
      </c>
      <c r="AA6" s="7">
        <f>$B6 * IFERROR(VLOOKUP("LULUCF|NOx|Asthma symptoms cough", US_national_yearly!$D:$AM, 35, FALSE) / VLOOKUP("LULUCF|NOx|Asthma symptoms cough", US_national_yearly!$D:$AM, 10, FALSE), 1)</f>
        <v>1.9856529657373083E-3</v>
      </c>
      <c r="AB6" s="7">
        <f>$B6 * IFERROR(VLOOKUP("LULUCF|NOx|Asthma symptoms cough", US_national_yearly!$D:$AM, 36, FALSE) / VLOOKUP("LULUCF|NOx|Asthma symptoms cough", US_national_yearly!$D:$AM, 10, FALSE), 1)</f>
        <v>1.9946519379448135E-3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2.2919253630254818E-3</v>
      </c>
      <c r="C7" s="7">
        <f>$B7 * IFERROR(VLOOKUP("LULUCF|NOx|Asthma symptoms shortness of breath", US_national_yearly!$D:$AM, 11, FALSE) / VLOOKUP("LULUCF|NOx|Asthma symptoms shortness of breath", US_national_yearly!$D:$AM, 10, FALSE), 1)</f>
        <v>2.3232597298631658E-3</v>
      </c>
      <c r="D7" s="7">
        <f>$B7 * IFERROR(VLOOKUP("LULUCF|NOx|Asthma symptoms shortness of breath", US_national_yearly!$D:$AM, 12, FALSE) / VLOOKUP("LULUCF|NOx|Asthma symptoms shortness of breath", US_national_yearly!$D:$AM, 10, FALSE), 1)</f>
        <v>2.3545940967008498E-3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2.3859284635385338E-3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2.4172628303762178E-3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2.4422789435924316E-3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2.4672950568086455E-3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2.4759052453106642E-3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2.4845154338126829E-3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2.4931256223147016E-3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2.5017358108167203E-3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2.5103459993187391E-3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2.5203301540978563E-3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2.5303143088769731E-3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2.5402984636560895E-3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2.5502826184352068E-3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2.5602667732143236E-3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2.5733092593221343E-3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2.5863517454299458E-3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2.5993942315377565E-3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2.6124367176455668E-3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2.6254792037533775E-3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2.6375975473563085E-3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2.6497158909592395E-3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2.6618342345621714E-3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2.6739525781651024E-3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2.6860709217680335E-3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3.5017263137184142E-3</v>
      </c>
      <c r="C8" s="7">
        <f>$B8 * IFERROR(VLOOKUP("LULUCF|NOx|Asthma symptoms wheeze", US_national_yearly!$D:$AM, 11, FALSE) / VLOOKUP("LULUCF|NOx|Asthma symptoms wheeze", US_national_yearly!$D:$AM, 10, FALSE), 1)</f>
        <v>3.5496006375888584E-3</v>
      </c>
      <c r="D8" s="7">
        <f>$B8 * IFERROR(VLOOKUP("LULUCF|NOx|Asthma symptoms wheeze", US_national_yearly!$D:$AM, 12, FALSE) / VLOOKUP("LULUCF|NOx|Asthma symptoms wheeze", US_national_yearly!$D:$AM, 10, FALSE), 1)</f>
        <v>3.5974749614593039E-3</v>
      </c>
      <c r="E8" s="7">
        <f>$B8 * IFERROR(VLOOKUP("LULUCF|NOx|Asthma symptoms wheeze", US_national_yearly!$D:$AM, 13, FALSE) / VLOOKUP("LULUCF|NOx|Asthma symptoms wheeze", US_national_yearly!$D:$AM, 10, FALSE), 1)</f>
        <v>3.6453492853297477E-3</v>
      </c>
      <c r="F8" s="7">
        <f>$B8 * IFERROR(VLOOKUP("LULUCF|NOx|Asthma symptoms wheeze", US_national_yearly!$D:$AM, 14, FALSE) / VLOOKUP("LULUCF|NOx|Asthma symptoms wheeze", US_national_yearly!$D:$AM, 10, FALSE), 1)</f>
        <v>3.6932236092001918E-3</v>
      </c>
      <c r="G8" s="7">
        <f>$B8 * IFERROR(VLOOKUP("LULUCF|NOx|Asthma symptoms wheeze", US_national_yearly!$D:$AM, 15, FALSE) / VLOOKUP("LULUCF|NOx|Asthma symptoms wheeze", US_national_yearly!$D:$AM, 10, FALSE), 1)</f>
        <v>3.7314445668544271E-3</v>
      </c>
      <c r="H8" s="7">
        <f>$B8 * IFERROR(VLOOKUP("LULUCF|NOx|Asthma symptoms wheeze", US_national_yearly!$D:$AM, 16, FALSE) / VLOOKUP("LULUCF|NOx|Asthma symptoms wheeze", US_national_yearly!$D:$AM, 10, FALSE), 1)</f>
        <v>3.7696655245086628E-3</v>
      </c>
      <c r="I8" s="7">
        <f>$B8 * IFERROR(VLOOKUP("LULUCF|NOx|Asthma symptoms wheeze", US_national_yearly!$D:$AM, 17, FALSE) / VLOOKUP("LULUCF|NOx|Asthma symptoms wheeze", US_national_yearly!$D:$AM, 10, FALSE), 1)</f>
        <v>3.7828206317845306E-3</v>
      </c>
      <c r="J8" s="7">
        <f>$B8 * IFERROR(VLOOKUP("LULUCF|NOx|Asthma symptoms wheeze", US_national_yearly!$D:$AM, 18, FALSE) / VLOOKUP("LULUCF|NOx|Asthma symptoms wheeze", US_national_yearly!$D:$AM, 10, FALSE), 1)</f>
        <v>3.7959757390603993E-3</v>
      </c>
      <c r="K8" s="7">
        <f>$B8 * IFERROR(VLOOKUP("LULUCF|NOx|Asthma symptoms wheeze", US_national_yearly!$D:$AM, 19, FALSE) / VLOOKUP("LULUCF|NOx|Asthma symptoms wheeze", US_national_yearly!$D:$AM, 10, FALSE), 1)</f>
        <v>3.8091308463362662E-3</v>
      </c>
      <c r="L8" s="7">
        <f>$B8 * IFERROR(VLOOKUP("LULUCF|NOx|Asthma symptoms wheeze", US_national_yearly!$D:$AM, 20, FALSE) / VLOOKUP("LULUCF|NOx|Asthma symptoms wheeze", US_national_yearly!$D:$AM, 10, FALSE), 1)</f>
        <v>3.8222859536121349E-3</v>
      </c>
      <c r="M8" s="7">
        <f>$B8 * IFERROR(VLOOKUP("LULUCF|NOx|Asthma symptoms wheeze", US_national_yearly!$D:$AM, 21, FALSE) / VLOOKUP("LULUCF|NOx|Asthma symptoms wheeze", US_national_yearly!$D:$AM, 10, FALSE), 1)</f>
        <v>3.8354410608880032E-3</v>
      </c>
      <c r="N8" s="7">
        <f>$B8 * IFERROR(VLOOKUP("LULUCF|NOx|Asthma symptoms wheeze", US_national_yearly!$D:$AM, 22, FALSE) / VLOOKUP("LULUCF|NOx|Asthma symptoms wheeze", US_national_yearly!$D:$AM, 10, FALSE), 1)</f>
        <v>3.8506953874053785E-3</v>
      </c>
      <c r="O8" s="7">
        <f>$B8 * IFERROR(VLOOKUP("LULUCF|NOx|Asthma symptoms wheeze", US_national_yearly!$D:$AM, 23, FALSE) / VLOOKUP("LULUCF|NOx|Asthma symptoms wheeze", US_national_yearly!$D:$AM, 10, FALSE), 1)</f>
        <v>3.8659497139227551E-3</v>
      </c>
      <c r="P8" s="7">
        <f>$B8 * IFERROR(VLOOKUP("LULUCF|NOx|Asthma symptoms wheeze", US_national_yearly!$D:$AM, 24, FALSE) / VLOOKUP("LULUCF|NOx|Asthma symptoms wheeze", US_national_yearly!$D:$AM, 10, FALSE), 1)</f>
        <v>3.8812040404401305E-3</v>
      </c>
      <c r="Q8" s="7">
        <f>$B8 * IFERROR(VLOOKUP("LULUCF|NOx|Asthma symptoms wheeze", US_national_yearly!$D:$AM, 25, FALSE) / VLOOKUP("LULUCF|NOx|Asthma symptoms wheeze", US_national_yearly!$D:$AM, 10, FALSE), 1)</f>
        <v>3.8964583669575071E-3</v>
      </c>
      <c r="R8" s="7">
        <f>$B8 * IFERROR(VLOOKUP("LULUCF|NOx|Asthma symptoms wheeze", US_national_yearly!$D:$AM, 26, FALSE) / VLOOKUP("LULUCF|NOx|Asthma symptoms wheeze", US_national_yearly!$D:$AM, 10, FALSE), 1)</f>
        <v>3.9117126934748829E-3</v>
      </c>
      <c r="S8" s="7">
        <f>$B8 * IFERROR(VLOOKUP("LULUCF|NOx|Asthma symptoms wheeze", US_national_yearly!$D:$AM, 27, FALSE) / VLOOKUP("LULUCF|NOx|Asthma symptoms wheeze", US_national_yearly!$D:$AM, 10, FALSE), 1)</f>
        <v>3.9316397023617658E-3</v>
      </c>
      <c r="T8" s="7">
        <f>$B8 * IFERROR(VLOOKUP("LULUCF|NOx|Asthma symptoms wheeze", US_national_yearly!$D:$AM, 28, FALSE) / VLOOKUP("LULUCF|NOx|Asthma symptoms wheeze", US_national_yearly!$D:$AM, 10, FALSE), 1)</f>
        <v>3.9515667112486486E-3</v>
      </c>
      <c r="U8" s="7">
        <f>$B8 * IFERROR(VLOOKUP("LULUCF|NOx|Asthma symptoms wheeze", US_national_yearly!$D:$AM, 29, FALSE) / VLOOKUP("LULUCF|NOx|Asthma symptoms wheeze", US_national_yearly!$D:$AM, 10, FALSE), 1)</f>
        <v>3.9714937201355324E-3</v>
      </c>
      <c r="V8" s="7">
        <f>$B8 * IFERROR(VLOOKUP("LULUCF|NOx|Asthma symptoms wheeze", US_national_yearly!$D:$AM, 30, FALSE) / VLOOKUP("LULUCF|NOx|Asthma symptoms wheeze", US_national_yearly!$D:$AM, 10, FALSE), 1)</f>
        <v>3.9914207290224161E-3</v>
      </c>
      <c r="W8" s="7">
        <f>$B8 * IFERROR(VLOOKUP("LULUCF|NOx|Asthma symptoms wheeze", US_national_yearly!$D:$AM, 31, FALSE) / VLOOKUP("LULUCF|NOx|Asthma symptoms wheeze", US_national_yearly!$D:$AM, 10, FALSE), 1)</f>
        <v>4.0113477379092981E-3</v>
      </c>
      <c r="X8" s="7">
        <f>$B8 * IFERROR(VLOOKUP("LULUCF|NOx|Asthma symptoms wheeze", US_national_yearly!$D:$AM, 32, FALSE) / VLOOKUP("LULUCF|NOx|Asthma symptoms wheeze", US_national_yearly!$D:$AM, 10, FALSE), 1)</f>
        <v>4.0298627923821082E-3</v>
      </c>
      <c r="Y8" s="7">
        <f>$B8 * IFERROR(VLOOKUP("LULUCF|NOx|Asthma symptoms wheeze", US_national_yearly!$D:$AM, 33, FALSE) / VLOOKUP("LULUCF|NOx|Asthma symptoms wheeze", US_national_yearly!$D:$AM, 10, FALSE), 1)</f>
        <v>4.0483778468549166E-3</v>
      </c>
      <c r="Z8" s="7">
        <f>$B8 * IFERROR(VLOOKUP("LULUCF|NOx|Asthma symptoms wheeze", US_national_yearly!$D:$AM, 34, FALSE) / VLOOKUP("LULUCF|NOx|Asthma symptoms wheeze", US_national_yearly!$D:$AM, 10, FALSE), 1)</f>
        <v>4.0668929013277268E-3</v>
      </c>
      <c r="AA8" s="7">
        <f>$B8 * IFERROR(VLOOKUP("LULUCF|NOx|Asthma symptoms wheeze", US_national_yearly!$D:$AM, 35, FALSE) / VLOOKUP("LULUCF|NOx|Asthma symptoms wheeze", US_national_yearly!$D:$AM, 10, FALSE), 1)</f>
        <v>4.085407955800536E-3</v>
      </c>
      <c r="AB8" s="7">
        <f>$B8 * IFERROR(VLOOKUP("LULUCF|NOx|Asthma symptoms wheeze", US_national_yearly!$D:$AM, 36, FALSE) / VLOOKUP("LULUCF|NOx|Asthma symptoms wheeze", US_national_yearly!$D:$AM, 10, FALSE), 1)</f>
        <v>4.1039230102733453E-3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4.9020978261883482E-5</v>
      </c>
      <c r="C12" s="7">
        <f>$B12 * IFERROR(VLOOKUP("LULUCF|NOx|Respiratory hospital admissions", US_national_yearly!$D:$AM, 11, FALSE) / VLOOKUP("LULUCF|NOx|Respiratory hospital admissions", US_national_yearly!$D:$AM, 10, FALSE), 1)</f>
        <v>5.0243790128019232E-5</v>
      </c>
      <c r="D12" s="7">
        <f>$B12 * IFERROR(VLOOKUP("LULUCF|NOx|Respiratory hospital admissions", US_national_yearly!$D:$AM, 12, FALSE) / VLOOKUP("LULUCF|NOx|Respiratory hospital admissions", US_national_yearly!$D:$AM, 10, FALSE), 1)</f>
        <v>5.1466601994154997E-5</v>
      </c>
      <c r="E12" s="7">
        <f>$B12 * IFERROR(VLOOKUP("LULUCF|NOx|Respiratory hospital admissions", US_national_yearly!$D:$AM, 13, FALSE) / VLOOKUP("LULUCF|NOx|Respiratory hospital admissions", US_national_yearly!$D:$AM, 10, FALSE), 1)</f>
        <v>5.2689413860290761E-5</v>
      </c>
      <c r="F12" s="7">
        <f>$B12 * IFERROR(VLOOKUP("LULUCF|NOx|Respiratory hospital admissions", US_national_yearly!$D:$AM, 14, FALSE) / VLOOKUP("LULUCF|NOx|Respiratory hospital admissions", US_national_yearly!$D:$AM, 10, FALSE), 1)</f>
        <v>5.3912225726426525E-5</v>
      </c>
      <c r="G12" s="7">
        <f>$B12 * IFERROR(VLOOKUP("LULUCF|NOx|Respiratory hospital admissions", US_national_yearly!$D:$AM, 15, FALSE) / VLOOKUP("LULUCF|NOx|Respiratory hospital admissions", US_national_yearly!$D:$AM, 10, FALSE), 1)</f>
        <v>5.5081275490014038E-5</v>
      </c>
      <c r="H12" s="7">
        <f>$B12 * IFERROR(VLOOKUP("LULUCF|NOx|Respiratory hospital admissions", US_national_yearly!$D:$AM, 16, FALSE) / VLOOKUP("LULUCF|NOx|Respiratory hospital admissions", US_national_yearly!$D:$AM, 10, FALSE), 1)</f>
        <v>5.625032525360155E-5</v>
      </c>
      <c r="I12" s="7">
        <f>$B12 * IFERROR(VLOOKUP("LULUCF|NOx|Respiratory hospital admissions", US_national_yearly!$D:$AM, 17, FALSE) / VLOOKUP("LULUCF|NOx|Respiratory hospital admissions", US_national_yearly!$D:$AM, 10, FALSE), 1)</f>
        <v>5.7242872536118307E-5</v>
      </c>
      <c r="J12" s="7">
        <f>$B12 * IFERROR(VLOOKUP("LULUCF|NOx|Respiratory hospital admissions", US_national_yearly!$D:$AM, 18, FALSE) / VLOOKUP("LULUCF|NOx|Respiratory hospital admissions", US_national_yearly!$D:$AM, 10, FALSE), 1)</f>
        <v>5.8235419818635057E-5</v>
      </c>
      <c r="K12" s="7">
        <f>$B12 * IFERROR(VLOOKUP("LULUCF|NOx|Respiratory hospital admissions", US_national_yearly!$D:$AM, 19, FALSE) / VLOOKUP("LULUCF|NOx|Respiratory hospital admissions", US_national_yearly!$D:$AM, 10, FALSE), 1)</f>
        <v>5.9227967101151813E-5</v>
      </c>
      <c r="L12" s="7">
        <f>$B12 * IFERROR(VLOOKUP("LULUCF|NOx|Respiratory hospital admissions", US_national_yearly!$D:$AM, 20, FALSE) / VLOOKUP("LULUCF|NOx|Respiratory hospital admissions", US_national_yearly!$D:$AM, 10, FALSE), 1)</f>
        <v>6.022051438366857E-5</v>
      </c>
      <c r="M12" s="7">
        <f>$B12 * IFERROR(VLOOKUP("LULUCF|NOx|Respiratory hospital admissions", US_national_yearly!$D:$AM, 21, FALSE) / VLOOKUP("LULUCF|NOx|Respiratory hospital admissions", US_national_yearly!$D:$AM, 10, FALSE), 1)</f>
        <v>6.1213061666185326E-5</v>
      </c>
      <c r="N12" s="7">
        <f>$B12 * IFERROR(VLOOKUP("LULUCF|NOx|Respiratory hospital admissions", US_national_yearly!$D:$AM, 22, FALSE) / VLOOKUP("LULUCF|NOx|Respiratory hospital admissions", US_national_yearly!$D:$AM, 10, FALSE), 1)</f>
        <v>6.1876597394924234E-5</v>
      </c>
      <c r="O12" s="7">
        <f>$B12 * IFERROR(VLOOKUP("LULUCF|NOx|Respiratory hospital admissions", US_national_yearly!$D:$AM, 23, FALSE) / VLOOKUP("LULUCF|NOx|Respiratory hospital admissions", US_national_yearly!$D:$AM, 10, FALSE), 1)</f>
        <v>6.2540133123663156E-5</v>
      </c>
      <c r="P12" s="7">
        <f>$B12 * IFERROR(VLOOKUP("LULUCF|NOx|Respiratory hospital admissions", US_national_yearly!$D:$AM, 24, FALSE) / VLOOKUP("LULUCF|NOx|Respiratory hospital admissions", US_national_yearly!$D:$AM, 10, FALSE), 1)</f>
        <v>6.3203668852402064E-5</v>
      </c>
      <c r="Q12" s="7">
        <f>$B12 * IFERROR(VLOOKUP("LULUCF|NOx|Respiratory hospital admissions", US_national_yearly!$D:$AM, 25, FALSE) / VLOOKUP("LULUCF|NOx|Respiratory hospital admissions", US_national_yearly!$D:$AM, 10, FALSE), 1)</f>
        <v>6.3867204581140999E-5</v>
      </c>
      <c r="R12" s="7">
        <f>$B12 * IFERROR(VLOOKUP("LULUCF|NOx|Respiratory hospital admissions", US_national_yearly!$D:$AM, 26, FALSE) / VLOOKUP("LULUCF|NOx|Respiratory hospital admissions", US_national_yearly!$D:$AM, 10, FALSE), 1)</f>
        <v>6.4530740309879907E-5</v>
      </c>
      <c r="S12" s="7">
        <f>$B12 * IFERROR(VLOOKUP("LULUCF|NOx|Respiratory hospital admissions", US_national_yearly!$D:$AM, 27, FALSE) / VLOOKUP("LULUCF|NOx|Respiratory hospital admissions", US_national_yearly!$D:$AM, 10, FALSE), 1)</f>
        <v>6.488624477360262E-5</v>
      </c>
      <c r="T12" s="7">
        <f>$B12 * IFERROR(VLOOKUP("LULUCF|NOx|Respiratory hospital admissions", US_national_yearly!$D:$AM, 28, FALSE) / VLOOKUP("LULUCF|NOx|Respiratory hospital admissions", US_national_yearly!$D:$AM, 10, FALSE), 1)</f>
        <v>6.5241749237325347E-5</v>
      </c>
      <c r="U12" s="7">
        <f>$B12 * IFERROR(VLOOKUP("LULUCF|NOx|Respiratory hospital admissions", US_national_yearly!$D:$AM, 29, FALSE) / VLOOKUP("LULUCF|NOx|Respiratory hospital admissions", US_national_yearly!$D:$AM, 10, FALSE), 1)</f>
        <v>6.559725370104806E-5</v>
      </c>
      <c r="V12" s="7">
        <f>$B12 * IFERROR(VLOOKUP("LULUCF|NOx|Respiratory hospital admissions", US_national_yearly!$D:$AM, 30, FALSE) / VLOOKUP("LULUCF|NOx|Respiratory hospital admissions", US_national_yearly!$D:$AM, 10, FALSE), 1)</f>
        <v>6.5952758164770759E-5</v>
      </c>
      <c r="W12" s="7">
        <f>$B12 * IFERROR(VLOOKUP("LULUCF|NOx|Respiratory hospital admissions", US_national_yearly!$D:$AM, 31, FALSE) / VLOOKUP("LULUCF|NOx|Respiratory hospital admissions", US_national_yearly!$D:$AM, 10, FALSE), 1)</f>
        <v>6.6308262628493486E-5</v>
      </c>
      <c r="X12" s="7">
        <f>$B12 * IFERROR(VLOOKUP("LULUCF|NOx|Respiratory hospital admissions", US_national_yearly!$D:$AM, 32, FALSE) / VLOOKUP("LULUCF|NOx|Respiratory hospital admissions", US_national_yearly!$D:$AM, 10, FALSE), 1)</f>
        <v>6.6551203743557636E-5</v>
      </c>
      <c r="Y12" s="7">
        <f>$B12 * IFERROR(VLOOKUP("LULUCF|NOx|Respiratory hospital admissions", US_national_yearly!$D:$AM, 33, FALSE) / VLOOKUP("LULUCF|NOx|Respiratory hospital admissions", US_national_yearly!$D:$AM, 10, FALSE), 1)</f>
        <v>6.67941448586218E-5</v>
      </c>
      <c r="Z12" s="7">
        <f>$B12 * IFERROR(VLOOKUP("LULUCF|NOx|Respiratory hospital admissions", US_national_yearly!$D:$AM, 34, FALSE) / VLOOKUP("LULUCF|NOx|Respiratory hospital admissions", US_national_yearly!$D:$AM, 10, FALSE), 1)</f>
        <v>6.7037085973685963E-5</v>
      </c>
      <c r="AA12" s="7">
        <f>$B12 * IFERROR(VLOOKUP("LULUCF|NOx|Respiratory hospital admissions", US_national_yearly!$D:$AM, 35, FALSE) / VLOOKUP("LULUCF|NOx|Respiratory hospital admissions", US_national_yearly!$D:$AM, 10, FALSE), 1)</f>
        <v>6.7280027088750127E-5</v>
      </c>
      <c r="AB12" s="7">
        <f>$B12 * IFERROR(VLOOKUP("LULUCF|NOx|Respiratory hospital admissions", US_national_yearly!$D:$AM, 36, FALSE) / VLOOKUP("LULUCF|NOx|Respiratory hospital admissions", US_national_yearly!$D:$AM, 10, FALSE), 1)</f>
        <v>6.752296820381429E-5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3.0042650160579841E-4</v>
      </c>
      <c r="C13" s="7">
        <f>$B13 * IFERROR(VLOOKUP("LULUCF|NOx|Non-fatal heart attacks", US_national_yearly!$D:$AM, 11, FALSE) / VLOOKUP("LULUCF|NOx|Non-fatal heart attacks", US_national_yearly!$D:$AM, 10, FALSE), 1)</f>
        <v>3.0901543059407227E-4</v>
      </c>
      <c r="D13" s="7">
        <f>$B13 * IFERROR(VLOOKUP("LULUCF|NOx|Non-fatal heart attacks", US_national_yearly!$D:$AM, 12, FALSE) / VLOOKUP("LULUCF|NOx|Non-fatal heart attacks", US_national_yearly!$D:$AM, 10, FALSE), 1)</f>
        <v>3.1760435958234613E-4</v>
      </c>
      <c r="E13" s="7">
        <f>$B13 * IFERROR(VLOOKUP("LULUCF|NOx|Non-fatal heart attacks", US_national_yearly!$D:$AM, 13, FALSE) / VLOOKUP("LULUCF|NOx|Non-fatal heart attacks", US_national_yearly!$D:$AM, 10, FALSE), 1)</f>
        <v>3.2619328857061994E-4</v>
      </c>
      <c r="F13" s="7">
        <f>$B13 * IFERROR(VLOOKUP("LULUCF|NOx|Non-fatal heart attacks", US_national_yearly!$D:$AM, 14, FALSE) / VLOOKUP("LULUCF|NOx|Non-fatal heart attacks", US_national_yearly!$D:$AM, 10, FALSE), 1)</f>
        <v>3.347822175588938E-4</v>
      </c>
      <c r="G13" s="7">
        <f>$B13 * IFERROR(VLOOKUP("LULUCF|NOx|Non-fatal heart attacks", US_national_yearly!$D:$AM, 15, FALSE) / VLOOKUP("LULUCF|NOx|Non-fatal heart attacks", US_national_yearly!$D:$AM, 10, FALSE), 1)</f>
        <v>3.428085538476599E-4</v>
      </c>
      <c r="H13" s="7">
        <f>$B13 * IFERROR(VLOOKUP("LULUCF|NOx|Non-fatal heart attacks", US_national_yearly!$D:$AM, 16, FALSE) / VLOOKUP("LULUCF|NOx|Non-fatal heart attacks", US_national_yearly!$D:$AM, 10, FALSE), 1)</f>
        <v>3.50834890136426E-4</v>
      </c>
      <c r="I13" s="7">
        <f>$B13 * IFERROR(VLOOKUP("LULUCF|NOx|Non-fatal heart attacks", US_national_yearly!$D:$AM, 17, FALSE) / VLOOKUP("LULUCF|NOx|Non-fatal heart attacks", US_national_yearly!$D:$AM, 10, FALSE), 1)</f>
        <v>3.5716273880227636E-4</v>
      </c>
      <c r="J13" s="7">
        <f>$B13 * IFERROR(VLOOKUP("LULUCF|NOx|Non-fatal heart attacks", US_national_yearly!$D:$AM, 18, FALSE) / VLOOKUP("LULUCF|NOx|Non-fatal heart attacks", US_national_yearly!$D:$AM, 10, FALSE), 1)</f>
        <v>3.6349058746812678E-4</v>
      </c>
      <c r="K13" s="7">
        <f>$B13 * IFERROR(VLOOKUP("LULUCF|NOx|Non-fatal heart attacks", US_national_yearly!$D:$AM, 19, FALSE) / VLOOKUP("LULUCF|NOx|Non-fatal heart attacks", US_national_yearly!$D:$AM, 10, FALSE), 1)</f>
        <v>3.6981843613397697E-4</v>
      </c>
      <c r="L13" s="7">
        <f>$B13 * IFERROR(VLOOKUP("LULUCF|NOx|Non-fatal heart attacks", US_national_yearly!$D:$AM, 20, FALSE) / VLOOKUP("LULUCF|NOx|Non-fatal heart attacks", US_national_yearly!$D:$AM, 10, FALSE), 1)</f>
        <v>3.7614628479982755E-4</v>
      </c>
      <c r="M13" s="7">
        <f>$B13 * IFERROR(VLOOKUP("LULUCF|NOx|Non-fatal heart attacks", US_national_yearly!$D:$AM, 21, FALSE) / VLOOKUP("LULUCF|NOx|Non-fatal heart attacks", US_national_yearly!$D:$AM, 10, FALSE), 1)</f>
        <v>3.8247413346567785E-4</v>
      </c>
      <c r="N13" s="7">
        <f>$B13 * IFERROR(VLOOKUP("LULUCF|NOx|Non-fatal heart attacks", US_national_yearly!$D:$AM, 22, FALSE) / VLOOKUP("LULUCF|NOx|Non-fatal heart attacks", US_national_yearly!$D:$AM, 10, FALSE), 1)</f>
        <v>3.8628115912504792E-4</v>
      </c>
      <c r="O13" s="7">
        <f>$B13 * IFERROR(VLOOKUP("LULUCF|NOx|Non-fatal heart attacks", US_national_yearly!$D:$AM, 23, FALSE) / VLOOKUP("LULUCF|NOx|Non-fatal heart attacks", US_national_yearly!$D:$AM, 10, FALSE), 1)</f>
        <v>3.9008818478441799E-4</v>
      </c>
      <c r="P13" s="7">
        <f>$B13 * IFERROR(VLOOKUP("LULUCF|NOx|Non-fatal heart attacks", US_national_yearly!$D:$AM, 24, FALSE) / VLOOKUP("LULUCF|NOx|Non-fatal heart attacks", US_national_yearly!$D:$AM, 10, FALSE), 1)</f>
        <v>3.9389521044378795E-4</v>
      </c>
      <c r="Q13" s="7">
        <f>$B13 * IFERROR(VLOOKUP("LULUCF|NOx|Non-fatal heart attacks", US_national_yearly!$D:$AM, 25, FALSE) / VLOOKUP("LULUCF|NOx|Non-fatal heart attacks", US_national_yearly!$D:$AM, 10, FALSE), 1)</f>
        <v>3.9770223610315807E-4</v>
      </c>
      <c r="R13" s="7">
        <f>$B13 * IFERROR(VLOOKUP("LULUCF|NOx|Non-fatal heart attacks", US_national_yearly!$D:$AM, 26, FALSE) / VLOOKUP("LULUCF|NOx|Non-fatal heart attacks", US_national_yearly!$D:$AM, 10, FALSE), 1)</f>
        <v>4.0150926176252814E-4</v>
      </c>
      <c r="S13" s="7">
        <f>$B13 * IFERROR(VLOOKUP("LULUCF|NOx|Non-fatal heart attacks", US_national_yearly!$D:$AM, 27, FALSE) / VLOOKUP("LULUCF|NOx|Non-fatal heart attacks", US_national_yearly!$D:$AM, 10, FALSE), 1)</f>
        <v>4.0323615493242411E-4</v>
      </c>
      <c r="T13" s="7">
        <f>$B13 * IFERROR(VLOOKUP("LULUCF|NOx|Non-fatal heart attacks", US_national_yearly!$D:$AM, 28, FALSE) / VLOOKUP("LULUCF|NOx|Non-fatal heart attacks", US_national_yearly!$D:$AM, 10, FALSE), 1)</f>
        <v>4.0496304810232008E-4</v>
      </c>
      <c r="U13" s="7">
        <f>$B13 * IFERROR(VLOOKUP("LULUCF|NOx|Non-fatal heart attacks", US_national_yearly!$D:$AM, 29, FALSE) / VLOOKUP("LULUCF|NOx|Non-fatal heart attacks", US_national_yearly!$D:$AM, 10, FALSE), 1)</f>
        <v>4.0668994127221605E-4</v>
      </c>
      <c r="V13" s="7">
        <f>$B13 * IFERROR(VLOOKUP("LULUCF|NOx|Non-fatal heart attacks", US_national_yearly!$D:$AM, 30, FALSE) / VLOOKUP("LULUCF|NOx|Non-fatal heart attacks", US_national_yearly!$D:$AM, 10, FALSE), 1)</f>
        <v>4.0841683444211207E-4</v>
      </c>
      <c r="W13" s="7">
        <f>$B13 * IFERROR(VLOOKUP("LULUCF|NOx|Non-fatal heart attacks", US_national_yearly!$D:$AM, 31, FALSE) / VLOOKUP("LULUCF|NOx|Non-fatal heart attacks", US_national_yearly!$D:$AM, 10, FALSE), 1)</f>
        <v>4.1014372761200805E-4</v>
      </c>
      <c r="X13" s="7">
        <f>$B13 * IFERROR(VLOOKUP("LULUCF|NOx|Non-fatal heart attacks", US_national_yearly!$D:$AM, 32, FALSE) / VLOOKUP("LULUCF|NOx|Non-fatal heart attacks", US_national_yearly!$D:$AM, 10, FALSE), 1)</f>
        <v>4.1129772849416086E-4</v>
      </c>
      <c r="Y13" s="7">
        <f>$B13 * IFERROR(VLOOKUP("LULUCF|NOx|Non-fatal heart attacks", US_national_yearly!$D:$AM, 33, FALSE) / VLOOKUP("LULUCF|NOx|Non-fatal heart attacks", US_national_yearly!$D:$AM, 10, FALSE), 1)</f>
        <v>4.1245172937631373E-4</v>
      </c>
      <c r="Z13" s="7">
        <f>$B13 * IFERROR(VLOOKUP("LULUCF|NOx|Non-fatal heart attacks", US_national_yearly!$D:$AM, 34, FALSE) / VLOOKUP("LULUCF|NOx|Non-fatal heart attacks", US_national_yearly!$D:$AM, 10, FALSE), 1)</f>
        <v>4.1360573025846648E-4</v>
      </c>
      <c r="AA13" s="7">
        <f>$B13 * IFERROR(VLOOKUP("LULUCF|NOx|Non-fatal heart attacks", US_national_yearly!$D:$AM, 35, FALSE) / VLOOKUP("LULUCF|NOx|Non-fatal heart attacks", US_national_yearly!$D:$AM, 10, FALSE), 1)</f>
        <v>4.147597311406193E-4</v>
      </c>
      <c r="AB13" s="7">
        <f>$B13 * IFERROR(VLOOKUP("LULUCF|NOx|Non-fatal heart attacks", US_national_yearly!$D:$AM, 36, FALSE) / VLOOKUP("LULUCF|NOx|Non-fatal heart attacks", US_national_yearly!$D:$AM, 10, FALSE), 1)</f>
        <v>4.1591373202277222E-4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0.21699019102295294</v>
      </c>
      <c r="C14" s="7">
        <f>$B14 * IFERROR(VLOOKUP("LULUCF|NOx|Minor restricted activity days", US_national_yearly!$D:$AM, 11, FALSE) / VLOOKUP("LULUCF|NOx|Minor restricted activity days", US_national_yearly!$D:$AM, 10, FALSE), 1)</f>
        <v>0.21732287340078604</v>
      </c>
      <c r="D14" s="7">
        <f>$B14 * IFERROR(VLOOKUP("LULUCF|NOx|Minor restricted activity days", US_national_yearly!$D:$AM, 12, FALSE) / VLOOKUP("LULUCF|NOx|Minor restricted activity days", US_national_yearly!$D:$AM, 10, FALSE), 1)</f>
        <v>0.2176555557786192</v>
      </c>
      <c r="E14" s="7">
        <f>$B14 * IFERROR(VLOOKUP("LULUCF|NOx|Minor restricted activity days", US_national_yearly!$D:$AM, 13, FALSE) / VLOOKUP("LULUCF|NOx|Minor restricted activity days", US_national_yearly!$D:$AM, 10, FALSE), 1)</f>
        <v>0.21798823815645235</v>
      </c>
      <c r="F14" s="7">
        <f>$B14 * IFERROR(VLOOKUP("LULUCF|NOx|Minor restricted activity days", US_national_yearly!$D:$AM, 14, FALSE) / VLOOKUP("LULUCF|NOx|Minor restricted activity days", US_national_yearly!$D:$AM, 10, FALSE), 1)</f>
        <v>0.21832092053428545</v>
      </c>
      <c r="G14" s="7">
        <f>$B14 * IFERROR(VLOOKUP("LULUCF|NOx|Minor restricted activity days", US_national_yearly!$D:$AM, 15, FALSE) / VLOOKUP("LULUCF|NOx|Minor restricted activity days", US_national_yearly!$D:$AM, 10, FALSE), 1)</f>
        <v>0.21892166572344188</v>
      </c>
      <c r="H14" s="7">
        <f>$B14 * IFERROR(VLOOKUP("LULUCF|NOx|Minor restricted activity days", US_national_yearly!$D:$AM, 16, FALSE) / VLOOKUP("LULUCF|NOx|Minor restricted activity days", US_national_yearly!$D:$AM, 10, FALSE), 1)</f>
        <v>0.21952241091259825</v>
      </c>
      <c r="I14" s="7">
        <f>$B14 * IFERROR(VLOOKUP("LULUCF|NOx|Minor restricted activity days", US_national_yearly!$D:$AM, 17, FALSE) / VLOOKUP("LULUCF|NOx|Minor restricted activity days", US_national_yearly!$D:$AM, 10, FALSE), 1)</f>
        <v>0.22069744474666528</v>
      </c>
      <c r="J14" s="7">
        <f>$B14 * IFERROR(VLOOKUP("LULUCF|NOx|Minor restricted activity days", US_national_yearly!$D:$AM, 18, FALSE) / VLOOKUP("LULUCF|NOx|Minor restricted activity days", US_national_yearly!$D:$AM, 10, FALSE), 1)</f>
        <v>0.22187247858073222</v>
      </c>
      <c r="K14" s="7">
        <f>$B14 * IFERROR(VLOOKUP("LULUCF|NOx|Minor restricted activity days", US_national_yearly!$D:$AM, 19, FALSE) / VLOOKUP("LULUCF|NOx|Minor restricted activity days", US_national_yearly!$D:$AM, 10, FALSE), 1)</f>
        <v>0.22304751241479925</v>
      </c>
      <c r="L14" s="7">
        <f>$B14 * IFERROR(VLOOKUP("LULUCF|NOx|Minor restricted activity days", US_national_yearly!$D:$AM, 20, FALSE) / VLOOKUP("LULUCF|NOx|Minor restricted activity days", US_national_yearly!$D:$AM, 10, FALSE), 1)</f>
        <v>0.2242225462488662</v>
      </c>
      <c r="M14" s="7">
        <f>$B14 * IFERROR(VLOOKUP("LULUCF|NOx|Minor restricted activity days", US_national_yearly!$D:$AM, 21, FALSE) / VLOOKUP("LULUCF|NOx|Minor restricted activity days", US_national_yearly!$D:$AM, 10, FALSE), 1)</f>
        <v>0.22539758008293323</v>
      </c>
      <c r="N14" s="7">
        <f>$B14 * IFERROR(VLOOKUP("LULUCF|NOx|Minor restricted activity days", US_national_yearly!$D:$AM, 22, FALSE) / VLOOKUP("LULUCF|NOx|Minor restricted activity days", US_national_yearly!$D:$AM, 10, FALSE), 1)</f>
        <v>0.22707996210016609</v>
      </c>
      <c r="O14" s="7">
        <f>$B14 * IFERROR(VLOOKUP("LULUCF|NOx|Minor restricted activity days", US_national_yearly!$D:$AM, 23, FALSE) / VLOOKUP("LULUCF|NOx|Minor restricted activity days", US_national_yearly!$D:$AM, 10, FALSE), 1)</f>
        <v>0.22876234411739896</v>
      </c>
      <c r="P14" s="7">
        <f>$B14 * IFERROR(VLOOKUP("LULUCF|NOx|Minor restricted activity days", US_national_yearly!$D:$AM, 24, FALSE) / VLOOKUP("LULUCF|NOx|Minor restricted activity days", US_national_yearly!$D:$AM, 10, FALSE), 1)</f>
        <v>0.23044472613463182</v>
      </c>
      <c r="Q14" s="7">
        <f>$B14 * IFERROR(VLOOKUP("LULUCF|NOx|Minor restricted activity days", US_national_yearly!$D:$AM, 25, FALSE) / VLOOKUP("LULUCF|NOx|Minor restricted activity days", US_national_yearly!$D:$AM, 10, FALSE), 1)</f>
        <v>0.23212710815186469</v>
      </c>
      <c r="R14" s="7">
        <f>$B14 * IFERROR(VLOOKUP("LULUCF|NOx|Minor restricted activity days", US_national_yearly!$D:$AM, 26, FALSE) / VLOOKUP("LULUCF|NOx|Minor restricted activity days", US_national_yearly!$D:$AM, 10, FALSE), 1)</f>
        <v>0.23380949016909755</v>
      </c>
      <c r="S14" s="7">
        <f>$B14 * IFERROR(VLOOKUP("LULUCF|NOx|Minor restricted activity days", US_national_yearly!$D:$AM, 27, FALSE) / VLOOKUP("LULUCF|NOx|Minor restricted activity days", US_national_yearly!$D:$AM, 10, FALSE), 1)</f>
        <v>0.23549151846911215</v>
      </c>
      <c r="T14" s="7">
        <f>$B14 * IFERROR(VLOOKUP("LULUCF|NOx|Minor restricted activity days", US_national_yearly!$D:$AM, 28, FALSE) / VLOOKUP("LULUCF|NOx|Minor restricted activity days", US_national_yearly!$D:$AM, 10, FALSE), 1)</f>
        <v>0.23717354676912672</v>
      </c>
      <c r="U14" s="7">
        <f>$B14 * IFERROR(VLOOKUP("LULUCF|NOx|Minor restricted activity days", US_national_yearly!$D:$AM, 29, FALSE) / VLOOKUP("LULUCF|NOx|Minor restricted activity days", US_national_yearly!$D:$AM, 10, FALSE), 1)</f>
        <v>0.23885557506914135</v>
      </c>
      <c r="V14" s="7">
        <f>$B14 * IFERROR(VLOOKUP("LULUCF|NOx|Minor restricted activity days", US_national_yearly!$D:$AM, 30, FALSE) / VLOOKUP("LULUCF|NOx|Minor restricted activity days", US_national_yearly!$D:$AM, 10, FALSE), 1)</f>
        <v>0.24053760336915597</v>
      </c>
      <c r="W14" s="7">
        <f>$B14 * IFERROR(VLOOKUP("LULUCF|NOx|Minor restricted activity days", US_national_yearly!$D:$AM, 31, FALSE) / VLOOKUP("LULUCF|NOx|Minor restricted activity days", US_national_yearly!$D:$AM, 10, FALSE), 1)</f>
        <v>0.24221963166917052</v>
      </c>
      <c r="X14" s="7">
        <f>$B14 * IFERROR(VLOOKUP("LULUCF|NOx|Minor restricted activity days", US_national_yearly!$D:$AM, 32, FALSE) / VLOOKUP("LULUCF|NOx|Minor restricted activity days", US_national_yearly!$D:$AM, 10, FALSE), 1)</f>
        <v>0.24364172251856892</v>
      </c>
      <c r="Y14" s="7">
        <f>$B14 * IFERROR(VLOOKUP("LULUCF|NOx|Minor restricted activity days", US_national_yearly!$D:$AM, 33, FALSE) / VLOOKUP("LULUCF|NOx|Minor restricted activity days", US_national_yearly!$D:$AM, 10, FALSE), 1)</f>
        <v>0.24506381336796731</v>
      </c>
      <c r="Z14" s="7">
        <f>$B14 * IFERROR(VLOOKUP("LULUCF|NOx|Minor restricted activity days", US_national_yearly!$D:$AM, 34, FALSE) / VLOOKUP("LULUCF|NOx|Minor restricted activity days", US_national_yearly!$D:$AM, 10, FALSE), 1)</f>
        <v>0.24648590421736571</v>
      </c>
      <c r="AA14" s="7">
        <f>$B14 * IFERROR(VLOOKUP("LULUCF|NOx|Minor restricted activity days", US_national_yearly!$D:$AM, 35, FALSE) / VLOOKUP("LULUCF|NOx|Minor restricted activity days", US_national_yearly!$D:$AM, 10, FALSE), 1)</f>
        <v>0.24790799506676411</v>
      </c>
      <c r="AB14" s="7">
        <f>$B14 * IFERROR(VLOOKUP("LULUCF|NOx|Minor restricted activity days", US_national_yearly!$D:$AM, 36, FALSE) / VLOOKUP("LULUCF|NOx|Minor restricted activity days", US_national_yearly!$D:$AM, 10, FALSE), 1)</f>
        <v>0.24933008591616251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3.6817863910894158E-2</v>
      </c>
      <c r="C15" s="7">
        <f>$B15 * IFERROR(VLOOKUP("LULUCF|NOx|Work loss days", US_national_yearly!$D:$AM, 11, FALSE) / VLOOKUP("LULUCF|NOx|Work loss days", US_national_yearly!$D:$AM, 10, FALSE), 1)</f>
        <v>3.6899763268487977E-2</v>
      </c>
      <c r="D15" s="7">
        <f>$B15 * IFERROR(VLOOKUP("LULUCF|NOx|Work loss days", US_national_yearly!$D:$AM, 12, FALSE) / VLOOKUP("LULUCF|NOx|Work loss days", US_national_yearly!$D:$AM, 10, FALSE), 1)</f>
        <v>3.698166262608181E-2</v>
      </c>
      <c r="E15" s="7">
        <f>$B15 * IFERROR(VLOOKUP("LULUCF|NOx|Work loss days", US_national_yearly!$D:$AM, 13, FALSE) / VLOOKUP("LULUCF|NOx|Work loss days", US_national_yearly!$D:$AM, 10, FALSE), 1)</f>
        <v>3.7063561983675629E-2</v>
      </c>
      <c r="F15" s="7">
        <f>$B15 * IFERROR(VLOOKUP("LULUCF|NOx|Work loss days", US_national_yearly!$D:$AM, 14, FALSE) / VLOOKUP("LULUCF|NOx|Work loss days", US_national_yearly!$D:$AM, 10, FALSE), 1)</f>
        <v>3.7145461341269462E-2</v>
      </c>
      <c r="G15" s="7">
        <f>$B15 * IFERROR(VLOOKUP("LULUCF|NOx|Work loss days", US_national_yearly!$D:$AM, 15, FALSE) / VLOOKUP("LULUCF|NOx|Work loss days", US_national_yearly!$D:$AM, 10, FALSE), 1)</f>
        <v>3.7265035101994325E-2</v>
      </c>
      <c r="H15" s="7">
        <f>$B15 * IFERROR(VLOOKUP("LULUCF|NOx|Work loss days", US_national_yearly!$D:$AM, 16, FALSE) / VLOOKUP("LULUCF|NOx|Work loss days", US_national_yearly!$D:$AM, 10, FALSE), 1)</f>
        <v>3.7384608862719201E-2</v>
      </c>
      <c r="I15" s="7">
        <f>$B15 * IFERROR(VLOOKUP("LULUCF|NOx|Work loss days", US_national_yearly!$D:$AM, 17, FALSE) / VLOOKUP("LULUCF|NOx|Work loss days", US_national_yearly!$D:$AM, 10, FALSE), 1)</f>
        <v>3.7578311874648038E-2</v>
      </c>
      <c r="J15" s="7">
        <f>$B15 * IFERROR(VLOOKUP("LULUCF|NOx|Work loss days", US_national_yearly!$D:$AM, 18, FALSE) / VLOOKUP("LULUCF|NOx|Work loss days", US_national_yearly!$D:$AM, 10, FALSE), 1)</f>
        <v>3.7772014886576888E-2</v>
      </c>
      <c r="K15" s="7">
        <f>$B15 * IFERROR(VLOOKUP("LULUCF|NOx|Work loss days", US_national_yearly!$D:$AM, 19, FALSE) / VLOOKUP("LULUCF|NOx|Work loss days", US_national_yearly!$D:$AM, 10, FALSE), 1)</f>
        <v>3.7965717898505724E-2</v>
      </c>
      <c r="L15" s="7">
        <f>$B15 * IFERROR(VLOOKUP("LULUCF|NOx|Work loss days", US_national_yearly!$D:$AM, 20, FALSE) / VLOOKUP("LULUCF|NOx|Work loss days", US_national_yearly!$D:$AM, 10, FALSE), 1)</f>
        <v>3.8159420910434561E-2</v>
      </c>
      <c r="M15" s="7">
        <f>$B15 * IFERROR(VLOOKUP("LULUCF|NOx|Work loss days", US_national_yearly!$D:$AM, 21, FALSE) / VLOOKUP("LULUCF|NOx|Work loss days", US_national_yearly!$D:$AM, 10, FALSE), 1)</f>
        <v>3.8353123922363411E-2</v>
      </c>
      <c r="N15" s="7">
        <f>$B15 * IFERROR(VLOOKUP("LULUCF|NOx|Work loss days", US_national_yearly!$D:$AM, 22, FALSE) / VLOOKUP("LULUCF|NOx|Work loss days", US_national_yearly!$D:$AM, 10, FALSE), 1)</f>
        <v>3.8605216506242539E-2</v>
      </c>
      <c r="O15" s="7">
        <f>$B15 * IFERROR(VLOOKUP("LULUCF|NOx|Work loss days", US_national_yearly!$D:$AM, 23, FALSE) / VLOOKUP("LULUCF|NOx|Work loss days", US_national_yearly!$D:$AM, 10, FALSE), 1)</f>
        <v>3.885730909012166E-2</v>
      </c>
      <c r="P15" s="7">
        <f>$B15 * IFERROR(VLOOKUP("LULUCF|NOx|Work loss days", US_national_yearly!$D:$AM, 24, FALSE) / VLOOKUP("LULUCF|NOx|Work loss days", US_national_yearly!$D:$AM, 10, FALSE), 1)</f>
        <v>3.9109401674000788E-2</v>
      </c>
      <c r="Q15" s="7">
        <f>$B15 * IFERROR(VLOOKUP("LULUCF|NOx|Work loss days", US_national_yearly!$D:$AM, 25, FALSE) / VLOOKUP("LULUCF|NOx|Work loss days", US_national_yearly!$D:$AM, 10, FALSE), 1)</f>
        <v>3.9361494257879909E-2</v>
      </c>
      <c r="R15" s="7">
        <f>$B15 * IFERROR(VLOOKUP("LULUCF|NOx|Work loss days", US_national_yearly!$D:$AM, 26, FALSE) / VLOOKUP("LULUCF|NOx|Work loss days", US_national_yearly!$D:$AM, 10, FALSE), 1)</f>
        <v>3.9613586841759044E-2</v>
      </c>
      <c r="S15" s="7">
        <f>$B15 * IFERROR(VLOOKUP("LULUCF|NOx|Work loss days", US_national_yearly!$D:$AM, 27, FALSE) / VLOOKUP("LULUCF|NOx|Work loss days", US_national_yearly!$D:$AM, 10, FALSE), 1)</f>
        <v>3.989463783972113E-2</v>
      </c>
      <c r="T15" s="7">
        <f>$B15 * IFERROR(VLOOKUP("LULUCF|NOx|Work loss days", US_national_yearly!$D:$AM, 28, FALSE) / VLOOKUP("LULUCF|NOx|Work loss days", US_national_yearly!$D:$AM, 10, FALSE), 1)</f>
        <v>4.0175688837683216E-2</v>
      </c>
      <c r="U15" s="7">
        <f>$B15 * IFERROR(VLOOKUP("LULUCF|NOx|Work loss days", US_national_yearly!$D:$AM, 29, FALSE) / VLOOKUP("LULUCF|NOx|Work loss days", US_national_yearly!$D:$AM, 10, FALSE), 1)</f>
        <v>4.0456739835645295E-2</v>
      </c>
      <c r="V15" s="7">
        <f>$B15 * IFERROR(VLOOKUP("LULUCF|NOx|Work loss days", US_national_yearly!$D:$AM, 30, FALSE) / VLOOKUP("LULUCF|NOx|Work loss days", US_national_yearly!$D:$AM, 10, FALSE), 1)</f>
        <v>4.073779083360738E-2</v>
      </c>
      <c r="W15" s="7">
        <f>$B15 * IFERROR(VLOOKUP("LULUCF|NOx|Work loss days", US_national_yearly!$D:$AM, 31, FALSE) / VLOOKUP("LULUCF|NOx|Work loss days", US_national_yearly!$D:$AM, 10, FALSE), 1)</f>
        <v>4.1018841831569466E-2</v>
      </c>
      <c r="X15" s="7">
        <f>$B15 * IFERROR(VLOOKUP("LULUCF|NOx|Work loss days", US_national_yearly!$D:$AM, 32, FALSE) / VLOOKUP("LULUCF|NOx|Work loss days", US_national_yearly!$D:$AM, 10, FALSE), 1)</f>
        <v>4.1262779113077408E-2</v>
      </c>
      <c r="Y15" s="7">
        <f>$B15 * IFERROR(VLOOKUP("LULUCF|NOx|Work loss days", US_national_yearly!$D:$AM, 33, FALSE) / VLOOKUP("LULUCF|NOx|Work loss days", US_national_yearly!$D:$AM, 10, FALSE), 1)</f>
        <v>4.150671639458535E-2</v>
      </c>
      <c r="Z15" s="7">
        <f>$B15 * IFERROR(VLOOKUP("LULUCF|NOx|Work loss days", US_national_yearly!$D:$AM, 34, FALSE) / VLOOKUP("LULUCF|NOx|Work loss days", US_national_yearly!$D:$AM, 10, FALSE), 1)</f>
        <v>4.1750653676093298E-2</v>
      </c>
      <c r="AA15" s="7">
        <f>$B15 * IFERROR(VLOOKUP("LULUCF|NOx|Work loss days", US_national_yearly!$D:$AM, 35, FALSE) / VLOOKUP("LULUCF|NOx|Work loss days", US_national_yearly!$D:$AM, 10, FALSE), 1)</f>
        <v>4.199459095760124E-2</v>
      </c>
      <c r="AB15" s="7">
        <f>$B15 * IFERROR(VLOOKUP("LULUCF|NOx|Work loss days", US_national_yearly!$D:$AM, 36, FALSE) / VLOOKUP("LULUCF|NOx|Work loss days", US_national_yearly!$D:$AM, 10, FALSE), 1)</f>
        <v>4.2238528239109181E-2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7.5690234012829366E-5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7.7914363663832771E-5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8.0138493314836162E-5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8.236262296583954E-5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8.4586752616842945E-5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8.6699307970748111E-5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8.8811863324653303E-5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9.0588359402840788E-5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9.2364855481028273E-5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9.4141351559215759E-5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9.5917847637403244E-5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9.7694343715590742E-5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9.8805245577098438E-5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9.9916147438606161E-5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1.0102704930011386E-4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1.0213795116162157E-4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1.0324885302312926E-4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1.0375572703663611E-4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1.0426260105014295E-4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1.0476947506364977E-4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1.0527634907715661E-4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1.0578322309066346E-4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1.0606531605230684E-4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1.0634740901395021E-4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1.0662950197559359E-4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1.0691159493723697E-4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1.0719368789888034E-4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6.3789681976564002E-4</v>
      </c>
      <c r="C2" s="7">
        <f>$B2 * IFERROR(VLOOKUP("LULUCF|SO2|Premature mortality", US_national_yearly!$D:$AM, 11, FALSE) / VLOOKUP("LULUCF|SO2|Premature mortality", US_national_yearly!$D:$AM, 10, FALSE), 1)</f>
        <v>6.4597543784469206E-4</v>
      </c>
      <c r="D2" s="7">
        <f>$B2 * IFERROR(VLOOKUP("LULUCF|SO2|Premature mortality", US_national_yearly!$D:$AM, 12, FALSE) / VLOOKUP("LULUCF|SO2|Premature mortality", US_national_yearly!$D:$AM, 10, FALSE), 1)</f>
        <v>6.5405405592374431E-4</v>
      </c>
      <c r="E2" s="7">
        <f>$B2 * IFERROR(VLOOKUP("LULUCF|SO2|Premature mortality", US_national_yearly!$D:$AM, 13, FALSE) / VLOOKUP("LULUCF|SO2|Premature mortality", US_national_yearly!$D:$AM, 10, FALSE), 1)</f>
        <v>6.6213267400279635E-4</v>
      </c>
      <c r="F2" s="7">
        <f>$B2 * IFERROR(VLOOKUP("LULUCF|SO2|Premature mortality", US_national_yearly!$D:$AM, 14, FALSE) / VLOOKUP("LULUCF|SO2|Premature mortality", US_national_yearly!$D:$AM, 10, FALSE), 1)</f>
        <v>6.7021129208184849E-4</v>
      </c>
      <c r="G2" s="7">
        <f>$B2 * IFERROR(VLOOKUP("LULUCF|SO2|Premature mortality", US_national_yearly!$D:$AM, 15, FALSE) / VLOOKUP("LULUCF|SO2|Premature mortality", US_national_yearly!$D:$AM, 10, FALSE), 1)</f>
        <v>6.8577833127377854E-4</v>
      </c>
      <c r="H2" s="7">
        <f>$B2 * IFERROR(VLOOKUP("LULUCF|SO2|Premature mortality", US_national_yearly!$D:$AM, 16, FALSE) / VLOOKUP("LULUCF|SO2|Premature mortality", US_national_yearly!$D:$AM, 10, FALSE), 1)</f>
        <v>7.0134537046570849E-4</v>
      </c>
      <c r="I2" s="7">
        <f>$B2 * IFERROR(VLOOKUP("LULUCF|SO2|Premature mortality", US_national_yearly!$D:$AM, 17, FALSE) / VLOOKUP("LULUCF|SO2|Premature mortality", US_national_yearly!$D:$AM, 10, FALSE), 1)</f>
        <v>7.1163302381879766E-4</v>
      </c>
      <c r="J2" s="7">
        <f>$B2 * IFERROR(VLOOKUP("LULUCF|SO2|Premature mortality", US_national_yearly!$D:$AM, 18, FALSE) / VLOOKUP("LULUCF|SO2|Premature mortality", US_national_yearly!$D:$AM, 10, FALSE), 1)</f>
        <v>7.2192067717188684E-4</v>
      </c>
      <c r="K2" s="7">
        <f>$B2 * IFERROR(VLOOKUP("LULUCF|SO2|Premature mortality", US_national_yearly!$D:$AM, 19, FALSE) / VLOOKUP("LULUCF|SO2|Premature mortality", US_national_yearly!$D:$AM, 10, FALSE), 1)</f>
        <v>7.3220833052497602E-4</v>
      </c>
      <c r="L2" s="7">
        <f>$B2 * IFERROR(VLOOKUP("LULUCF|SO2|Premature mortality", US_national_yearly!$D:$AM, 20, FALSE) / VLOOKUP("LULUCF|SO2|Premature mortality", US_national_yearly!$D:$AM, 10, FALSE), 1)</f>
        <v>7.424959838780652E-4</v>
      </c>
      <c r="M2" s="7">
        <f>$B2 * IFERROR(VLOOKUP("LULUCF|SO2|Premature mortality", US_national_yearly!$D:$AM, 21, FALSE) / VLOOKUP("LULUCF|SO2|Premature mortality", US_national_yearly!$D:$AM, 10, FALSE), 1)</f>
        <v>7.5278363723115438E-4</v>
      </c>
      <c r="N2" s="7">
        <f>$B2 * IFERROR(VLOOKUP("LULUCF|SO2|Premature mortality", US_national_yearly!$D:$AM, 22, FALSE) / VLOOKUP("LULUCF|SO2|Premature mortality", US_national_yearly!$D:$AM, 10, FALSE), 1)</f>
        <v>7.6082185153088884E-4</v>
      </c>
      <c r="O2" s="7">
        <f>$B2 * IFERROR(VLOOKUP("LULUCF|SO2|Premature mortality", US_national_yearly!$D:$AM, 23, FALSE) / VLOOKUP("LULUCF|SO2|Premature mortality", US_national_yearly!$D:$AM, 10, FALSE), 1)</f>
        <v>7.688600658306233E-4</v>
      </c>
      <c r="P2" s="7">
        <f>$B2 * IFERROR(VLOOKUP("LULUCF|SO2|Premature mortality", US_national_yearly!$D:$AM, 24, FALSE) / VLOOKUP("LULUCF|SO2|Premature mortality", US_national_yearly!$D:$AM, 10, FALSE), 1)</f>
        <v>7.7689828013035775E-4</v>
      </c>
      <c r="Q2" s="7">
        <f>$B2 * IFERROR(VLOOKUP("LULUCF|SO2|Premature mortality", US_national_yearly!$D:$AM, 25, FALSE) / VLOOKUP("LULUCF|SO2|Premature mortality", US_national_yearly!$D:$AM, 10, FALSE), 1)</f>
        <v>7.8493649443009221E-4</v>
      </c>
      <c r="R2" s="7">
        <f>$B2 * IFERROR(VLOOKUP("LULUCF|SO2|Premature mortality", US_national_yearly!$D:$AM, 26, FALSE) / VLOOKUP("LULUCF|SO2|Premature mortality", US_national_yearly!$D:$AM, 10, FALSE), 1)</f>
        <v>7.9297470872982645E-4</v>
      </c>
      <c r="S2" s="7">
        <f>$B2 * IFERROR(VLOOKUP("LULUCF|SO2|Premature mortality", US_national_yearly!$D:$AM, 27, FALSE) / VLOOKUP("LULUCF|SO2|Premature mortality", US_national_yearly!$D:$AM, 10, FALSE), 1)</f>
        <v>7.9727927951775933E-4</v>
      </c>
      <c r="T2" s="7">
        <f>$B2 * IFERROR(VLOOKUP("LULUCF|SO2|Premature mortality", US_national_yearly!$D:$AM, 28, FALSE) / VLOOKUP("LULUCF|SO2|Premature mortality", US_national_yearly!$D:$AM, 10, FALSE), 1)</f>
        <v>8.0158385030569199E-4</v>
      </c>
      <c r="U2" s="7">
        <f>$B2 * IFERROR(VLOOKUP("LULUCF|SO2|Premature mortality", US_national_yearly!$D:$AM, 29, FALSE) / VLOOKUP("LULUCF|SO2|Premature mortality", US_national_yearly!$D:$AM, 10, FALSE), 1)</f>
        <v>8.0588842109362464E-4</v>
      </c>
      <c r="V2" s="7">
        <f>$B2 * IFERROR(VLOOKUP("LULUCF|SO2|Premature mortality", US_national_yearly!$D:$AM, 30, FALSE) / VLOOKUP("LULUCF|SO2|Premature mortality", US_national_yearly!$D:$AM, 10, FALSE), 1)</f>
        <v>8.1019299188155741E-4</v>
      </c>
      <c r="W2" s="7">
        <f>$B2 * IFERROR(VLOOKUP("LULUCF|SO2|Premature mortality", US_national_yearly!$D:$AM, 31, FALSE) / VLOOKUP("LULUCF|SO2|Premature mortality", US_national_yearly!$D:$AM, 10, FALSE), 1)</f>
        <v>8.1449756266949017E-4</v>
      </c>
      <c r="X2" s="7">
        <f>$B2 * IFERROR(VLOOKUP("LULUCF|SO2|Premature mortality", US_national_yearly!$D:$AM, 32, FALSE) / VLOOKUP("LULUCF|SO2|Premature mortality", US_national_yearly!$D:$AM, 10, FALSE), 1)</f>
        <v>8.1537204939175054E-4</v>
      </c>
      <c r="Y2" s="7">
        <f>$B2 * IFERROR(VLOOKUP("LULUCF|SO2|Premature mortality", US_national_yearly!$D:$AM, 33, FALSE) / VLOOKUP("LULUCF|SO2|Premature mortality", US_national_yearly!$D:$AM, 10, FALSE), 1)</f>
        <v>8.16246536114011E-4</v>
      </c>
      <c r="Z2" s="7">
        <f>$B2 * IFERROR(VLOOKUP("LULUCF|SO2|Premature mortality", US_national_yearly!$D:$AM, 34, FALSE) / VLOOKUP("LULUCF|SO2|Premature mortality", US_national_yearly!$D:$AM, 10, FALSE), 1)</f>
        <v>8.1712102283627158E-4</v>
      </c>
      <c r="AA2" s="7">
        <f>$B2 * IFERROR(VLOOKUP("LULUCF|SO2|Premature mortality", US_national_yearly!$D:$AM, 35, FALSE) / VLOOKUP("LULUCF|SO2|Premature mortality", US_national_yearly!$D:$AM, 10, FALSE), 1)</f>
        <v>8.1799550955853205E-4</v>
      </c>
      <c r="AB2" s="7">
        <f>$B2 * IFERROR(VLOOKUP("LULUCF|SO2|Premature mortality", US_national_yearly!$D:$AM, 36, FALSE) / VLOOKUP("LULUCF|SO2|Premature mortality", US_national_yearly!$D:$AM, 10, FALSE), 1)</f>
        <v>8.1886999628079241E-4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1.7125351650583465E-6</v>
      </c>
      <c r="C3" s="7">
        <f>$B3 * IFERROR(VLOOKUP("LULUCF|SO2|Infant mortality", US_national_yearly!$D:$AM, 11, FALSE) / VLOOKUP("LULUCF|SO2|Infant mortality", US_national_yearly!$D:$AM, 10, FALSE), 1)</f>
        <v>1.6978241756145406E-6</v>
      </c>
      <c r="D3" s="7">
        <f>$B3 * IFERROR(VLOOKUP("LULUCF|SO2|Infant mortality", US_national_yearly!$D:$AM, 12, FALSE) / VLOOKUP("LULUCF|SO2|Infant mortality", US_national_yearly!$D:$AM, 10, FALSE), 1)</f>
        <v>1.6831131861707352E-6</v>
      </c>
      <c r="E3" s="7">
        <f>$B3 * IFERROR(VLOOKUP("LULUCF|SO2|Infant mortality", US_national_yearly!$D:$AM, 13, FALSE) / VLOOKUP("LULUCF|SO2|Infant mortality", US_national_yearly!$D:$AM, 10, FALSE), 1)</f>
        <v>1.6684021967269291E-6</v>
      </c>
      <c r="F3" s="7">
        <f>$B3 * IFERROR(VLOOKUP("LULUCF|SO2|Infant mortality", US_national_yearly!$D:$AM, 14, FALSE) / VLOOKUP("LULUCF|SO2|Infant mortality", US_national_yearly!$D:$AM, 10, FALSE), 1)</f>
        <v>1.6536912072831236E-6</v>
      </c>
      <c r="G3" s="7">
        <f>$B3 * IFERROR(VLOOKUP("LULUCF|SO2|Infant mortality", US_national_yearly!$D:$AM, 15, FALSE) / VLOOKUP("LULUCF|SO2|Infant mortality", US_national_yearly!$D:$AM, 10, FALSE), 1)</f>
        <v>1.1014915349543695E-6</v>
      </c>
      <c r="H3" s="7">
        <f>$B3 * IFERROR(VLOOKUP("LULUCF|SO2|Infant mortality", US_national_yearly!$D:$AM, 16, FALSE) / VLOOKUP("LULUCF|SO2|Infant mortality", US_national_yearly!$D:$AM, 10, FALSE), 1)</f>
        <v>5.4929186262561652E-7</v>
      </c>
      <c r="I3" s="7">
        <f>$B3 * IFERROR(VLOOKUP("LULUCF|SO2|Infant mortality", US_national_yearly!$D:$AM, 17, FALSE) / VLOOKUP("LULUCF|SO2|Infant mortality", US_national_yearly!$D:$AM, 10, FALSE), 1)</f>
        <v>5.458459888994648E-7</v>
      </c>
      <c r="J3" s="7">
        <f>$B3 * IFERROR(VLOOKUP("LULUCF|SO2|Infant mortality", US_national_yearly!$D:$AM, 18, FALSE) / VLOOKUP("LULUCF|SO2|Infant mortality", US_national_yearly!$D:$AM, 10, FALSE), 1)</f>
        <v>5.4240011517331309E-7</v>
      </c>
      <c r="K3" s="7">
        <f>$B3 * IFERROR(VLOOKUP("LULUCF|SO2|Infant mortality", US_national_yearly!$D:$AM, 19, FALSE) / VLOOKUP("LULUCF|SO2|Infant mortality", US_national_yearly!$D:$AM, 10, FALSE), 1)</f>
        <v>5.3895424144716147E-7</v>
      </c>
      <c r="L3" s="7">
        <f>$B3 * IFERROR(VLOOKUP("LULUCF|SO2|Infant mortality", US_national_yearly!$D:$AM, 20, FALSE) / VLOOKUP("LULUCF|SO2|Infant mortality", US_national_yearly!$D:$AM, 10, FALSE), 1)</f>
        <v>5.3550836772100986E-7</v>
      </c>
      <c r="M3" s="7">
        <f>$B3 * IFERROR(VLOOKUP("LULUCF|SO2|Infant mortality", US_national_yearly!$D:$AM, 21, FALSE) / VLOOKUP("LULUCF|SO2|Infant mortality", US_national_yearly!$D:$AM, 10, FALSE), 1)</f>
        <v>5.3206249399485825E-7</v>
      </c>
      <c r="N3" s="7">
        <f>$B3 * IFERROR(VLOOKUP("LULUCF|SO2|Infant mortality", US_national_yearly!$D:$AM, 22, FALSE) / VLOOKUP("LULUCF|SO2|Infant mortality", US_national_yearly!$D:$AM, 10, FALSE), 1)</f>
        <v>5.298995448550455E-7</v>
      </c>
      <c r="O3" s="7">
        <f>$B3 * IFERROR(VLOOKUP("LULUCF|SO2|Infant mortality", US_national_yearly!$D:$AM, 23, FALSE) / VLOOKUP("LULUCF|SO2|Infant mortality", US_national_yearly!$D:$AM, 10, FALSE), 1)</f>
        <v>5.2773659571523274E-7</v>
      </c>
      <c r="P3" s="7">
        <f>$B3 * IFERROR(VLOOKUP("LULUCF|SO2|Infant mortality", US_national_yearly!$D:$AM, 24, FALSE) / VLOOKUP("LULUCF|SO2|Infant mortality", US_national_yearly!$D:$AM, 10, FALSE), 1)</f>
        <v>5.2557364657541987E-7</v>
      </c>
      <c r="Q3" s="7">
        <f>$B3 * IFERROR(VLOOKUP("LULUCF|SO2|Infant mortality", US_national_yearly!$D:$AM, 25, FALSE) / VLOOKUP("LULUCF|SO2|Infant mortality", US_national_yearly!$D:$AM, 10, FALSE), 1)</f>
        <v>5.2341069743560722E-7</v>
      </c>
      <c r="R3" s="7">
        <f>$B3 * IFERROR(VLOOKUP("LULUCF|SO2|Infant mortality", US_national_yearly!$D:$AM, 26, FALSE) / VLOOKUP("LULUCF|SO2|Infant mortality", US_national_yearly!$D:$AM, 10, FALSE), 1)</f>
        <v>5.2124774829579436E-7</v>
      </c>
      <c r="S3" s="7">
        <f>$B3 * IFERROR(VLOOKUP("LULUCF|SO2|Infant mortality", US_national_yearly!$D:$AM, 27, FALSE) / VLOOKUP("LULUCF|SO2|Infant mortality", US_national_yearly!$D:$AM, 10, FALSE), 1)</f>
        <v>5.1853203388107725E-7</v>
      </c>
      <c r="T3" s="7">
        <f>$B3 * IFERROR(VLOOKUP("LULUCF|SO2|Infant mortality", US_national_yearly!$D:$AM, 28, FALSE) / VLOOKUP("LULUCF|SO2|Infant mortality", US_national_yearly!$D:$AM, 10, FALSE), 1)</f>
        <v>5.1581631946636005E-7</v>
      </c>
      <c r="U3" s="7">
        <f>$B3 * IFERROR(VLOOKUP("LULUCF|SO2|Infant mortality", US_national_yearly!$D:$AM, 29, FALSE) / VLOOKUP("LULUCF|SO2|Infant mortality", US_national_yearly!$D:$AM, 10, FALSE), 1)</f>
        <v>5.1310060505164273E-7</v>
      </c>
      <c r="V3" s="7">
        <f>$B3 * IFERROR(VLOOKUP("LULUCF|SO2|Infant mortality", US_national_yearly!$D:$AM, 30, FALSE) / VLOOKUP("LULUCF|SO2|Infant mortality", US_national_yearly!$D:$AM, 10, FALSE), 1)</f>
        <v>5.1038489063692574E-7</v>
      </c>
      <c r="W3" s="7">
        <f>$B3 * IFERROR(VLOOKUP("LULUCF|SO2|Infant mortality", US_national_yearly!$D:$AM, 31, FALSE) / VLOOKUP("LULUCF|SO2|Infant mortality", US_national_yearly!$D:$AM, 10, FALSE), 1)</f>
        <v>5.0766917622220853E-7</v>
      </c>
      <c r="X3" s="7">
        <f>$B3 * IFERROR(VLOOKUP("LULUCF|SO2|Infant mortality", US_national_yearly!$D:$AM, 32, FALSE) / VLOOKUP("LULUCF|SO2|Infant mortality", US_national_yearly!$D:$AM, 10, FALSE), 1)</f>
        <v>5.0470006210172784E-7</v>
      </c>
      <c r="Y3" s="7">
        <f>$B3 * IFERROR(VLOOKUP("LULUCF|SO2|Infant mortality", US_national_yearly!$D:$AM, 33, FALSE) / VLOOKUP("LULUCF|SO2|Infant mortality", US_national_yearly!$D:$AM, 10, FALSE), 1)</f>
        <v>5.0173094798124704E-7</v>
      </c>
      <c r="Z3" s="7">
        <f>$B3 * IFERROR(VLOOKUP("LULUCF|SO2|Infant mortality", US_national_yearly!$D:$AM, 34, FALSE) / VLOOKUP("LULUCF|SO2|Infant mortality", US_national_yearly!$D:$AM, 10, FALSE), 1)</f>
        <v>4.9876183386076635E-7</v>
      </c>
      <c r="AA3" s="7">
        <f>$B3 * IFERROR(VLOOKUP("LULUCF|SO2|Infant mortality", US_national_yearly!$D:$AM, 35, FALSE) / VLOOKUP("LULUCF|SO2|Infant mortality", US_national_yearly!$D:$AM, 10, FALSE), 1)</f>
        <v>4.9579271974028555E-7</v>
      </c>
      <c r="AB3" s="7">
        <f>$B3 * IFERROR(VLOOKUP("LULUCF|SO2|Infant mortality", US_national_yearly!$D:$AM, 36, FALSE) / VLOOKUP("LULUCF|SO2|Infant mortality", US_national_yearly!$D:$AM, 10, FALSE), 1)</f>
        <v>4.9282360561980497E-7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1.7019630154601021E-3</v>
      </c>
      <c r="C6" s="7">
        <f>$B6 * IFERROR(VLOOKUP("LULUCF|SO2|Asthma symptoms cough", US_national_yearly!$D:$AM, 11, FALSE) / VLOOKUP("LULUCF|SO2|Asthma symptoms cough", US_national_yearly!$D:$AM, 10, FALSE), 1)</f>
        <v>1.7019630154601021E-3</v>
      </c>
      <c r="D6" s="7">
        <f>$B6 * IFERROR(VLOOKUP("LULUCF|SO2|Asthma symptoms cough", US_national_yearly!$D:$AM, 12, FALSE) / VLOOKUP("LULUCF|SO2|Asthma symptoms cough", US_national_yearly!$D:$AM, 10, FALSE), 1)</f>
        <v>1.7019630154601021E-3</v>
      </c>
      <c r="E6" s="7">
        <f>$B6 * IFERROR(VLOOKUP("LULUCF|SO2|Asthma symptoms cough", US_national_yearly!$D:$AM, 13, FALSE) / VLOOKUP("LULUCF|SO2|Asthma symptoms cough", US_national_yearly!$D:$AM, 10, FALSE), 1)</f>
        <v>1.7019630154601021E-3</v>
      </c>
      <c r="F6" s="7">
        <f>$B6 * IFERROR(VLOOKUP("LULUCF|SO2|Asthma symptoms cough", US_national_yearly!$D:$AM, 14, FALSE) / VLOOKUP("LULUCF|SO2|Asthma symptoms cough", US_national_yearly!$D:$AM, 10, FALSE), 1)</f>
        <v>1.7019630154601021E-3</v>
      </c>
      <c r="G6" s="7">
        <f>$B6 * IFERROR(VLOOKUP("LULUCF|SO2|Asthma symptoms cough", US_national_yearly!$D:$AM, 15, FALSE) / VLOOKUP("LULUCF|SO2|Asthma symptoms cough", US_national_yearly!$D:$AM, 10, FALSE), 1)</f>
        <v>1.7019630154601021E-3</v>
      </c>
      <c r="H6" s="7">
        <f>$B6 * IFERROR(VLOOKUP("LULUCF|SO2|Asthma symptoms cough", US_national_yearly!$D:$AM, 16, FALSE) / VLOOKUP("LULUCF|SO2|Asthma symptoms cough", US_national_yearly!$D:$AM, 10, FALSE), 1)</f>
        <v>1.7019630154601021E-3</v>
      </c>
      <c r="I6" s="7">
        <f>$B6 * IFERROR(VLOOKUP("LULUCF|SO2|Asthma symptoms cough", US_national_yearly!$D:$AM, 17, FALSE) / VLOOKUP("LULUCF|SO2|Asthma symptoms cough", US_national_yearly!$D:$AM, 10, FALSE), 1)</f>
        <v>1.7019630154601021E-3</v>
      </c>
      <c r="J6" s="7">
        <f>$B6 * IFERROR(VLOOKUP("LULUCF|SO2|Asthma symptoms cough", US_national_yearly!$D:$AM, 18, FALSE) / VLOOKUP("LULUCF|SO2|Asthma symptoms cough", US_national_yearly!$D:$AM, 10, FALSE), 1)</f>
        <v>1.7019630154601021E-3</v>
      </c>
      <c r="K6" s="7">
        <f>$B6 * IFERROR(VLOOKUP("LULUCF|SO2|Asthma symptoms cough", US_national_yearly!$D:$AM, 19, FALSE) / VLOOKUP("LULUCF|SO2|Asthma symptoms cough", US_national_yearly!$D:$AM, 10, FALSE), 1)</f>
        <v>1.7019630154601021E-3</v>
      </c>
      <c r="L6" s="7">
        <f>$B6 * IFERROR(VLOOKUP("LULUCF|SO2|Asthma symptoms cough", US_national_yearly!$D:$AM, 20, FALSE) / VLOOKUP("LULUCF|SO2|Asthma symptoms cough", US_national_yearly!$D:$AM, 10, FALSE), 1)</f>
        <v>1.7019630154601021E-3</v>
      </c>
      <c r="M6" s="7">
        <f>$B6 * IFERROR(VLOOKUP("LULUCF|SO2|Asthma symptoms cough", US_national_yearly!$D:$AM, 21, FALSE) / VLOOKUP("LULUCF|SO2|Asthma symptoms cough", US_national_yearly!$D:$AM, 10, FALSE), 1)</f>
        <v>1.7019630154601021E-3</v>
      </c>
      <c r="N6" s="7">
        <f>$B6 * IFERROR(VLOOKUP("LULUCF|SO2|Asthma symptoms cough", US_national_yearly!$D:$AM, 22, FALSE) / VLOOKUP("LULUCF|SO2|Asthma symptoms cough", US_national_yearly!$D:$AM, 10, FALSE), 1)</f>
        <v>1.7019630154601021E-3</v>
      </c>
      <c r="O6" s="7">
        <f>$B6 * IFERROR(VLOOKUP("LULUCF|SO2|Asthma symptoms cough", US_national_yearly!$D:$AM, 23, FALSE) / VLOOKUP("LULUCF|SO2|Asthma symptoms cough", US_national_yearly!$D:$AM, 10, FALSE), 1)</f>
        <v>1.7019630154601021E-3</v>
      </c>
      <c r="P6" s="7">
        <f>$B6 * IFERROR(VLOOKUP("LULUCF|SO2|Asthma symptoms cough", US_national_yearly!$D:$AM, 24, FALSE) / VLOOKUP("LULUCF|SO2|Asthma symptoms cough", US_national_yearly!$D:$AM, 10, FALSE), 1)</f>
        <v>1.7019630154601021E-3</v>
      </c>
      <c r="Q6" s="7">
        <f>$B6 * IFERROR(VLOOKUP("LULUCF|SO2|Asthma symptoms cough", US_national_yearly!$D:$AM, 25, FALSE) / VLOOKUP("LULUCF|SO2|Asthma symptoms cough", US_national_yearly!$D:$AM, 10, FALSE), 1)</f>
        <v>1.7019630154601021E-3</v>
      </c>
      <c r="R6" s="7">
        <f>$B6 * IFERROR(VLOOKUP("LULUCF|SO2|Asthma symptoms cough", US_national_yearly!$D:$AM, 26, FALSE) / VLOOKUP("LULUCF|SO2|Asthma symptoms cough", US_national_yearly!$D:$AM, 10, FALSE), 1)</f>
        <v>1.7019630154601021E-3</v>
      </c>
      <c r="S6" s="7">
        <f>$B6 * IFERROR(VLOOKUP("LULUCF|SO2|Asthma symptoms cough", US_national_yearly!$D:$AM, 27, FALSE) / VLOOKUP("LULUCF|SO2|Asthma symptoms cough", US_national_yearly!$D:$AM, 10, FALSE), 1)</f>
        <v>1.7019630154601021E-3</v>
      </c>
      <c r="T6" s="7">
        <f>$B6 * IFERROR(VLOOKUP("LULUCF|SO2|Asthma symptoms cough", US_national_yearly!$D:$AM, 28, FALSE) / VLOOKUP("LULUCF|SO2|Asthma symptoms cough", US_national_yearly!$D:$AM, 10, FALSE), 1)</f>
        <v>1.7019630154601021E-3</v>
      </c>
      <c r="U6" s="7">
        <f>$B6 * IFERROR(VLOOKUP("LULUCF|SO2|Asthma symptoms cough", US_national_yearly!$D:$AM, 29, FALSE) / VLOOKUP("LULUCF|SO2|Asthma symptoms cough", US_national_yearly!$D:$AM, 10, FALSE), 1)</f>
        <v>1.7019630154601021E-3</v>
      </c>
      <c r="V6" s="7">
        <f>$B6 * IFERROR(VLOOKUP("LULUCF|SO2|Asthma symptoms cough", US_national_yearly!$D:$AM, 30, FALSE) / VLOOKUP("LULUCF|SO2|Asthma symptoms cough", US_national_yearly!$D:$AM, 10, FALSE), 1)</f>
        <v>1.7019630154601021E-3</v>
      </c>
      <c r="W6" s="7">
        <f>$B6 * IFERROR(VLOOKUP("LULUCF|SO2|Asthma symptoms cough", US_national_yearly!$D:$AM, 31, FALSE) / VLOOKUP("LULUCF|SO2|Asthma symptoms cough", US_national_yearly!$D:$AM, 10, FALSE), 1)</f>
        <v>1.7019630154601021E-3</v>
      </c>
      <c r="X6" s="7">
        <f>$B6 * IFERROR(VLOOKUP("LULUCF|SO2|Asthma symptoms cough", US_national_yearly!$D:$AM, 32, FALSE) / VLOOKUP("LULUCF|SO2|Asthma symptoms cough", US_national_yearly!$D:$AM, 10, FALSE), 1)</f>
        <v>1.7019630154601021E-3</v>
      </c>
      <c r="Y6" s="7">
        <f>$B6 * IFERROR(VLOOKUP("LULUCF|SO2|Asthma symptoms cough", US_national_yearly!$D:$AM, 33, FALSE) / VLOOKUP("LULUCF|SO2|Asthma symptoms cough", US_national_yearly!$D:$AM, 10, FALSE), 1)</f>
        <v>1.7019630154601021E-3</v>
      </c>
      <c r="Z6" s="7">
        <f>$B6 * IFERROR(VLOOKUP("LULUCF|SO2|Asthma symptoms cough", US_national_yearly!$D:$AM, 34, FALSE) / VLOOKUP("LULUCF|SO2|Asthma symptoms cough", US_national_yearly!$D:$AM, 10, FALSE), 1)</f>
        <v>1.7019630154601021E-3</v>
      </c>
      <c r="AA6" s="7">
        <f>$B6 * IFERROR(VLOOKUP("LULUCF|SO2|Asthma symptoms cough", US_national_yearly!$D:$AM, 35, FALSE) / VLOOKUP("LULUCF|SO2|Asthma symptoms cough", US_national_yearly!$D:$AM, 10, FALSE), 1)</f>
        <v>1.7019630154601021E-3</v>
      </c>
      <c r="AB6" s="7">
        <f>$B6 * IFERROR(VLOOKUP("LULUCF|SO2|Asthma symptoms cough", US_national_yearly!$D:$AM, 36, FALSE) / VLOOKUP("LULUCF|SO2|Asthma symptoms cough", US_national_yearly!$D:$AM, 10, FALSE), 1)</f>
        <v>1.7019630154601021E-3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2.2919253630254818E-3</v>
      </c>
      <c r="C7" s="7">
        <f>$B7 * IFERROR(VLOOKUP("LULUCF|SO2|Asthma symptoms shortness of breath", US_national_yearly!$D:$AM, 11, FALSE) / VLOOKUP("LULUCF|SO2|Asthma symptoms shortness of breath", US_national_yearly!$D:$AM, 10, FALSE), 1)</f>
        <v>2.2919253630254818E-3</v>
      </c>
      <c r="D7" s="7">
        <f>$B7 * IFERROR(VLOOKUP("LULUCF|SO2|Asthma symptoms shortness of breath", US_national_yearly!$D:$AM, 12, FALSE) / VLOOKUP("LULUCF|SO2|Asthma symptoms shortness of breath", US_national_yearly!$D:$AM, 10, FALSE), 1)</f>
        <v>2.2919253630254818E-3</v>
      </c>
      <c r="E7" s="7">
        <f>$B7 * IFERROR(VLOOKUP("LULUCF|SO2|Asthma symptoms shortness of breath", US_national_yearly!$D:$AM, 13, FALSE) / VLOOKUP("LULUCF|SO2|Asthma symptoms shortness of breath", US_national_yearly!$D:$AM, 10, FALSE), 1)</f>
        <v>2.2919253630254818E-3</v>
      </c>
      <c r="F7" s="7">
        <f>$B7 * IFERROR(VLOOKUP("LULUCF|SO2|Asthma symptoms shortness of breath", US_national_yearly!$D:$AM, 14, FALSE) / VLOOKUP("LULUCF|SO2|Asthma symptoms shortness of breath", US_national_yearly!$D:$AM, 10, FALSE), 1)</f>
        <v>2.2919253630254818E-3</v>
      </c>
      <c r="G7" s="7">
        <f>$B7 * IFERROR(VLOOKUP("LULUCF|SO2|Asthma symptoms shortness of breath", US_national_yearly!$D:$AM, 15, FALSE) / VLOOKUP("LULUCF|SO2|Asthma symptoms shortness of breath", US_national_yearly!$D:$AM, 10, FALSE), 1)</f>
        <v>2.2919253630254818E-3</v>
      </c>
      <c r="H7" s="7">
        <f>$B7 * IFERROR(VLOOKUP("LULUCF|SO2|Asthma symptoms shortness of breath", US_national_yearly!$D:$AM, 16, FALSE) / VLOOKUP("LULUCF|SO2|Asthma symptoms shortness of breath", US_national_yearly!$D:$AM, 10, FALSE), 1)</f>
        <v>2.2919253630254818E-3</v>
      </c>
      <c r="I7" s="7">
        <f>$B7 * IFERROR(VLOOKUP("LULUCF|SO2|Asthma symptoms shortness of breath", US_national_yearly!$D:$AM, 17, FALSE) / VLOOKUP("LULUCF|SO2|Asthma symptoms shortness of breath", US_national_yearly!$D:$AM, 10, FALSE), 1)</f>
        <v>2.2919253630254818E-3</v>
      </c>
      <c r="J7" s="7">
        <f>$B7 * IFERROR(VLOOKUP("LULUCF|SO2|Asthma symptoms shortness of breath", US_national_yearly!$D:$AM, 18, FALSE) / VLOOKUP("LULUCF|SO2|Asthma symptoms shortness of breath", US_national_yearly!$D:$AM, 10, FALSE), 1)</f>
        <v>2.2919253630254818E-3</v>
      </c>
      <c r="K7" s="7">
        <f>$B7 * IFERROR(VLOOKUP("LULUCF|SO2|Asthma symptoms shortness of breath", US_national_yearly!$D:$AM, 19, FALSE) / VLOOKUP("LULUCF|SO2|Asthma symptoms shortness of breath", US_national_yearly!$D:$AM, 10, FALSE), 1)</f>
        <v>2.2919253630254818E-3</v>
      </c>
      <c r="L7" s="7">
        <f>$B7 * IFERROR(VLOOKUP("LULUCF|SO2|Asthma symptoms shortness of breath", US_national_yearly!$D:$AM, 20, FALSE) / VLOOKUP("LULUCF|SO2|Asthma symptoms shortness of breath", US_national_yearly!$D:$AM, 10, FALSE), 1)</f>
        <v>2.2919253630254818E-3</v>
      </c>
      <c r="M7" s="7">
        <f>$B7 * IFERROR(VLOOKUP("LULUCF|SO2|Asthma symptoms shortness of breath", US_national_yearly!$D:$AM, 21, FALSE) / VLOOKUP("LULUCF|SO2|Asthma symptoms shortness of breath", US_national_yearly!$D:$AM, 10, FALSE), 1)</f>
        <v>2.2919253630254818E-3</v>
      </c>
      <c r="N7" s="7">
        <f>$B7 * IFERROR(VLOOKUP("LULUCF|SO2|Asthma symptoms shortness of breath", US_national_yearly!$D:$AM, 22, FALSE) / VLOOKUP("LULUCF|SO2|Asthma symptoms shortness of breath", US_national_yearly!$D:$AM, 10, FALSE), 1)</f>
        <v>2.2919253630254818E-3</v>
      </c>
      <c r="O7" s="7">
        <f>$B7 * IFERROR(VLOOKUP("LULUCF|SO2|Asthma symptoms shortness of breath", US_national_yearly!$D:$AM, 23, FALSE) / VLOOKUP("LULUCF|SO2|Asthma symptoms shortness of breath", US_national_yearly!$D:$AM, 10, FALSE), 1)</f>
        <v>2.2919253630254818E-3</v>
      </c>
      <c r="P7" s="7">
        <f>$B7 * IFERROR(VLOOKUP("LULUCF|SO2|Asthma symptoms shortness of breath", US_national_yearly!$D:$AM, 24, FALSE) / VLOOKUP("LULUCF|SO2|Asthma symptoms shortness of breath", US_national_yearly!$D:$AM, 10, FALSE), 1)</f>
        <v>2.2919253630254818E-3</v>
      </c>
      <c r="Q7" s="7">
        <f>$B7 * IFERROR(VLOOKUP("LULUCF|SO2|Asthma symptoms shortness of breath", US_national_yearly!$D:$AM, 25, FALSE) / VLOOKUP("LULUCF|SO2|Asthma symptoms shortness of breath", US_national_yearly!$D:$AM, 10, FALSE), 1)</f>
        <v>2.2919253630254818E-3</v>
      </c>
      <c r="R7" s="7">
        <f>$B7 * IFERROR(VLOOKUP("LULUCF|SO2|Asthma symptoms shortness of breath", US_national_yearly!$D:$AM, 26, FALSE) / VLOOKUP("LULUCF|SO2|Asthma symptoms shortness of breath", US_national_yearly!$D:$AM, 10, FALSE), 1)</f>
        <v>2.2919253630254818E-3</v>
      </c>
      <c r="S7" s="7">
        <f>$B7 * IFERROR(VLOOKUP("LULUCF|SO2|Asthma symptoms shortness of breath", US_national_yearly!$D:$AM, 27, FALSE) / VLOOKUP("LULUCF|SO2|Asthma symptoms shortness of breath", US_national_yearly!$D:$AM, 10, FALSE), 1)</f>
        <v>2.2919253630254818E-3</v>
      </c>
      <c r="T7" s="7">
        <f>$B7 * IFERROR(VLOOKUP("LULUCF|SO2|Asthma symptoms shortness of breath", US_national_yearly!$D:$AM, 28, FALSE) / VLOOKUP("LULUCF|SO2|Asthma symptoms shortness of breath", US_national_yearly!$D:$AM, 10, FALSE), 1)</f>
        <v>2.2919253630254818E-3</v>
      </c>
      <c r="U7" s="7">
        <f>$B7 * IFERROR(VLOOKUP("LULUCF|SO2|Asthma symptoms shortness of breath", US_national_yearly!$D:$AM, 29, FALSE) / VLOOKUP("LULUCF|SO2|Asthma symptoms shortness of breath", US_national_yearly!$D:$AM, 10, FALSE), 1)</f>
        <v>2.2919253630254818E-3</v>
      </c>
      <c r="V7" s="7">
        <f>$B7 * IFERROR(VLOOKUP("LULUCF|SO2|Asthma symptoms shortness of breath", US_national_yearly!$D:$AM, 30, FALSE) / VLOOKUP("LULUCF|SO2|Asthma symptoms shortness of breath", US_national_yearly!$D:$AM, 10, FALSE), 1)</f>
        <v>2.2919253630254818E-3</v>
      </c>
      <c r="W7" s="7">
        <f>$B7 * IFERROR(VLOOKUP("LULUCF|SO2|Asthma symptoms shortness of breath", US_national_yearly!$D:$AM, 31, FALSE) / VLOOKUP("LULUCF|SO2|Asthma symptoms shortness of breath", US_national_yearly!$D:$AM, 10, FALSE), 1)</f>
        <v>2.2919253630254818E-3</v>
      </c>
      <c r="X7" s="7">
        <f>$B7 * IFERROR(VLOOKUP("LULUCF|SO2|Asthma symptoms shortness of breath", US_national_yearly!$D:$AM, 32, FALSE) / VLOOKUP("LULUCF|SO2|Asthma symptoms shortness of breath", US_national_yearly!$D:$AM, 10, FALSE), 1)</f>
        <v>2.2919253630254818E-3</v>
      </c>
      <c r="Y7" s="7">
        <f>$B7 * IFERROR(VLOOKUP("LULUCF|SO2|Asthma symptoms shortness of breath", US_national_yearly!$D:$AM, 33, FALSE) / VLOOKUP("LULUCF|SO2|Asthma symptoms shortness of breath", US_national_yearly!$D:$AM, 10, FALSE), 1)</f>
        <v>2.2919253630254818E-3</v>
      </c>
      <c r="Z7" s="7">
        <f>$B7 * IFERROR(VLOOKUP("LULUCF|SO2|Asthma symptoms shortness of breath", US_national_yearly!$D:$AM, 34, FALSE) / VLOOKUP("LULUCF|SO2|Asthma symptoms shortness of breath", US_national_yearly!$D:$AM, 10, FALSE), 1)</f>
        <v>2.2919253630254818E-3</v>
      </c>
      <c r="AA7" s="7">
        <f>$B7 * IFERROR(VLOOKUP("LULUCF|SO2|Asthma symptoms shortness of breath", US_national_yearly!$D:$AM, 35, FALSE) / VLOOKUP("LULUCF|SO2|Asthma symptoms shortness of breath", US_national_yearly!$D:$AM, 10, FALSE), 1)</f>
        <v>2.2919253630254818E-3</v>
      </c>
      <c r="AB7" s="7">
        <f>$B7 * IFERROR(VLOOKUP("LULUCF|SO2|Asthma symptoms shortness of breath", US_national_yearly!$D:$AM, 36, FALSE) / VLOOKUP("LULUCF|SO2|Asthma symptoms shortness of breath", US_national_yearly!$D:$AM, 10, FALSE), 1)</f>
        <v>2.2919253630254818E-3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3.5017263137184142E-3</v>
      </c>
      <c r="C8" s="7">
        <f>$B8 * IFERROR(VLOOKUP("LULUCF|SO2|Asthma symptoms wheeze", US_national_yearly!$D:$AM, 11, FALSE) / VLOOKUP("LULUCF|SO2|Asthma symptoms wheeze", US_national_yearly!$D:$AM, 10, FALSE), 1)</f>
        <v>3.5017263137184142E-3</v>
      </c>
      <c r="D8" s="7">
        <f>$B8 * IFERROR(VLOOKUP("LULUCF|SO2|Asthma symptoms wheeze", US_national_yearly!$D:$AM, 12, FALSE) / VLOOKUP("LULUCF|SO2|Asthma symptoms wheeze", US_national_yearly!$D:$AM, 10, FALSE), 1)</f>
        <v>3.5017263137184142E-3</v>
      </c>
      <c r="E8" s="7">
        <f>$B8 * IFERROR(VLOOKUP("LULUCF|SO2|Asthma symptoms wheeze", US_national_yearly!$D:$AM, 13, FALSE) / VLOOKUP("LULUCF|SO2|Asthma symptoms wheeze", US_national_yearly!$D:$AM, 10, FALSE), 1)</f>
        <v>3.5017263137184142E-3</v>
      </c>
      <c r="F8" s="7">
        <f>$B8 * IFERROR(VLOOKUP("LULUCF|SO2|Asthma symptoms wheeze", US_national_yearly!$D:$AM, 14, FALSE) / VLOOKUP("LULUCF|SO2|Asthma symptoms wheeze", US_national_yearly!$D:$AM, 10, FALSE), 1)</f>
        <v>3.5017263137184142E-3</v>
      </c>
      <c r="G8" s="7">
        <f>$B8 * IFERROR(VLOOKUP("LULUCF|SO2|Asthma symptoms wheeze", US_national_yearly!$D:$AM, 15, FALSE) / VLOOKUP("LULUCF|SO2|Asthma symptoms wheeze", US_national_yearly!$D:$AM, 10, FALSE), 1)</f>
        <v>3.5017263137184142E-3</v>
      </c>
      <c r="H8" s="7">
        <f>$B8 * IFERROR(VLOOKUP("LULUCF|SO2|Asthma symptoms wheeze", US_national_yearly!$D:$AM, 16, FALSE) / VLOOKUP("LULUCF|SO2|Asthma symptoms wheeze", US_national_yearly!$D:$AM, 10, FALSE), 1)</f>
        <v>3.5017263137184142E-3</v>
      </c>
      <c r="I8" s="7">
        <f>$B8 * IFERROR(VLOOKUP("LULUCF|SO2|Asthma symptoms wheeze", US_national_yearly!$D:$AM, 17, FALSE) / VLOOKUP("LULUCF|SO2|Asthma symptoms wheeze", US_national_yearly!$D:$AM, 10, FALSE), 1)</f>
        <v>3.5017263137184142E-3</v>
      </c>
      <c r="J8" s="7">
        <f>$B8 * IFERROR(VLOOKUP("LULUCF|SO2|Asthma symptoms wheeze", US_national_yearly!$D:$AM, 18, FALSE) / VLOOKUP("LULUCF|SO2|Asthma symptoms wheeze", US_national_yearly!$D:$AM, 10, FALSE), 1)</f>
        <v>3.5017263137184142E-3</v>
      </c>
      <c r="K8" s="7">
        <f>$B8 * IFERROR(VLOOKUP("LULUCF|SO2|Asthma symptoms wheeze", US_national_yearly!$D:$AM, 19, FALSE) / VLOOKUP("LULUCF|SO2|Asthma symptoms wheeze", US_national_yearly!$D:$AM, 10, FALSE), 1)</f>
        <v>3.5017263137184142E-3</v>
      </c>
      <c r="L8" s="7">
        <f>$B8 * IFERROR(VLOOKUP("LULUCF|SO2|Asthma symptoms wheeze", US_national_yearly!$D:$AM, 20, FALSE) / VLOOKUP("LULUCF|SO2|Asthma symptoms wheeze", US_national_yearly!$D:$AM, 10, FALSE), 1)</f>
        <v>3.5017263137184142E-3</v>
      </c>
      <c r="M8" s="7">
        <f>$B8 * IFERROR(VLOOKUP("LULUCF|SO2|Asthma symptoms wheeze", US_national_yearly!$D:$AM, 21, FALSE) / VLOOKUP("LULUCF|SO2|Asthma symptoms wheeze", US_national_yearly!$D:$AM, 10, FALSE), 1)</f>
        <v>3.5017263137184142E-3</v>
      </c>
      <c r="N8" s="7">
        <f>$B8 * IFERROR(VLOOKUP("LULUCF|SO2|Asthma symptoms wheeze", US_national_yearly!$D:$AM, 22, FALSE) / VLOOKUP("LULUCF|SO2|Asthma symptoms wheeze", US_national_yearly!$D:$AM, 10, FALSE), 1)</f>
        <v>3.5017263137184142E-3</v>
      </c>
      <c r="O8" s="7">
        <f>$B8 * IFERROR(VLOOKUP("LULUCF|SO2|Asthma symptoms wheeze", US_national_yearly!$D:$AM, 23, FALSE) / VLOOKUP("LULUCF|SO2|Asthma symptoms wheeze", US_national_yearly!$D:$AM, 10, FALSE), 1)</f>
        <v>3.5017263137184142E-3</v>
      </c>
      <c r="P8" s="7">
        <f>$B8 * IFERROR(VLOOKUP("LULUCF|SO2|Asthma symptoms wheeze", US_national_yearly!$D:$AM, 24, FALSE) / VLOOKUP("LULUCF|SO2|Asthma symptoms wheeze", US_national_yearly!$D:$AM, 10, FALSE), 1)</f>
        <v>3.5017263137184142E-3</v>
      </c>
      <c r="Q8" s="7">
        <f>$B8 * IFERROR(VLOOKUP("LULUCF|SO2|Asthma symptoms wheeze", US_national_yearly!$D:$AM, 25, FALSE) / VLOOKUP("LULUCF|SO2|Asthma symptoms wheeze", US_national_yearly!$D:$AM, 10, FALSE), 1)</f>
        <v>3.5017263137184142E-3</v>
      </c>
      <c r="R8" s="7">
        <f>$B8 * IFERROR(VLOOKUP("LULUCF|SO2|Asthma symptoms wheeze", US_national_yearly!$D:$AM, 26, FALSE) / VLOOKUP("LULUCF|SO2|Asthma symptoms wheeze", US_national_yearly!$D:$AM, 10, FALSE), 1)</f>
        <v>3.5017263137184142E-3</v>
      </c>
      <c r="S8" s="7">
        <f>$B8 * IFERROR(VLOOKUP("LULUCF|SO2|Asthma symptoms wheeze", US_national_yearly!$D:$AM, 27, FALSE) / VLOOKUP("LULUCF|SO2|Asthma symptoms wheeze", US_national_yearly!$D:$AM, 10, FALSE), 1)</f>
        <v>3.5017263137184142E-3</v>
      </c>
      <c r="T8" s="7">
        <f>$B8 * IFERROR(VLOOKUP("LULUCF|SO2|Asthma symptoms wheeze", US_national_yearly!$D:$AM, 28, FALSE) / VLOOKUP("LULUCF|SO2|Asthma symptoms wheeze", US_national_yearly!$D:$AM, 10, FALSE), 1)</f>
        <v>3.5017263137184142E-3</v>
      </c>
      <c r="U8" s="7">
        <f>$B8 * IFERROR(VLOOKUP("LULUCF|SO2|Asthma symptoms wheeze", US_national_yearly!$D:$AM, 29, FALSE) / VLOOKUP("LULUCF|SO2|Asthma symptoms wheeze", US_national_yearly!$D:$AM, 10, FALSE), 1)</f>
        <v>3.5017263137184142E-3</v>
      </c>
      <c r="V8" s="7">
        <f>$B8 * IFERROR(VLOOKUP("LULUCF|SO2|Asthma symptoms wheeze", US_national_yearly!$D:$AM, 30, FALSE) / VLOOKUP("LULUCF|SO2|Asthma symptoms wheeze", US_national_yearly!$D:$AM, 10, FALSE), 1)</f>
        <v>3.5017263137184142E-3</v>
      </c>
      <c r="W8" s="7">
        <f>$B8 * IFERROR(VLOOKUP("LULUCF|SO2|Asthma symptoms wheeze", US_national_yearly!$D:$AM, 31, FALSE) / VLOOKUP("LULUCF|SO2|Asthma symptoms wheeze", US_national_yearly!$D:$AM, 10, FALSE), 1)</f>
        <v>3.5017263137184142E-3</v>
      </c>
      <c r="X8" s="7">
        <f>$B8 * IFERROR(VLOOKUP("LULUCF|SO2|Asthma symptoms wheeze", US_national_yearly!$D:$AM, 32, FALSE) / VLOOKUP("LULUCF|SO2|Asthma symptoms wheeze", US_national_yearly!$D:$AM, 10, FALSE), 1)</f>
        <v>3.5017263137184142E-3</v>
      </c>
      <c r="Y8" s="7">
        <f>$B8 * IFERROR(VLOOKUP("LULUCF|SO2|Asthma symptoms wheeze", US_national_yearly!$D:$AM, 33, FALSE) / VLOOKUP("LULUCF|SO2|Asthma symptoms wheeze", US_national_yearly!$D:$AM, 10, FALSE), 1)</f>
        <v>3.5017263137184142E-3</v>
      </c>
      <c r="Z8" s="7">
        <f>$B8 * IFERROR(VLOOKUP("LULUCF|SO2|Asthma symptoms wheeze", US_national_yearly!$D:$AM, 34, FALSE) / VLOOKUP("LULUCF|SO2|Asthma symptoms wheeze", US_national_yearly!$D:$AM, 10, FALSE), 1)</f>
        <v>3.5017263137184142E-3</v>
      </c>
      <c r="AA8" s="7">
        <f>$B8 * IFERROR(VLOOKUP("LULUCF|SO2|Asthma symptoms wheeze", US_national_yearly!$D:$AM, 35, FALSE) / VLOOKUP("LULUCF|SO2|Asthma symptoms wheeze", US_national_yearly!$D:$AM, 10, FALSE), 1)</f>
        <v>3.5017263137184142E-3</v>
      </c>
      <c r="AB8" s="7">
        <f>$B8 * IFERROR(VLOOKUP("LULUCF|SO2|Asthma symptoms wheeze", US_national_yearly!$D:$AM, 36, FALSE) / VLOOKUP("LULUCF|SO2|Asthma symptoms wheeze", US_national_yearly!$D:$AM, 10, FALSE), 1)</f>
        <v>3.5017263137184142E-3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4.9020978261883482E-5</v>
      </c>
      <c r="C12" s="7">
        <f>$B12 * IFERROR(VLOOKUP("LULUCF|SO2|Respiratory hospital admissions", US_national_yearly!$D:$AM, 11, FALSE) / VLOOKUP("LULUCF|SO2|Respiratory hospital admissions", US_national_yearly!$D:$AM, 10, FALSE), 1)</f>
        <v>4.9310106427764659E-5</v>
      </c>
      <c r="D12" s="7">
        <f>$B12 * IFERROR(VLOOKUP("LULUCF|SO2|Respiratory hospital admissions", US_national_yearly!$D:$AM, 12, FALSE) / VLOOKUP("LULUCF|SO2|Respiratory hospital admissions", US_national_yearly!$D:$AM, 10, FALSE), 1)</f>
        <v>4.9599234593645837E-5</v>
      </c>
      <c r="E12" s="7">
        <f>$B12 * IFERROR(VLOOKUP("LULUCF|SO2|Respiratory hospital admissions", US_national_yearly!$D:$AM, 13, FALSE) / VLOOKUP("LULUCF|SO2|Respiratory hospital admissions", US_national_yearly!$D:$AM, 10, FALSE), 1)</f>
        <v>4.9888362759527008E-5</v>
      </c>
      <c r="F12" s="7">
        <f>$B12 * IFERROR(VLOOKUP("LULUCF|SO2|Respiratory hospital admissions", US_national_yearly!$D:$AM, 14, FALSE) / VLOOKUP("LULUCF|SO2|Respiratory hospital admissions", US_national_yearly!$D:$AM, 10, FALSE), 1)</f>
        <v>5.0177490925408185E-5</v>
      </c>
      <c r="G12" s="7">
        <f>$B12 * IFERROR(VLOOKUP("LULUCF|SO2|Respiratory hospital admissions", US_national_yearly!$D:$AM, 15, FALSE) / VLOOKUP("LULUCF|SO2|Respiratory hospital admissions", US_national_yearly!$D:$AM, 10, FALSE), 1)</f>
        <v>5.0492689393754015E-5</v>
      </c>
      <c r="H12" s="7">
        <f>$B12 * IFERROR(VLOOKUP("LULUCF|SO2|Respiratory hospital admissions", US_national_yearly!$D:$AM, 16, FALSE) / VLOOKUP("LULUCF|SO2|Respiratory hospital admissions", US_national_yearly!$D:$AM, 10, FALSE), 1)</f>
        <v>5.0807887862099837E-5</v>
      </c>
      <c r="I12" s="7">
        <f>$B12 * IFERROR(VLOOKUP("LULUCF|SO2|Respiratory hospital admissions", US_national_yearly!$D:$AM, 17, FALSE) / VLOOKUP("LULUCF|SO2|Respiratory hospital admissions", US_national_yearly!$D:$AM, 10, FALSE), 1)</f>
        <v>5.1118711080720382E-5</v>
      </c>
      <c r="J12" s="7">
        <f>$B12 * IFERROR(VLOOKUP("LULUCF|SO2|Respiratory hospital admissions", US_national_yearly!$D:$AM, 18, FALSE) / VLOOKUP("LULUCF|SO2|Respiratory hospital admissions", US_national_yearly!$D:$AM, 10, FALSE), 1)</f>
        <v>5.1429534299340948E-5</v>
      </c>
      <c r="K12" s="7">
        <f>$B12 * IFERROR(VLOOKUP("LULUCF|SO2|Respiratory hospital admissions", US_national_yearly!$D:$AM, 19, FALSE) / VLOOKUP("LULUCF|SO2|Respiratory hospital admissions", US_national_yearly!$D:$AM, 10, FALSE), 1)</f>
        <v>5.174035751796148E-5</v>
      </c>
      <c r="L12" s="7">
        <f>$B12 * IFERROR(VLOOKUP("LULUCF|SO2|Respiratory hospital admissions", US_national_yearly!$D:$AM, 20, FALSE) / VLOOKUP("LULUCF|SO2|Respiratory hospital admissions", US_national_yearly!$D:$AM, 10, FALSE), 1)</f>
        <v>5.2051180736582046E-5</v>
      </c>
      <c r="M12" s="7">
        <f>$B12 * IFERROR(VLOOKUP("LULUCF|SO2|Respiratory hospital admissions", US_national_yearly!$D:$AM, 21, FALSE) / VLOOKUP("LULUCF|SO2|Respiratory hospital admissions", US_national_yearly!$D:$AM, 10, FALSE), 1)</f>
        <v>5.2362003955202578E-5</v>
      </c>
      <c r="N12" s="7">
        <f>$B12 * IFERROR(VLOOKUP("LULUCF|SO2|Respiratory hospital admissions", US_national_yearly!$D:$AM, 22, FALSE) / VLOOKUP("LULUCF|SO2|Respiratory hospital admissions", US_national_yearly!$D:$AM, 10, FALSE), 1)</f>
        <v>5.2588895310118705E-5</v>
      </c>
      <c r="O12" s="7">
        <f>$B12 * IFERROR(VLOOKUP("LULUCF|SO2|Respiratory hospital admissions", US_national_yearly!$D:$AM, 23, FALSE) / VLOOKUP("LULUCF|SO2|Respiratory hospital admissions", US_national_yearly!$D:$AM, 10, FALSE), 1)</f>
        <v>5.2815786665034818E-5</v>
      </c>
      <c r="P12" s="7">
        <f>$B12 * IFERROR(VLOOKUP("LULUCF|SO2|Respiratory hospital admissions", US_national_yearly!$D:$AM, 24, FALSE) / VLOOKUP("LULUCF|SO2|Respiratory hospital admissions", US_national_yearly!$D:$AM, 10, FALSE), 1)</f>
        <v>5.3042678019950932E-5</v>
      </c>
      <c r="Q12" s="7">
        <f>$B12 * IFERROR(VLOOKUP("LULUCF|SO2|Respiratory hospital admissions", US_national_yearly!$D:$AM, 25, FALSE) / VLOOKUP("LULUCF|SO2|Respiratory hospital admissions", US_national_yearly!$D:$AM, 10, FALSE), 1)</f>
        <v>5.3269569374867053E-5</v>
      </c>
      <c r="R12" s="7">
        <f>$B12 * IFERROR(VLOOKUP("LULUCF|SO2|Respiratory hospital admissions", US_national_yearly!$D:$AM, 26, FALSE) / VLOOKUP("LULUCF|SO2|Respiratory hospital admissions", US_national_yearly!$D:$AM, 10, FALSE), 1)</f>
        <v>5.3496460729783166E-5</v>
      </c>
      <c r="S12" s="7">
        <f>$B12 * IFERROR(VLOOKUP("LULUCF|SO2|Respiratory hospital admissions", US_national_yearly!$D:$AM, 27, FALSE) / VLOOKUP("LULUCF|SO2|Respiratory hospital admissions", US_national_yearly!$D:$AM, 10, FALSE), 1)</f>
        <v>5.3712897770074248E-5</v>
      </c>
      <c r="T12" s="7">
        <f>$B12 * IFERROR(VLOOKUP("LULUCF|SO2|Respiratory hospital admissions", US_national_yearly!$D:$AM, 28, FALSE) / VLOOKUP("LULUCF|SO2|Respiratory hospital admissions", US_national_yearly!$D:$AM, 10, FALSE), 1)</f>
        <v>5.3929334810365316E-5</v>
      </c>
      <c r="U12" s="7">
        <f>$B12 * IFERROR(VLOOKUP("LULUCF|SO2|Respiratory hospital admissions", US_national_yearly!$D:$AM, 29, FALSE) / VLOOKUP("LULUCF|SO2|Respiratory hospital admissions", US_national_yearly!$D:$AM, 10, FALSE), 1)</f>
        <v>5.4145771850656398E-5</v>
      </c>
      <c r="V12" s="7">
        <f>$B12 * IFERROR(VLOOKUP("LULUCF|SO2|Respiratory hospital admissions", US_national_yearly!$D:$AM, 30, FALSE) / VLOOKUP("LULUCF|SO2|Respiratory hospital admissions", US_national_yearly!$D:$AM, 10, FALSE), 1)</f>
        <v>5.436220889094748E-5</v>
      </c>
      <c r="W12" s="7">
        <f>$B12 * IFERROR(VLOOKUP("LULUCF|SO2|Respiratory hospital admissions", US_national_yearly!$D:$AM, 31, FALSE) / VLOOKUP("LULUCF|SO2|Respiratory hospital admissions", US_national_yearly!$D:$AM, 10, FALSE), 1)</f>
        <v>5.4578645931238562E-5</v>
      </c>
      <c r="X12" s="7">
        <f>$B12 * IFERROR(VLOOKUP("LULUCF|SO2|Respiratory hospital admissions", US_national_yearly!$D:$AM, 32, FALSE) / VLOOKUP("LULUCF|SO2|Respiratory hospital admissions", US_national_yearly!$D:$AM, 10, FALSE), 1)</f>
        <v>5.4784009147735713E-5</v>
      </c>
      <c r="Y12" s="7">
        <f>$B12 * IFERROR(VLOOKUP("LULUCF|SO2|Respiratory hospital admissions", US_national_yearly!$D:$AM, 33, FALSE) / VLOOKUP("LULUCF|SO2|Respiratory hospital admissions", US_national_yearly!$D:$AM, 10, FALSE), 1)</f>
        <v>5.4989372364232857E-5</v>
      </c>
      <c r="Z12" s="7">
        <f>$B12 * IFERROR(VLOOKUP("LULUCF|SO2|Respiratory hospital admissions", US_national_yearly!$D:$AM, 34, FALSE) / VLOOKUP("LULUCF|SO2|Respiratory hospital admissions", US_national_yearly!$D:$AM, 10, FALSE), 1)</f>
        <v>5.5194735580730008E-5</v>
      </c>
      <c r="AA12" s="7">
        <f>$B12 * IFERROR(VLOOKUP("LULUCF|SO2|Respiratory hospital admissions", US_national_yearly!$D:$AM, 35, FALSE) / VLOOKUP("LULUCF|SO2|Respiratory hospital admissions", US_national_yearly!$D:$AM, 10, FALSE), 1)</f>
        <v>5.5400098797227159E-5</v>
      </c>
      <c r="AB12" s="7">
        <f>$B12 * IFERROR(VLOOKUP("LULUCF|SO2|Respiratory hospital admissions", US_national_yearly!$D:$AM, 36, FALSE) / VLOOKUP("LULUCF|SO2|Respiratory hospital admissions", US_national_yearly!$D:$AM, 10, FALSE), 1)</f>
        <v>5.5605462013724316E-5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3.0042650160579841E-4</v>
      </c>
      <c r="C13" s="7">
        <f>$B13 * IFERROR(VLOOKUP("LULUCF|SO2|Non-fatal heart attacks", US_national_yearly!$D:$AM, 11, FALSE) / VLOOKUP("LULUCF|SO2|Non-fatal heart attacks", US_national_yearly!$D:$AM, 10, FALSE), 1)</f>
        <v>3.0924593248405897E-4</v>
      </c>
      <c r="D13" s="7">
        <f>$B13 * IFERROR(VLOOKUP("LULUCF|SO2|Non-fatal heart attacks", US_national_yearly!$D:$AM, 12, FALSE) / VLOOKUP("LULUCF|SO2|Non-fatal heart attacks", US_national_yearly!$D:$AM, 10, FALSE), 1)</f>
        <v>3.1806536336231959E-4</v>
      </c>
      <c r="E13" s="7">
        <f>$B13 * IFERROR(VLOOKUP("LULUCF|SO2|Non-fatal heart attacks", US_national_yearly!$D:$AM, 13, FALSE) / VLOOKUP("LULUCF|SO2|Non-fatal heart attacks", US_national_yearly!$D:$AM, 10, FALSE), 1)</f>
        <v>3.2688479424058015E-4</v>
      </c>
      <c r="F13" s="7">
        <f>$B13 * IFERROR(VLOOKUP("LULUCF|SO2|Non-fatal heart attacks", US_national_yearly!$D:$AM, 14, FALSE) / VLOOKUP("LULUCF|SO2|Non-fatal heart attacks", US_national_yearly!$D:$AM, 10, FALSE), 1)</f>
        <v>3.3570422511884071E-4</v>
      </c>
      <c r="G13" s="7">
        <f>$B13 * IFERROR(VLOOKUP("LULUCF|SO2|Non-fatal heart attacks", US_national_yearly!$D:$AM, 15, FALSE) / VLOOKUP("LULUCF|SO2|Non-fatal heart attacks", US_national_yearly!$D:$AM, 10, FALSE), 1)</f>
        <v>3.4402176648922904E-4</v>
      </c>
      <c r="H13" s="7">
        <f>$B13 * IFERROR(VLOOKUP("LULUCF|SO2|Non-fatal heart attacks", US_national_yearly!$D:$AM, 16, FALSE) / VLOOKUP("LULUCF|SO2|Non-fatal heart attacks", US_national_yearly!$D:$AM, 10, FALSE), 1)</f>
        <v>3.5233930785961743E-4</v>
      </c>
      <c r="I13" s="7">
        <f>$B13 * IFERROR(VLOOKUP("LULUCF|SO2|Non-fatal heart attacks", US_national_yearly!$D:$AM, 17, FALSE) / VLOOKUP("LULUCF|SO2|Non-fatal heart attacks", US_national_yearly!$D:$AM, 10, FALSE), 1)</f>
        <v>3.5903232123415154E-4</v>
      </c>
      <c r="J13" s="7">
        <f>$B13 * IFERROR(VLOOKUP("LULUCF|SO2|Non-fatal heart attacks", US_national_yearly!$D:$AM, 18, FALSE) / VLOOKUP("LULUCF|SO2|Non-fatal heart attacks", US_national_yearly!$D:$AM, 10, FALSE), 1)</f>
        <v>3.6572533460868566E-4</v>
      </c>
      <c r="K13" s="7">
        <f>$B13 * IFERROR(VLOOKUP("LULUCF|SO2|Non-fatal heart attacks", US_national_yearly!$D:$AM, 19, FALSE) / VLOOKUP("LULUCF|SO2|Non-fatal heart attacks", US_national_yearly!$D:$AM, 10, FALSE), 1)</f>
        <v>3.7241834798321978E-4</v>
      </c>
      <c r="L13" s="7">
        <f>$B13 * IFERROR(VLOOKUP("LULUCF|SO2|Non-fatal heart attacks", US_national_yearly!$D:$AM, 20, FALSE) / VLOOKUP("LULUCF|SO2|Non-fatal heart attacks", US_national_yearly!$D:$AM, 10, FALSE), 1)</f>
        <v>3.79111361357754E-4</v>
      </c>
      <c r="M13" s="7">
        <f>$B13 * IFERROR(VLOOKUP("LULUCF|SO2|Non-fatal heart attacks", US_national_yearly!$D:$AM, 21, FALSE) / VLOOKUP("LULUCF|SO2|Non-fatal heart attacks", US_national_yearly!$D:$AM, 10, FALSE), 1)</f>
        <v>3.8580437473228818E-4</v>
      </c>
      <c r="N13" s="7">
        <f>$B13 * IFERROR(VLOOKUP("LULUCF|SO2|Non-fatal heart attacks", US_national_yearly!$D:$AM, 22, FALSE) / VLOOKUP("LULUCF|SO2|Non-fatal heart attacks", US_national_yearly!$D:$AM, 10, FALSE), 1)</f>
        <v>3.9015022917870306E-4</v>
      </c>
      <c r="O13" s="7">
        <f>$B13 * IFERROR(VLOOKUP("LULUCF|SO2|Non-fatal heart attacks", US_national_yearly!$D:$AM, 23, FALSE) / VLOOKUP("LULUCF|SO2|Non-fatal heart attacks", US_national_yearly!$D:$AM, 10, FALSE), 1)</f>
        <v>3.944960836251181E-4</v>
      </c>
      <c r="P13" s="7">
        <f>$B13 * IFERROR(VLOOKUP("LULUCF|SO2|Non-fatal heart attacks", US_national_yearly!$D:$AM, 24, FALSE) / VLOOKUP("LULUCF|SO2|Non-fatal heart attacks", US_national_yearly!$D:$AM, 10, FALSE), 1)</f>
        <v>3.988419380715332E-4</v>
      </c>
      <c r="Q13" s="7">
        <f>$B13 * IFERROR(VLOOKUP("LULUCF|SO2|Non-fatal heart attacks", US_national_yearly!$D:$AM, 25, FALSE) / VLOOKUP("LULUCF|SO2|Non-fatal heart attacks", US_national_yearly!$D:$AM, 10, FALSE), 1)</f>
        <v>4.0318779251794819E-4</v>
      </c>
      <c r="R13" s="7">
        <f>$B13 * IFERROR(VLOOKUP("LULUCF|SO2|Non-fatal heart attacks", US_national_yearly!$D:$AM, 26, FALSE) / VLOOKUP("LULUCF|SO2|Non-fatal heart attacks", US_national_yearly!$D:$AM, 10, FALSE), 1)</f>
        <v>4.0753364696436318E-4</v>
      </c>
      <c r="S13" s="7">
        <f>$B13 * IFERROR(VLOOKUP("LULUCF|SO2|Non-fatal heart attacks", US_national_yearly!$D:$AM, 27, FALSE) / VLOOKUP("LULUCF|SO2|Non-fatal heart attacks", US_national_yearly!$D:$AM, 10, FALSE), 1)</f>
        <v>4.0980259312632195E-4</v>
      </c>
      <c r="T13" s="7">
        <f>$B13 * IFERROR(VLOOKUP("LULUCF|SO2|Non-fatal heart attacks", US_national_yearly!$D:$AM, 28, FALSE) / VLOOKUP("LULUCF|SO2|Non-fatal heart attacks", US_national_yearly!$D:$AM, 10, FALSE), 1)</f>
        <v>4.1207153928828077E-4</v>
      </c>
      <c r="U13" s="7">
        <f>$B13 * IFERROR(VLOOKUP("LULUCF|SO2|Non-fatal heart attacks", US_national_yearly!$D:$AM, 29, FALSE) / VLOOKUP("LULUCF|SO2|Non-fatal heart attacks", US_national_yearly!$D:$AM, 10, FALSE), 1)</f>
        <v>4.1434048545023949E-4</v>
      </c>
      <c r="V13" s="7">
        <f>$B13 * IFERROR(VLOOKUP("LULUCF|SO2|Non-fatal heart attacks", US_national_yearly!$D:$AM, 30, FALSE) / VLOOKUP("LULUCF|SO2|Non-fatal heart attacks", US_national_yearly!$D:$AM, 10, FALSE), 1)</f>
        <v>4.1660943161219826E-4</v>
      </c>
      <c r="W13" s="7">
        <f>$B13 * IFERROR(VLOOKUP("LULUCF|SO2|Non-fatal heart attacks", US_national_yearly!$D:$AM, 31, FALSE) / VLOOKUP("LULUCF|SO2|Non-fatal heart attacks", US_national_yearly!$D:$AM, 10, FALSE), 1)</f>
        <v>4.1887837777415709E-4</v>
      </c>
      <c r="X13" s="7">
        <f>$B13 * IFERROR(VLOOKUP("LULUCF|SO2|Non-fatal heart attacks", US_national_yearly!$D:$AM, 32, FALSE) / VLOOKUP("LULUCF|SO2|Non-fatal heart attacks", US_national_yearly!$D:$AM, 10, FALSE), 1)</f>
        <v>4.2059123365297706E-4</v>
      </c>
      <c r="Y13" s="7">
        <f>$B13 * IFERROR(VLOOKUP("LULUCF|SO2|Non-fatal heart attacks", US_national_yearly!$D:$AM, 33, FALSE) / VLOOKUP("LULUCF|SO2|Non-fatal heart attacks", US_national_yearly!$D:$AM, 10, FALSE), 1)</f>
        <v>4.2230408953179704E-4</v>
      </c>
      <c r="Z13" s="7">
        <f>$B13 * IFERROR(VLOOKUP("LULUCF|SO2|Non-fatal heart attacks", US_national_yearly!$D:$AM, 34, FALSE) / VLOOKUP("LULUCF|SO2|Non-fatal heart attacks", US_national_yearly!$D:$AM, 10, FALSE), 1)</f>
        <v>4.2401694541061702E-4</v>
      </c>
      <c r="AA13" s="7">
        <f>$B13 * IFERROR(VLOOKUP("LULUCF|SO2|Non-fatal heart attacks", US_national_yearly!$D:$AM, 35, FALSE) / VLOOKUP("LULUCF|SO2|Non-fatal heart attacks", US_national_yearly!$D:$AM, 10, FALSE), 1)</f>
        <v>4.2572980128943695E-4</v>
      </c>
      <c r="AB13" s="7">
        <f>$B13 * IFERROR(VLOOKUP("LULUCF|SO2|Non-fatal heart attacks", US_national_yearly!$D:$AM, 36, FALSE) / VLOOKUP("LULUCF|SO2|Non-fatal heart attacks", US_national_yearly!$D:$AM, 10, FALSE), 1)</f>
        <v>4.2744265716825692E-4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0.21699019102295294</v>
      </c>
      <c r="C14" s="7">
        <f>$B14 * IFERROR(VLOOKUP("LULUCF|SO2|Minor restricted activity days", US_national_yearly!$D:$AM, 11, FALSE) / VLOOKUP("LULUCF|SO2|Minor restricted activity days", US_national_yearly!$D:$AM, 10, FALSE), 1)</f>
        <v>0.21753715099505613</v>
      </c>
      <c r="D14" s="7">
        <f>$B14 * IFERROR(VLOOKUP("LULUCF|SO2|Minor restricted activity days", US_national_yearly!$D:$AM, 12, FALSE) / VLOOKUP("LULUCF|SO2|Minor restricted activity days", US_national_yearly!$D:$AM, 10, FALSE), 1)</f>
        <v>0.21808411096715924</v>
      </c>
      <c r="E14" s="7">
        <f>$B14 * IFERROR(VLOOKUP("LULUCF|SO2|Minor restricted activity days", US_national_yearly!$D:$AM, 13, FALSE) / VLOOKUP("LULUCF|SO2|Minor restricted activity days", US_national_yearly!$D:$AM, 10, FALSE), 1)</f>
        <v>0.21863107093926243</v>
      </c>
      <c r="F14" s="7">
        <f>$B14 * IFERROR(VLOOKUP("LULUCF|SO2|Minor restricted activity days", US_national_yearly!$D:$AM, 14, FALSE) / VLOOKUP("LULUCF|SO2|Minor restricted activity days", US_national_yearly!$D:$AM, 10, FALSE), 1)</f>
        <v>0.21917803091136556</v>
      </c>
      <c r="G14" s="7">
        <f>$B14 * IFERROR(VLOOKUP("LULUCF|SO2|Minor restricted activity days", US_national_yearly!$D:$AM, 15, FALSE) / VLOOKUP("LULUCF|SO2|Minor restricted activity days", US_national_yearly!$D:$AM, 10, FALSE), 1)</f>
        <v>0.21998310225665371</v>
      </c>
      <c r="H14" s="7">
        <f>$B14 * IFERROR(VLOOKUP("LULUCF|SO2|Minor restricted activity days", US_national_yearly!$D:$AM, 16, FALSE) / VLOOKUP("LULUCF|SO2|Minor restricted activity days", US_national_yearly!$D:$AM, 10, FALSE), 1)</f>
        <v>0.22078817360194186</v>
      </c>
      <c r="I14" s="7">
        <f>$B14 * IFERROR(VLOOKUP("LULUCF|SO2|Minor restricted activity days", US_national_yearly!$D:$AM, 17, FALSE) / VLOOKUP("LULUCF|SO2|Minor restricted activity days", US_national_yearly!$D:$AM, 10, FALSE), 1)</f>
        <v>0.22216114773988929</v>
      </c>
      <c r="J14" s="7">
        <f>$B14 * IFERROR(VLOOKUP("LULUCF|SO2|Minor restricted activity days", US_national_yearly!$D:$AM, 18, FALSE) / VLOOKUP("LULUCF|SO2|Minor restricted activity days", US_national_yearly!$D:$AM, 10, FALSE), 1)</f>
        <v>0.22353412187783675</v>
      </c>
      <c r="K14" s="7">
        <f>$B14 * IFERROR(VLOOKUP("LULUCF|SO2|Minor restricted activity days", US_national_yearly!$D:$AM, 19, FALSE) / VLOOKUP("LULUCF|SO2|Minor restricted activity days", US_national_yearly!$D:$AM, 10, FALSE), 1)</f>
        <v>0.22490709601578424</v>
      </c>
      <c r="L14" s="7">
        <f>$B14 * IFERROR(VLOOKUP("LULUCF|SO2|Minor restricted activity days", US_national_yearly!$D:$AM, 20, FALSE) / VLOOKUP("LULUCF|SO2|Minor restricted activity days", US_national_yearly!$D:$AM, 10, FALSE), 1)</f>
        <v>0.22628007015373167</v>
      </c>
      <c r="M14" s="7">
        <f>$B14 * IFERROR(VLOOKUP("LULUCF|SO2|Minor restricted activity days", US_national_yearly!$D:$AM, 21, FALSE) / VLOOKUP("LULUCF|SO2|Minor restricted activity days", US_national_yearly!$D:$AM, 10, FALSE), 1)</f>
        <v>0.2276530442916791</v>
      </c>
      <c r="N14" s="7">
        <f>$B14 * IFERROR(VLOOKUP("LULUCF|SO2|Minor restricted activity days", US_national_yearly!$D:$AM, 22, FALSE) / VLOOKUP("LULUCF|SO2|Minor restricted activity days", US_national_yearly!$D:$AM, 10, FALSE), 1)</f>
        <v>0.22953105260636367</v>
      </c>
      <c r="O14" s="7">
        <f>$B14 * IFERROR(VLOOKUP("LULUCF|SO2|Minor restricted activity days", US_national_yearly!$D:$AM, 23, FALSE) / VLOOKUP("LULUCF|SO2|Minor restricted activity days", US_national_yearly!$D:$AM, 10, FALSE), 1)</f>
        <v>0.23140906092104824</v>
      </c>
      <c r="P14" s="7">
        <f>$B14 * IFERROR(VLOOKUP("LULUCF|SO2|Minor restricted activity days", US_national_yearly!$D:$AM, 24, FALSE) / VLOOKUP("LULUCF|SO2|Minor restricted activity days", US_national_yearly!$D:$AM, 10, FALSE), 1)</f>
        <v>0.23328706923573278</v>
      </c>
      <c r="Q14" s="7">
        <f>$B14 * IFERROR(VLOOKUP("LULUCF|SO2|Minor restricted activity days", US_national_yearly!$D:$AM, 25, FALSE) / VLOOKUP("LULUCF|SO2|Minor restricted activity days", US_national_yearly!$D:$AM, 10, FALSE), 1)</f>
        <v>0.23516507755041735</v>
      </c>
      <c r="R14" s="7">
        <f>$B14 * IFERROR(VLOOKUP("LULUCF|SO2|Minor restricted activity days", US_national_yearly!$D:$AM, 26, FALSE) / VLOOKUP("LULUCF|SO2|Minor restricted activity days", US_national_yearly!$D:$AM, 10, FALSE), 1)</f>
        <v>0.23704308586510192</v>
      </c>
      <c r="S14" s="7">
        <f>$B14 * IFERROR(VLOOKUP("LULUCF|SO2|Minor restricted activity days", US_national_yearly!$D:$AM, 27, FALSE) / VLOOKUP("LULUCF|SO2|Minor restricted activity days", US_national_yearly!$D:$AM, 10, FALSE), 1)</f>
        <v>0.23895789914996754</v>
      </c>
      <c r="T14" s="7">
        <f>$B14 * IFERROR(VLOOKUP("LULUCF|SO2|Minor restricted activity days", US_national_yearly!$D:$AM, 28, FALSE) / VLOOKUP("LULUCF|SO2|Minor restricted activity days", US_national_yearly!$D:$AM, 10, FALSE), 1)</f>
        <v>0.24087271243483316</v>
      </c>
      <c r="U14" s="7">
        <f>$B14 * IFERROR(VLOOKUP("LULUCF|SO2|Minor restricted activity days", US_national_yearly!$D:$AM, 29, FALSE) / VLOOKUP("LULUCF|SO2|Minor restricted activity days", US_national_yearly!$D:$AM, 10, FALSE), 1)</f>
        <v>0.24278752571969878</v>
      </c>
      <c r="V14" s="7">
        <f>$B14 * IFERROR(VLOOKUP("LULUCF|SO2|Minor restricted activity days", US_national_yearly!$D:$AM, 30, FALSE) / VLOOKUP("LULUCF|SO2|Minor restricted activity days", US_national_yearly!$D:$AM, 10, FALSE), 1)</f>
        <v>0.2447023390045644</v>
      </c>
      <c r="W14" s="7">
        <f>$B14 * IFERROR(VLOOKUP("LULUCF|SO2|Minor restricted activity days", US_national_yearly!$D:$AM, 31, FALSE) / VLOOKUP("LULUCF|SO2|Minor restricted activity days", US_national_yearly!$D:$AM, 10, FALSE), 1)</f>
        <v>0.24661715228943007</v>
      </c>
      <c r="X14" s="7">
        <f>$B14 * IFERROR(VLOOKUP("LULUCF|SO2|Minor restricted activity days", US_national_yearly!$D:$AM, 32, FALSE) / VLOOKUP("LULUCF|SO2|Minor restricted activity days", US_national_yearly!$D:$AM, 10, FALSE), 1)</f>
        <v>0.24830107798426507</v>
      </c>
      <c r="Y14" s="7">
        <f>$B14 * IFERROR(VLOOKUP("LULUCF|SO2|Minor restricted activity days", US_national_yearly!$D:$AM, 33, FALSE) / VLOOKUP("LULUCF|SO2|Minor restricted activity days", US_national_yearly!$D:$AM, 10, FALSE), 1)</f>
        <v>0.24998500367910007</v>
      </c>
      <c r="Z14" s="7">
        <f>$B14 * IFERROR(VLOOKUP("LULUCF|SO2|Minor restricted activity days", US_national_yearly!$D:$AM, 34, FALSE) / VLOOKUP("LULUCF|SO2|Minor restricted activity days", US_national_yearly!$D:$AM, 10, FALSE), 1)</f>
        <v>0.25166892937393515</v>
      </c>
      <c r="AA14" s="7">
        <f>$B14 * IFERROR(VLOOKUP("LULUCF|SO2|Minor restricted activity days", US_national_yearly!$D:$AM, 35, FALSE) / VLOOKUP("LULUCF|SO2|Minor restricted activity days", US_national_yearly!$D:$AM, 10, FALSE), 1)</f>
        <v>0.25335285506877014</v>
      </c>
      <c r="AB14" s="7">
        <f>$B14 * IFERROR(VLOOKUP("LULUCF|SO2|Minor restricted activity days", US_national_yearly!$D:$AM, 36, FALSE) / VLOOKUP("LULUCF|SO2|Minor restricted activity days", US_national_yearly!$D:$AM, 10, FALSE), 1)</f>
        <v>0.25503678076360514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3.6817863910894158E-2</v>
      </c>
      <c r="C15" s="7">
        <f>$B15 * IFERROR(VLOOKUP("LULUCF|SO2|Work loss days", US_national_yearly!$D:$AM, 11, FALSE) / VLOOKUP("LULUCF|SO2|Work loss days", US_national_yearly!$D:$AM, 10, FALSE), 1)</f>
        <v>3.6937147938283593E-2</v>
      </c>
      <c r="D15" s="7">
        <f>$B15 * IFERROR(VLOOKUP("LULUCF|SO2|Work loss days", US_national_yearly!$D:$AM, 12, FALSE) / VLOOKUP("LULUCF|SO2|Work loss days", US_national_yearly!$D:$AM, 10, FALSE), 1)</f>
        <v>3.7056431965673028E-2</v>
      </c>
      <c r="E15" s="7">
        <f>$B15 * IFERROR(VLOOKUP("LULUCF|SO2|Work loss days", US_national_yearly!$D:$AM, 13, FALSE) / VLOOKUP("LULUCF|SO2|Work loss days", US_national_yearly!$D:$AM, 10, FALSE), 1)</f>
        <v>3.7175715993062471E-2</v>
      </c>
      <c r="F15" s="7">
        <f>$B15 * IFERROR(VLOOKUP("LULUCF|SO2|Work loss days", US_national_yearly!$D:$AM, 14, FALSE) / VLOOKUP("LULUCF|SO2|Work loss days", US_national_yearly!$D:$AM, 10, FALSE), 1)</f>
        <v>3.7295000020451906E-2</v>
      </c>
      <c r="G15" s="7">
        <f>$B15 * IFERROR(VLOOKUP("LULUCF|SO2|Work loss days", US_national_yearly!$D:$AM, 15, FALSE) / VLOOKUP("LULUCF|SO2|Work loss days", US_national_yearly!$D:$AM, 10, FALSE), 1)</f>
        <v>3.7450859197569825E-2</v>
      </c>
      <c r="H15" s="7">
        <f>$B15 * IFERROR(VLOOKUP("LULUCF|SO2|Work loss days", US_national_yearly!$D:$AM, 16, FALSE) / VLOOKUP("LULUCF|SO2|Work loss days", US_national_yearly!$D:$AM, 10, FALSE), 1)</f>
        <v>3.7606718374687736E-2</v>
      </c>
      <c r="I15" s="7">
        <f>$B15 * IFERROR(VLOOKUP("LULUCF|SO2|Work loss days", US_national_yearly!$D:$AM, 17, FALSE) / VLOOKUP("LULUCF|SO2|Work loss days", US_national_yearly!$D:$AM, 10, FALSE), 1)</f>
        <v>3.7834719428226173E-2</v>
      </c>
      <c r="J15" s="7">
        <f>$B15 * IFERROR(VLOOKUP("LULUCF|SO2|Work loss days", US_national_yearly!$D:$AM, 18, FALSE) / VLOOKUP("LULUCF|SO2|Work loss days", US_national_yearly!$D:$AM, 10, FALSE), 1)</f>
        <v>3.8062720481764602E-2</v>
      </c>
      <c r="K15" s="7">
        <f>$B15 * IFERROR(VLOOKUP("LULUCF|SO2|Work loss days", US_national_yearly!$D:$AM, 19, FALSE) / VLOOKUP("LULUCF|SO2|Work loss days", US_national_yearly!$D:$AM, 10, FALSE), 1)</f>
        <v>3.8290721535303038E-2</v>
      </c>
      <c r="L15" s="7">
        <f>$B15 * IFERROR(VLOOKUP("LULUCF|SO2|Work loss days", US_national_yearly!$D:$AM, 20, FALSE) / VLOOKUP("LULUCF|SO2|Work loss days", US_national_yearly!$D:$AM, 10, FALSE), 1)</f>
        <v>3.8518722588841474E-2</v>
      </c>
      <c r="M15" s="7">
        <f>$B15 * IFERROR(VLOOKUP("LULUCF|SO2|Work loss days", US_national_yearly!$D:$AM, 21, FALSE) / VLOOKUP("LULUCF|SO2|Work loss days", US_national_yearly!$D:$AM, 10, FALSE), 1)</f>
        <v>3.874672364237991E-2</v>
      </c>
      <c r="N15" s="7">
        <f>$B15 * IFERROR(VLOOKUP("LULUCF|SO2|Work loss days", US_national_yearly!$D:$AM, 22, FALSE) / VLOOKUP("LULUCF|SO2|Work loss days", US_national_yearly!$D:$AM, 10, FALSE), 1)</f>
        <v>3.9032600015814559E-2</v>
      </c>
      <c r="O15" s="7">
        <f>$B15 * IFERROR(VLOOKUP("LULUCF|SO2|Work loss days", US_national_yearly!$D:$AM, 23, FALSE) / VLOOKUP("LULUCF|SO2|Work loss days", US_national_yearly!$D:$AM, 10, FALSE), 1)</f>
        <v>3.9318476389249214E-2</v>
      </c>
      <c r="P15" s="7">
        <f>$B15 * IFERROR(VLOOKUP("LULUCF|SO2|Work loss days", US_national_yearly!$D:$AM, 24, FALSE) / VLOOKUP("LULUCF|SO2|Work loss days", US_national_yearly!$D:$AM, 10, FALSE), 1)</f>
        <v>3.9604352762683856E-2</v>
      </c>
      <c r="Q15" s="7">
        <f>$B15 * IFERROR(VLOOKUP("LULUCF|SO2|Work loss days", US_national_yearly!$D:$AM, 25, FALSE) / VLOOKUP("LULUCF|SO2|Work loss days", US_national_yearly!$D:$AM, 10, FALSE), 1)</f>
        <v>3.9890229136118505E-2</v>
      </c>
      <c r="R15" s="7">
        <f>$B15 * IFERROR(VLOOKUP("LULUCF|SO2|Work loss days", US_national_yearly!$D:$AM, 26, FALSE) / VLOOKUP("LULUCF|SO2|Work loss days", US_national_yearly!$D:$AM, 10, FALSE), 1)</f>
        <v>4.017610550955316E-2</v>
      </c>
      <c r="S15" s="7">
        <f>$B15 * IFERROR(VLOOKUP("LULUCF|SO2|Work loss days", US_national_yearly!$D:$AM, 27, FALSE) / VLOOKUP("LULUCF|SO2|Work loss days", US_national_yearly!$D:$AM, 10, FALSE), 1)</f>
        <v>4.0495571414344012E-2</v>
      </c>
      <c r="T15" s="7">
        <f>$B15 * IFERROR(VLOOKUP("LULUCF|SO2|Work loss days", US_national_yearly!$D:$AM, 28, FALSE) / VLOOKUP("LULUCF|SO2|Work loss days", US_national_yearly!$D:$AM, 10, FALSE), 1)</f>
        <v>4.0815037319134877E-2</v>
      </c>
      <c r="U15" s="7">
        <f>$B15 * IFERROR(VLOOKUP("LULUCF|SO2|Work loss days", US_national_yearly!$D:$AM, 29, FALSE) / VLOOKUP("LULUCF|SO2|Work loss days", US_national_yearly!$D:$AM, 10, FALSE), 1)</f>
        <v>4.1134503223925735E-2</v>
      </c>
      <c r="V15" s="7">
        <f>$B15 * IFERROR(VLOOKUP("LULUCF|SO2|Work loss days", US_national_yearly!$D:$AM, 30, FALSE) / VLOOKUP("LULUCF|SO2|Work loss days", US_national_yearly!$D:$AM, 10, FALSE), 1)</f>
        <v>4.1453969128716593E-2</v>
      </c>
      <c r="W15" s="7">
        <f>$B15 * IFERROR(VLOOKUP("LULUCF|SO2|Work loss days", US_national_yearly!$D:$AM, 31, FALSE) / VLOOKUP("LULUCF|SO2|Work loss days", US_national_yearly!$D:$AM, 10, FALSE), 1)</f>
        <v>4.1773435033507458E-2</v>
      </c>
      <c r="X15" s="7">
        <f>$B15 * IFERROR(VLOOKUP("LULUCF|SO2|Work loss days", US_national_yearly!$D:$AM, 32, FALSE) / VLOOKUP("LULUCF|SO2|Work loss days", US_national_yearly!$D:$AM, 10, FALSE), 1)</f>
        <v>4.2060271381910604E-2</v>
      </c>
      <c r="Y15" s="7">
        <f>$B15 * IFERROR(VLOOKUP("LULUCF|SO2|Work loss days", US_national_yearly!$D:$AM, 33, FALSE) / VLOOKUP("LULUCF|SO2|Work loss days", US_national_yearly!$D:$AM, 10, FALSE), 1)</f>
        <v>4.2347107730313756E-2</v>
      </c>
      <c r="Z15" s="7">
        <f>$B15 * IFERROR(VLOOKUP("LULUCF|SO2|Work loss days", US_national_yearly!$D:$AM, 34, FALSE) / VLOOKUP("LULUCF|SO2|Work loss days", US_national_yearly!$D:$AM, 10, FALSE), 1)</f>
        <v>4.2633944078716908E-2</v>
      </c>
      <c r="AA15" s="7">
        <f>$B15 * IFERROR(VLOOKUP("LULUCF|SO2|Work loss days", US_national_yearly!$D:$AM, 35, FALSE) / VLOOKUP("LULUCF|SO2|Work loss days", US_national_yearly!$D:$AM, 10, FALSE), 1)</f>
        <v>4.292078042712006E-2</v>
      </c>
      <c r="AB15" s="7">
        <f>$B15 * IFERROR(VLOOKUP("LULUCF|SO2|Work loss days", US_national_yearly!$D:$AM, 36, FALSE) / VLOOKUP("LULUCF|SO2|Work loss days", US_national_yearly!$D:$AM, 10, FALSE), 1)</f>
        <v>4.3207616775523219E-2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7.5690234012829366E-5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7.7979396539207334E-5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8.0268559065585287E-5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8.2557721591963254E-5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8.4846884118341235E-5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8.7039684153277275E-5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8.9232484188213343E-5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9.1111285896962302E-5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9.2990087605711248E-5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9.4868889314460195E-5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9.6747691023209154E-5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9.8626492731958087E-5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9.9888619508425384E-5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1.0115074628489268E-4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1.0241287306135996E-4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1.0367499983782725E-4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1.0493712661429456E-4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1.0560091543520593E-4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1.062647042561173E-4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1.0692849307702869E-4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1.0759228189794006E-4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1.0825607071885144E-4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1.0870169409751119E-4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1.0914731747617093E-4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1.0959294085483067E-4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1.1003856423349043E-4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1.1048418761215016E-4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2026-06-15T17:15:03Z</dcterms:modified>
</cp:coreProperties>
</file>