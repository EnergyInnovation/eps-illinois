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IL\trans\BCDTRtSY\"/>
    </mc:Choice>
  </mc:AlternateContent>
  <xr:revisionPtr revIDLastSave="0" documentId="8_{98771835-025D-496D-B09A-0E773B0C075F}"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<sst xmlns="http://schemas.openxmlformats.org/spreadsheetml/2006/main" count="6428" uniqueCount="3038">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</sst>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2898</v>
      </c>
      <c r="C1" s="77">
        <v>46248</v>
      </c>
      <c r="H1" t="s">
        <v>2981</v>
      </c>
      <c r="I1" t="s">
        <v>2982</v>
      </c>
    </row>
    <row r="2" spans="1:9">
      <c r="B2" t="str">
        <f>VLOOKUP(B1,H2:I52,2)</f>
        <v>IL</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Illinois</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1.003839967728114</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1.0090928769591885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1.0112722901634059</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1.0130473120703138</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1.0140908746833943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1.0102522257165418</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1.0065736263666263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1.0015383573296879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0.99709578366208484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0.99184835178756492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0.98728285583589248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0.9831357518251389</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0.97904475926632828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0.97439377620423762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0.96993919932139716</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0.9646171089354072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0.95918730018296494</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0.95345638145910661</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0.94794126716021576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0.94223608118677349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0.93630209326401626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0.92968302686834103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0.92319824184477939</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0.91653095118906169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0.91023226824778558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1.0156219167415674</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1.0254120912287767</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1.0317246766047907</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1.0368146902079314</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1.0404994073368541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1.0381341160193587</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1.0353402707708339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1.0330019718904013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1.0301950405965221</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1.0276851467401307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1.0244178150289325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1.021266588375181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1.0176382509767159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1.0139869713095564</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1.0102841810295582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1.0057772580335913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1.0012212165582974</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0.99635742905358915</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0.99138405139891306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0.9863097732032956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0.98089380537018622</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0.97538293795271458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0.96954584583948278</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0.96356606646120524</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0.95753697757624934</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1.0290092169576628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1.0453717004819185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1.0509640987067062</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1.0613249726254219</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1.0757451616559612</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1.0845512161155204</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1.0974735015640753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1.112027827333872</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1.1286276542448299</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1.147420729081448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1.1593255808961247</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1.1711068412284804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1.1824608538190848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1.1927003411675503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1.203180148960203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1.2120882141529485</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1.2218095183778885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1.232546124712615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1.242999539027376</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1.2533645087494145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1.2626140581825889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1.2699219484640276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1.2772163181152916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1.2834045699712071</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1.2898581334830237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1.061296430688164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1.1060387742387325</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1.1391568168681347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1.1673796279621491</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1.1909237287685559</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1.2049798579306965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1.2166725574030959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1.2290058398830093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1.2362681189814944</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1.2433555898412321</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1.2467640810091787</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1.2508954263337271</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1.2536992941230192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1.2538884239004513</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1.2543475528229129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1.2532248472674816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1.2520637132149581</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1.2494247756885872</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1.2474768921764914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1.2460646275200349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1.2431343048357204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1.2408041565109276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1.2363866920939783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1.2315815150960157</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1.2264898782585583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0.99966962638278201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0.99229830812325959</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0.97904661377236113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0.96827640946744875</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0.95982209830156906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0.94689441593302648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0.93635552583423676</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0.92705833914565927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0.91902319639071006</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0.9122811107851162</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0.90275681637078431</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0.89334131471066058</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0.88384433870876633</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0.87435540154550029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0.86502632586895201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0.85500202493885791</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0.84543707269123802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0.83620662615532637</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0.82703975878731395</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0.81790692135823384</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0.80842083749059657</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0.79843012788676093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0.78839141902036436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0.77810290085056733</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0.76813060325083127</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1.0036048657684651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1.0093883130643866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1.012238560492583</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1.0148804063250685</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1.0165008425851914</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1.013875312562236</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1.0112854551288233</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1.0071920547871405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1.0034470873229013</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0.99883055758409178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0.99499180373469553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0.99158094158427756</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0.9881385804135332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0.98401471067224655</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0.98010906033011613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0.97559062152710563</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0.97082345917890633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0.96584315989436287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0.96117143458349397</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0.95637891547061815</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0.95116976774455841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0.94531099805337637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0.93941943684211937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0.93340389565283621</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0.92775435692493879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0.99382480984156663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0.99312202150357398</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0.99206244230128604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0.99217516929055849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0.99703266710615157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0.99622561323666114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0.99715871416018886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0.99678720599602744</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0.99826711386968914</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1.0003871340196451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1.0027836105383079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1.0063373717879689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1.0110017832557681</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1.0159375156940986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1.0212792220862386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1.0255102376674621</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1.0290785675135143</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1.0301770005534441</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1.030967213918822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1.0329543154686107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1.035301074599501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1.0381980589862458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1.0398579167242954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1.0421523840798881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1.0436915492384784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1.0084357172734268</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1.0210640518244889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1.0327890126460118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1.0418986146670615</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1.053331637653151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1.0558072051983252</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1.0591162291885596</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1.0602144527678723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1.0624845626720496</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1.0645616789043166</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1.065806426877193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1.066329775048892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1.0658430217066377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1.0647800475244165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1.0638550099428434</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1.0625554705244891</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1.0607189638360621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1.0579001997012574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1.05534799589703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1.0544930618709754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1.0537839831906497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1.0529392140122873</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1.0501197408176837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1.0472034879212431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1.0437539067398311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1.0244689215026206</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1.0411087085333872</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1.0512656172119017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1.0650569169057085</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1.0817519475843078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1.0933181713771425</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1.1077656877792823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1.1234427624536942</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1.1406254290792066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1.1593990762721291</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1.1736098075596841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1.1877993946985717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1.2017524012585317</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1.2149845278392415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1.2284357343864865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1.2407870314522407</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1.2537187243764512</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1.2673752878488858</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1.2808633629172741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1.2943130569860957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1.307012398872178</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1.3183750108256405</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1.3297504601910926</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1.3403727785907915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1.3512188524799391</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0.97502355647431871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1.004143643208663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0.9812979479760553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0.97133323465127253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0.97558386851483236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0.94438168959046564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0.94217111819180199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0.94008863263696307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0.93130574757188189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0.92824617166290491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0.92436250305085454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0.92178840406237372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0.91611940828072447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0.91194317780730638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0.90685215330277835</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0.89998708480466905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0.8912040410830776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0.88305841520638573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0.8772032837561361</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0.87082971036519208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0.86673665001467692</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0.86591305850657263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0.86272854633554141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0.85438006674324229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0.84666491922822384</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0.98986070116023983</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1.0066487135727484</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1.0253771061043258</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1.0406887486546819</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1.056850954413961</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1.0669487256149495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1.078872535249358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1.0908802162458544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1.1033798051502948</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1.1166377276800381</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1.1258389024959254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1.1316892804341157</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1.1373987207824694</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1.1418666079342503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1.1462941456785858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1.1501357397828038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1.1548359014808043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1.1590139337265535</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1.1629256444173159</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1.1679343185269311</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1.1729403142720509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1.1779729774017194</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1.182174945781892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1.1859679251483357</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1.1908913333916149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1.003839967728114</v>
      </c>
      <c r="E2">
        <f>'BCDTRtSY-state-adjusted'!E5</f>
        <v>1.0090928769591885</v>
      </c>
      <c r="F2">
        <f>'BCDTRtSY-state-adjusted'!F5</f>
        <v>1.0112722901634059</v>
      </c>
      <c r="G2">
        <f>'BCDTRtSY-state-adjusted'!G5</f>
        <v>1.0130473120703138</v>
      </c>
      <c r="H2">
        <f>'BCDTRtSY-state-adjusted'!H5</f>
        <v>1.0140908746833943</v>
      </c>
      <c r="I2">
        <f>'BCDTRtSY-state-adjusted'!I5</f>
        <v>1.0102522257165418</v>
      </c>
      <c r="J2">
        <f>'BCDTRtSY-state-adjusted'!J5</f>
        <v>1.0065736263666263</v>
      </c>
      <c r="K2">
        <f>'BCDTRtSY-state-adjusted'!K5</f>
        <v>1.0015383573296879</v>
      </c>
      <c r="L2">
        <f>'BCDTRtSY-state-adjusted'!L5</f>
        <v>0.99709578366208484</v>
      </c>
      <c r="M2">
        <f>'BCDTRtSY-state-adjusted'!M5</f>
        <v>0.99184835178756492</v>
      </c>
      <c r="N2">
        <f>'BCDTRtSY-state-adjusted'!N5</f>
        <v>0.98728285583589248</v>
      </c>
      <c r="O2">
        <f>'BCDTRtSY-state-adjusted'!O5</f>
        <v>0.9831357518251389</v>
      </c>
      <c r="P2">
        <f>'BCDTRtSY-state-adjusted'!P5</f>
        <v>0.97904475926632828</v>
      </c>
      <c r="Q2">
        <f>'BCDTRtSY-state-adjusted'!Q5</f>
        <v>0.97439377620423762</v>
      </c>
      <c r="R2">
        <f>'BCDTRtSY-state-adjusted'!R5</f>
        <v>0.96993919932139716</v>
      </c>
      <c r="S2">
        <f>'BCDTRtSY-state-adjusted'!S5</f>
        <v>0.9646171089354072</v>
      </c>
      <c r="T2">
        <f>'BCDTRtSY-state-adjusted'!T5</f>
        <v>0.95918730018296494</v>
      </c>
      <c r="U2">
        <f>'BCDTRtSY-state-adjusted'!U5</f>
        <v>0.95345638145910661</v>
      </c>
      <c r="V2">
        <f>'BCDTRtSY-state-adjusted'!V5</f>
        <v>0.94794126716021576</v>
      </c>
      <c r="W2">
        <f>'BCDTRtSY-state-adjusted'!W5</f>
        <v>0.94223608118677349</v>
      </c>
      <c r="X2">
        <f>'BCDTRtSY-state-adjusted'!X5</f>
        <v>0.93630209326401626</v>
      </c>
      <c r="Y2">
        <f>'BCDTRtSY-state-adjusted'!Y5</f>
        <v>0.92968302686834103</v>
      </c>
      <c r="Z2">
        <f>'BCDTRtSY-state-adjusted'!Z5</f>
        <v>0.92319824184477939</v>
      </c>
      <c r="AA2">
        <f>'BCDTRtSY-state-adjusted'!AA5</f>
        <v>0.91653095118906169</v>
      </c>
      <c r="AB2">
        <f>'BCDTRtSY-state-adjusted'!AB5</f>
        <v>0.91023226824778558</v>
      </c>
    </row>
    <row r="3" spans="1:28">
      <c r="A3" t="s">
        <v>118</v>
      </c>
      <c r="B3">
        <f>'BCDTRtSY-state-adjusted'!B6</f>
        <v>1</v>
      </c>
      <c r="C3">
        <f>'BCDTRtSY-state-adjusted'!C6</f>
        <v>1</v>
      </c>
      <c r="D3">
        <f>'BCDTRtSY-state-adjusted'!D6</f>
        <v>1.0156219167415674</v>
      </c>
      <c r="E3">
        <f>'BCDTRtSY-state-adjusted'!E6</f>
        <v>1.0254120912287767</v>
      </c>
      <c r="F3">
        <f>'BCDTRtSY-state-adjusted'!F6</f>
        <v>1.0317246766047907</v>
      </c>
      <c r="G3">
        <f>'BCDTRtSY-state-adjusted'!G6</f>
        <v>1.0368146902079314</v>
      </c>
      <c r="H3">
        <f>'BCDTRtSY-state-adjusted'!H6</f>
        <v>1.0404994073368541</v>
      </c>
      <c r="I3">
        <f>'BCDTRtSY-state-adjusted'!I6</f>
        <v>1.0381341160193587</v>
      </c>
      <c r="J3">
        <f>'BCDTRtSY-state-adjusted'!J6</f>
        <v>1.0353402707708339</v>
      </c>
      <c r="K3">
        <f>'BCDTRtSY-state-adjusted'!K6</f>
        <v>1.0330019718904013</v>
      </c>
      <c r="L3">
        <f>'BCDTRtSY-state-adjusted'!L6</f>
        <v>1.0301950405965221</v>
      </c>
      <c r="M3">
        <f>'BCDTRtSY-state-adjusted'!M6</f>
        <v>1.0276851467401307</v>
      </c>
      <c r="N3">
        <f>'BCDTRtSY-state-adjusted'!N6</f>
        <v>1.0244178150289325</v>
      </c>
      <c r="O3">
        <f>'BCDTRtSY-state-adjusted'!O6</f>
        <v>1.021266588375181</v>
      </c>
      <c r="P3">
        <f>'BCDTRtSY-state-adjusted'!P6</f>
        <v>1.0176382509767159</v>
      </c>
      <c r="Q3">
        <f>'BCDTRtSY-state-adjusted'!Q6</f>
        <v>1.0139869713095564</v>
      </c>
      <c r="R3">
        <f>'BCDTRtSY-state-adjusted'!R6</f>
        <v>1.0102841810295582</v>
      </c>
      <c r="S3">
        <f>'BCDTRtSY-state-adjusted'!S6</f>
        <v>1.0057772580335913</v>
      </c>
      <c r="T3">
        <f>'BCDTRtSY-state-adjusted'!T6</f>
        <v>1.0012212165582974</v>
      </c>
      <c r="U3">
        <f>'BCDTRtSY-state-adjusted'!U6</f>
        <v>0.99635742905358915</v>
      </c>
      <c r="V3">
        <f>'BCDTRtSY-state-adjusted'!V6</f>
        <v>0.99138405139891306</v>
      </c>
      <c r="W3">
        <f>'BCDTRtSY-state-adjusted'!W6</f>
        <v>0.9863097732032956</v>
      </c>
      <c r="X3">
        <f>'BCDTRtSY-state-adjusted'!X6</f>
        <v>0.98089380537018622</v>
      </c>
      <c r="Y3">
        <f>'BCDTRtSY-state-adjusted'!Y6</f>
        <v>0.97538293795271458</v>
      </c>
      <c r="Z3">
        <f>'BCDTRtSY-state-adjusted'!Z6</f>
        <v>0.96954584583948278</v>
      </c>
      <c r="AA3">
        <f>'BCDTRtSY-state-adjusted'!AA6</f>
        <v>0.96356606646120524</v>
      </c>
      <c r="AB3">
        <f>'BCDTRtSY-state-adjusted'!AB6</f>
        <v>0.95753697757624934</v>
      </c>
    </row>
    <row r="4" spans="1:28">
      <c r="A4" t="s">
        <v>116</v>
      </c>
      <c r="B4">
        <f>'BCDTRtSY-state-adjusted'!B7</f>
        <v>1</v>
      </c>
      <c r="C4">
        <f>'BCDTRtSY-state-adjusted'!C7</f>
        <v>1</v>
      </c>
      <c r="D4">
        <f>'BCDTRtSY-state-adjusted'!D7</f>
        <v>1.0290092169576628</v>
      </c>
      <c r="E4">
        <f>'BCDTRtSY-state-adjusted'!E7</f>
        <v>1.0453717004819185</v>
      </c>
      <c r="F4">
        <f>'BCDTRtSY-state-adjusted'!F7</f>
        <v>1.0509640987067062</v>
      </c>
      <c r="G4">
        <f>'BCDTRtSY-state-adjusted'!G7</f>
        <v>1.0613249726254219</v>
      </c>
      <c r="H4">
        <f>'BCDTRtSY-state-adjusted'!H7</f>
        <v>1.0757451616559612</v>
      </c>
      <c r="I4">
        <f>'BCDTRtSY-state-adjusted'!I7</f>
        <v>1.0845512161155204</v>
      </c>
      <c r="J4">
        <f>'BCDTRtSY-state-adjusted'!J7</f>
        <v>1.0974735015640753</v>
      </c>
      <c r="K4">
        <f>'BCDTRtSY-state-adjusted'!K7</f>
        <v>1.112027827333872</v>
      </c>
      <c r="L4">
        <f>'BCDTRtSY-state-adjusted'!L7</f>
        <v>1.1286276542448299</v>
      </c>
      <c r="M4">
        <f>'BCDTRtSY-state-adjusted'!M7</f>
        <v>1.147420729081448</v>
      </c>
      <c r="N4">
        <f>'BCDTRtSY-state-adjusted'!N7</f>
        <v>1.1593255808961247</v>
      </c>
      <c r="O4">
        <f>'BCDTRtSY-state-adjusted'!O7</f>
        <v>1.1711068412284804</v>
      </c>
      <c r="P4">
        <f>'BCDTRtSY-state-adjusted'!P7</f>
        <v>1.1824608538190848</v>
      </c>
      <c r="Q4">
        <f>'BCDTRtSY-state-adjusted'!Q7</f>
        <v>1.1927003411675503</v>
      </c>
      <c r="R4">
        <f>'BCDTRtSY-state-adjusted'!R7</f>
        <v>1.203180148960203</v>
      </c>
      <c r="S4">
        <f>'BCDTRtSY-state-adjusted'!S7</f>
        <v>1.2120882141529485</v>
      </c>
      <c r="T4">
        <f>'BCDTRtSY-state-adjusted'!T7</f>
        <v>1.2218095183778885</v>
      </c>
      <c r="U4">
        <f>'BCDTRtSY-state-adjusted'!U7</f>
        <v>1.232546124712615</v>
      </c>
      <c r="V4">
        <f>'BCDTRtSY-state-adjusted'!V7</f>
        <v>1.242999539027376</v>
      </c>
      <c r="W4">
        <f>'BCDTRtSY-state-adjusted'!W7</f>
        <v>1.2533645087494145</v>
      </c>
      <c r="X4">
        <f>'BCDTRtSY-state-adjusted'!X7</f>
        <v>1.2626140581825889</v>
      </c>
      <c r="Y4">
        <f>'BCDTRtSY-state-adjusted'!Y7</f>
        <v>1.2699219484640276</v>
      </c>
      <c r="Z4">
        <f>'BCDTRtSY-state-adjusted'!Z7</f>
        <v>1.2772163181152916</v>
      </c>
      <c r="AA4">
        <f>'BCDTRtSY-state-adjusted'!AA7</f>
        <v>1.2834045699712071</v>
      </c>
      <c r="AB4">
        <f>'BCDTRtSY-state-adjusted'!AB7</f>
        <v>1.2898581334830237</v>
      </c>
    </row>
    <row r="5" spans="1:28">
      <c r="A5" t="s">
        <v>121</v>
      </c>
      <c r="B5">
        <f>'BCDTRtSY-state-adjusted'!B8</f>
        <v>1</v>
      </c>
      <c r="C5">
        <f>'BCDTRtSY-state-adjusted'!C8</f>
        <v>1</v>
      </c>
      <c r="D5">
        <f>'BCDTRtSY-state-adjusted'!D8</f>
        <v>1.061296430688164</v>
      </c>
      <c r="E5">
        <f>'BCDTRtSY-state-adjusted'!E8</f>
        <v>1.1060387742387325</v>
      </c>
      <c r="F5">
        <f>'BCDTRtSY-state-adjusted'!F8</f>
        <v>1.1391568168681347</v>
      </c>
      <c r="G5">
        <f>'BCDTRtSY-state-adjusted'!G8</f>
        <v>1.1673796279621491</v>
      </c>
      <c r="H5">
        <f>'BCDTRtSY-state-adjusted'!H8</f>
        <v>1.1909237287685559</v>
      </c>
      <c r="I5">
        <f>'BCDTRtSY-state-adjusted'!I8</f>
        <v>1.2049798579306965</v>
      </c>
      <c r="J5">
        <f>'BCDTRtSY-state-adjusted'!J8</f>
        <v>1.2166725574030959</v>
      </c>
      <c r="K5">
        <f>'BCDTRtSY-state-adjusted'!K8</f>
        <v>1.2290058398830093</v>
      </c>
      <c r="L5">
        <f>'BCDTRtSY-state-adjusted'!L8</f>
        <v>1.2362681189814944</v>
      </c>
      <c r="M5">
        <f>'BCDTRtSY-state-adjusted'!M8</f>
        <v>1.2433555898412321</v>
      </c>
      <c r="N5">
        <f>'BCDTRtSY-state-adjusted'!N8</f>
        <v>1.2467640810091787</v>
      </c>
      <c r="O5">
        <f>'BCDTRtSY-state-adjusted'!O8</f>
        <v>1.2508954263337271</v>
      </c>
      <c r="P5">
        <f>'BCDTRtSY-state-adjusted'!P8</f>
        <v>1.2536992941230192</v>
      </c>
      <c r="Q5">
        <f>'BCDTRtSY-state-adjusted'!Q8</f>
        <v>1.2538884239004513</v>
      </c>
      <c r="R5">
        <f>'BCDTRtSY-state-adjusted'!R8</f>
        <v>1.2543475528229129</v>
      </c>
      <c r="S5">
        <f>'BCDTRtSY-state-adjusted'!S8</f>
        <v>1.2532248472674816</v>
      </c>
      <c r="T5">
        <f>'BCDTRtSY-state-adjusted'!T8</f>
        <v>1.2520637132149581</v>
      </c>
      <c r="U5">
        <f>'BCDTRtSY-state-adjusted'!U8</f>
        <v>1.2494247756885872</v>
      </c>
      <c r="V5">
        <f>'BCDTRtSY-state-adjusted'!V8</f>
        <v>1.2474768921764914</v>
      </c>
      <c r="W5">
        <f>'BCDTRtSY-state-adjusted'!W8</f>
        <v>1.2460646275200349</v>
      </c>
      <c r="X5">
        <f>'BCDTRtSY-state-adjusted'!X8</f>
        <v>1.2431343048357204</v>
      </c>
      <c r="Y5">
        <f>'BCDTRtSY-state-adjusted'!Y8</f>
        <v>1.2408041565109276</v>
      </c>
      <c r="Z5">
        <f>'BCDTRtSY-state-adjusted'!Z8</f>
        <v>1.2363866920939783</v>
      </c>
      <c r="AA5">
        <f>'BCDTRtSY-state-adjusted'!AA8</f>
        <v>1.2315815150960157</v>
      </c>
      <c r="AB5">
        <f>'BCDTRtSY-state-adjusted'!AB8</f>
        <v>1.2264898782585583</v>
      </c>
    </row>
    <row r="6" spans="1:28">
      <c r="A6" t="s">
        <v>122</v>
      </c>
      <c r="B6">
        <f>'BCDTRtSY-state-adjusted'!B9</f>
        <v>1</v>
      </c>
      <c r="C6">
        <f>'BCDTRtSY-state-adjusted'!C9</f>
        <v>1</v>
      </c>
      <c r="D6">
        <f>'BCDTRtSY-state-adjusted'!D9</f>
        <v>0.99966962638278201</v>
      </c>
      <c r="E6">
        <f>'BCDTRtSY-state-adjusted'!E9</f>
        <v>0.99229830812325959</v>
      </c>
      <c r="F6">
        <f>'BCDTRtSY-state-adjusted'!F9</f>
        <v>0.97904661377236113</v>
      </c>
      <c r="G6">
        <f>'BCDTRtSY-state-adjusted'!G9</f>
        <v>0.96827640946744875</v>
      </c>
      <c r="H6">
        <f>'BCDTRtSY-state-adjusted'!H9</f>
        <v>0.95982209830156906</v>
      </c>
      <c r="I6">
        <f>'BCDTRtSY-state-adjusted'!I9</f>
        <v>0.94689441593302648</v>
      </c>
      <c r="J6">
        <f>'BCDTRtSY-state-adjusted'!J9</f>
        <v>0.93635552583423676</v>
      </c>
      <c r="K6">
        <f>'BCDTRtSY-state-adjusted'!K9</f>
        <v>0.92705833914565927</v>
      </c>
      <c r="L6">
        <f>'BCDTRtSY-state-adjusted'!L9</f>
        <v>0.91902319639071006</v>
      </c>
      <c r="M6">
        <f>'BCDTRtSY-state-adjusted'!M9</f>
        <v>0.9122811107851162</v>
      </c>
      <c r="N6">
        <f>'BCDTRtSY-state-adjusted'!N9</f>
        <v>0.90275681637078431</v>
      </c>
      <c r="O6">
        <f>'BCDTRtSY-state-adjusted'!O9</f>
        <v>0.89334131471066058</v>
      </c>
      <c r="P6">
        <f>'BCDTRtSY-state-adjusted'!P9</f>
        <v>0.88384433870876633</v>
      </c>
      <c r="Q6">
        <f>'BCDTRtSY-state-adjusted'!Q9</f>
        <v>0.87435540154550029</v>
      </c>
      <c r="R6">
        <f>'BCDTRtSY-state-adjusted'!R9</f>
        <v>0.86502632586895201</v>
      </c>
      <c r="S6">
        <f>'BCDTRtSY-state-adjusted'!S9</f>
        <v>0.85500202493885791</v>
      </c>
      <c r="T6">
        <f>'BCDTRtSY-state-adjusted'!T9</f>
        <v>0.84543707269123802</v>
      </c>
      <c r="U6">
        <f>'BCDTRtSY-state-adjusted'!U9</f>
        <v>0.83620662615532637</v>
      </c>
      <c r="V6">
        <f>'BCDTRtSY-state-adjusted'!V9</f>
        <v>0.82703975878731395</v>
      </c>
      <c r="W6">
        <f>'BCDTRtSY-state-adjusted'!W9</f>
        <v>0.81790692135823384</v>
      </c>
      <c r="X6">
        <f>'BCDTRtSY-state-adjusted'!X9</f>
        <v>0.80842083749059657</v>
      </c>
      <c r="Y6">
        <f>'BCDTRtSY-state-adjusted'!Y9</f>
        <v>0.79843012788676093</v>
      </c>
      <c r="Z6">
        <f>'BCDTRtSY-state-adjusted'!Z9</f>
        <v>0.78839141902036436</v>
      </c>
      <c r="AA6">
        <f>'BCDTRtSY-state-adjusted'!AA9</f>
        <v>0.77810290085056733</v>
      </c>
      <c r="AB6">
        <f>'BCDTRtSY-state-adjusted'!AB9</f>
        <v>0.76813060325083127</v>
      </c>
    </row>
    <row r="7" spans="1:28">
      <c r="A7" t="s">
        <v>123</v>
      </c>
      <c r="B7">
        <f>'BCDTRtSY-state-adjusted'!B10</f>
        <v>1</v>
      </c>
      <c r="C7">
        <f>'BCDTRtSY-state-adjusted'!C10</f>
        <v>1</v>
      </c>
      <c r="D7">
        <f>'BCDTRtSY-state-adjusted'!D10</f>
        <v>1.0036048657684651</v>
      </c>
      <c r="E7">
        <f>'BCDTRtSY-state-adjusted'!E10</f>
        <v>1.0093883130643866</v>
      </c>
      <c r="F7">
        <f>'BCDTRtSY-state-adjusted'!F10</f>
        <v>1.012238560492583</v>
      </c>
      <c r="G7">
        <f>'BCDTRtSY-state-adjusted'!G10</f>
        <v>1.0148804063250685</v>
      </c>
      <c r="H7">
        <f>'BCDTRtSY-state-adjusted'!H10</f>
        <v>1.0165008425851914</v>
      </c>
      <c r="I7">
        <f>'BCDTRtSY-state-adjusted'!I10</f>
        <v>1.013875312562236</v>
      </c>
      <c r="J7">
        <f>'BCDTRtSY-state-adjusted'!J10</f>
        <v>1.0112854551288233</v>
      </c>
      <c r="K7">
        <f>'BCDTRtSY-state-adjusted'!K10</f>
        <v>1.0071920547871405</v>
      </c>
      <c r="L7">
        <f>'BCDTRtSY-state-adjusted'!L10</f>
        <v>1.0034470873229013</v>
      </c>
      <c r="M7">
        <f>'BCDTRtSY-state-adjusted'!M10</f>
        <v>0.99883055758409178</v>
      </c>
      <c r="N7">
        <f>'BCDTRtSY-state-adjusted'!N10</f>
        <v>0.99499180373469553</v>
      </c>
      <c r="O7">
        <f>'BCDTRtSY-state-adjusted'!O10</f>
        <v>0.99158094158427756</v>
      </c>
      <c r="P7">
        <f>'BCDTRtSY-state-adjusted'!P10</f>
        <v>0.9881385804135332</v>
      </c>
      <c r="Q7">
        <f>'BCDTRtSY-state-adjusted'!Q10</f>
        <v>0.98401471067224655</v>
      </c>
      <c r="R7">
        <f>'BCDTRtSY-state-adjusted'!R10</f>
        <v>0.98010906033011613</v>
      </c>
      <c r="S7">
        <f>'BCDTRtSY-state-adjusted'!S10</f>
        <v>0.97559062152710563</v>
      </c>
      <c r="T7">
        <f>'BCDTRtSY-state-adjusted'!T10</f>
        <v>0.97082345917890633</v>
      </c>
      <c r="U7">
        <f>'BCDTRtSY-state-adjusted'!U10</f>
        <v>0.96584315989436287</v>
      </c>
      <c r="V7">
        <f>'BCDTRtSY-state-adjusted'!V10</f>
        <v>0.96117143458349397</v>
      </c>
      <c r="W7">
        <f>'BCDTRtSY-state-adjusted'!W10</f>
        <v>0.95637891547061815</v>
      </c>
      <c r="X7">
        <f>'BCDTRtSY-state-adjusted'!X10</f>
        <v>0.95116976774455841</v>
      </c>
      <c r="Y7">
        <f>'BCDTRtSY-state-adjusted'!Y10</f>
        <v>0.94531099805337637</v>
      </c>
      <c r="Z7">
        <f>'BCDTRtSY-state-adjusted'!Z10</f>
        <v>0.93941943684211937</v>
      </c>
      <c r="AA7">
        <f>'BCDTRtSY-state-adjusted'!AA10</f>
        <v>0.93340389565283621</v>
      </c>
      <c r="AB7">
        <f>'BCDTRtSY-state-adjusted'!AB10</f>
        <v>0.92775435692493879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0.99382480984156663</v>
      </c>
      <c r="E2">
        <f>'BCDTRtSY-state-adjusted'!E13</f>
        <v>0.99312202150357398</v>
      </c>
      <c r="F2">
        <f>'BCDTRtSY-state-adjusted'!F13</f>
        <v>0.99206244230128604</v>
      </c>
      <c r="G2">
        <f>'BCDTRtSY-state-adjusted'!G13</f>
        <v>0.99217516929055849</v>
      </c>
      <c r="H2">
        <f>'BCDTRtSY-state-adjusted'!H13</f>
        <v>0.99703266710615157</v>
      </c>
      <c r="I2">
        <f>'BCDTRtSY-state-adjusted'!I13</f>
        <v>0.99622561323666114</v>
      </c>
      <c r="J2">
        <f>'BCDTRtSY-state-adjusted'!J13</f>
        <v>0.99715871416018886</v>
      </c>
      <c r="K2">
        <f>'BCDTRtSY-state-adjusted'!K13</f>
        <v>0.99678720599602744</v>
      </c>
      <c r="L2">
        <f>'BCDTRtSY-state-adjusted'!L13</f>
        <v>0.99826711386968914</v>
      </c>
      <c r="M2">
        <f>'BCDTRtSY-state-adjusted'!M13</f>
        <v>1.0003871340196451</v>
      </c>
      <c r="N2">
        <f>'BCDTRtSY-state-adjusted'!N13</f>
        <v>1.0027836105383079</v>
      </c>
      <c r="O2">
        <f>'BCDTRtSY-state-adjusted'!O13</f>
        <v>1.0063373717879689</v>
      </c>
      <c r="P2">
        <f>'BCDTRtSY-state-adjusted'!P13</f>
        <v>1.0110017832557681</v>
      </c>
      <c r="Q2">
        <f>'BCDTRtSY-state-adjusted'!Q13</f>
        <v>1.0159375156940986</v>
      </c>
      <c r="R2">
        <f>'BCDTRtSY-state-adjusted'!R13</f>
        <v>1.0212792220862386</v>
      </c>
      <c r="S2">
        <f>'BCDTRtSY-state-adjusted'!S13</f>
        <v>1.0255102376674621</v>
      </c>
      <c r="T2">
        <f>'BCDTRtSY-state-adjusted'!T13</f>
        <v>1.0290785675135143</v>
      </c>
      <c r="U2">
        <f>'BCDTRtSY-state-adjusted'!U13</f>
        <v>1.0301770005534441</v>
      </c>
      <c r="V2">
        <f>'BCDTRtSY-state-adjusted'!V13</f>
        <v>1.030967213918822</v>
      </c>
      <c r="W2">
        <f>'BCDTRtSY-state-adjusted'!W13</f>
        <v>1.0329543154686107</v>
      </c>
      <c r="X2">
        <f>'BCDTRtSY-state-adjusted'!X13</f>
        <v>1.035301074599501</v>
      </c>
      <c r="Y2">
        <f>'BCDTRtSY-state-adjusted'!Y13</f>
        <v>1.0381980589862458</v>
      </c>
      <c r="Z2">
        <f>'BCDTRtSY-state-adjusted'!Z13</f>
        <v>1.0398579167242954</v>
      </c>
      <c r="AA2">
        <f>'BCDTRtSY-state-adjusted'!AA13</f>
        <v>1.0421523840798881</v>
      </c>
      <c r="AB2">
        <f>'BCDTRtSY-state-adjusted'!AB13</f>
        <v>1.0436915492384784</v>
      </c>
    </row>
    <row r="3" spans="1:28">
      <c r="A3" t="s">
        <v>118</v>
      </c>
      <c r="B3">
        <f>'BCDTRtSY-state-adjusted'!B14</f>
        <v>1</v>
      </c>
      <c r="C3">
        <f>'BCDTRtSY-state-adjusted'!C14</f>
        <v>1</v>
      </c>
      <c r="D3">
        <f>'BCDTRtSY-state-adjusted'!D14</f>
        <v>1.0084357172734268</v>
      </c>
      <c r="E3">
        <f>'BCDTRtSY-state-adjusted'!E14</f>
        <v>1.0210640518244889</v>
      </c>
      <c r="F3">
        <f>'BCDTRtSY-state-adjusted'!F14</f>
        <v>1.0327890126460118</v>
      </c>
      <c r="G3">
        <f>'BCDTRtSY-state-adjusted'!G14</f>
        <v>1.0418986146670615</v>
      </c>
      <c r="H3">
        <f>'BCDTRtSY-state-adjusted'!H14</f>
        <v>1.053331637653151</v>
      </c>
      <c r="I3">
        <f>'BCDTRtSY-state-adjusted'!I14</f>
        <v>1.0558072051983252</v>
      </c>
      <c r="J3">
        <f>'BCDTRtSY-state-adjusted'!J14</f>
        <v>1.0591162291885596</v>
      </c>
      <c r="K3">
        <f>'BCDTRtSY-state-adjusted'!K14</f>
        <v>1.0602144527678723</v>
      </c>
      <c r="L3">
        <f>'BCDTRtSY-state-adjusted'!L14</f>
        <v>1.0624845626720496</v>
      </c>
      <c r="M3">
        <f>'BCDTRtSY-state-adjusted'!M14</f>
        <v>1.0645616789043166</v>
      </c>
      <c r="N3">
        <f>'BCDTRtSY-state-adjusted'!N14</f>
        <v>1.065806426877193</v>
      </c>
      <c r="O3">
        <f>'BCDTRtSY-state-adjusted'!O14</f>
        <v>1.066329775048892</v>
      </c>
      <c r="P3">
        <f>'BCDTRtSY-state-adjusted'!P14</f>
        <v>1.0658430217066377</v>
      </c>
      <c r="Q3">
        <f>'BCDTRtSY-state-adjusted'!Q14</f>
        <v>1.0647800475244165</v>
      </c>
      <c r="R3">
        <f>'BCDTRtSY-state-adjusted'!R14</f>
        <v>1.0638550099428434</v>
      </c>
      <c r="S3">
        <f>'BCDTRtSY-state-adjusted'!S14</f>
        <v>1.0625554705244891</v>
      </c>
      <c r="T3">
        <f>'BCDTRtSY-state-adjusted'!T14</f>
        <v>1.0607189638360621</v>
      </c>
      <c r="U3">
        <f>'BCDTRtSY-state-adjusted'!U14</f>
        <v>1.0579001997012574</v>
      </c>
      <c r="V3">
        <f>'BCDTRtSY-state-adjusted'!V14</f>
        <v>1.05534799589703</v>
      </c>
      <c r="W3">
        <f>'BCDTRtSY-state-adjusted'!W14</f>
        <v>1.0544930618709754</v>
      </c>
      <c r="X3">
        <f>'BCDTRtSY-state-adjusted'!X14</f>
        <v>1.0537839831906497</v>
      </c>
      <c r="Y3">
        <f>'BCDTRtSY-state-adjusted'!Y14</f>
        <v>1.0529392140122873</v>
      </c>
      <c r="Z3">
        <f>'BCDTRtSY-state-adjusted'!Z14</f>
        <v>1.0501197408176837</v>
      </c>
      <c r="AA3">
        <f>'BCDTRtSY-state-adjusted'!AA14</f>
        <v>1.0472034879212431</v>
      </c>
      <c r="AB3">
        <f>'BCDTRtSY-state-adjusted'!AB14</f>
        <v>1.0437539067398311</v>
      </c>
    </row>
    <row r="4" spans="1:28">
      <c r="A4" t="s">
        <v>116</v>
      </c>
      <c r="B4">
        <f>'BCDTRtSY-state-adjusted'!B15</f>
        <v>1</v>
      </c>
      <c r="C4">
        <f>'BCDTRtSY-state-adjusted'!C15</f>
        <v>1</v>
      </c>
      <c r="D4">
        <f>'BCDTRtSY-state-adjusted'!D15</f>
        <v>1.0244689215026206</v>
      </c>
      <c r="E4">
        <f>'BCDTRtSY-state-adjusted'!E15</f>
        <v>1.0411087085333872</v>
      </c>
      <c r="F4">
        <f>'BCDTRtSY-state-adjusted'!F15</f>
        <v>1.0512656172119017</v>
      </c>
      <c r="G4">
        <f>'BCDTRtSY-state-adjusted'!G15</f>
        <v>1.0650569169057085</v>
      </c>
      <c r="H4">
        <f>'BCDTRtSY-state-adjusted'!H15</f>
        <v>1.0817519475843078</v>
      </c>
      <c r="I4">
        <f>'BCDTRtSY-state-adjusted'!I15</f>
        <v>1.0933181713771425</v>
      </c>
      <c r="J4">
        <f>'BCDTRtSY-state-adjusted'!J15</f>
        <v>1.1077656877792823</v>
      </c>
      <c r="K4">
        <f>'BCDTRtSY-state-adjusted'!K15</f>
        <v>1.1234427624536942</v>
      </c>
      <c r="L4">
        <f>'BCDTRtSY-state-adjusted'!L15</f>
        <v>1.1406254290792066</v>
      </c>
      <c r="M4">
        <f>'BCDTRtSY-state-adjusted'!M15</f>
        <v>1.1593990762721291</v>
      </c>
      <c r="N4">
        <f>'BCDTRtSY-state-adjusted'!N15</f>
        <v>1.1736098075596841</v>
      </c>
      <c r="O4">
        <f>'BCDTRtSY-state-adjusted'!O15</f>
        <v>1.1877993946985717</v>
      </c>
      <c r="P4">
        <f>'BCDTRtSY-state-adjusted'!P15</f>
        <v>1.2017524012585317</v>
      </c>
      <c r="Q4">
        <f>'BCDTRtSY-state-adjusted'!Q15</f>
        <v>1.2149845278392415</v>
      </c>
      <c r="R4">
        <f>'BCDTRtSY-state-adjusted'!R15</f>
        <v>1.2284357343864865</v>
      </c>
      <c r="S4">
        <f>'BCDTRtSY-state-adjusted'!S15</f>
        <v>1.2407870314522407</v>
      </c>
      <c r="T4">
        <f>'BCDTRtSY-state-adjusted'!T15</f>
        <v>1.2537187243764512</v>
      </c>
      <c r="U4">
        <f>'BCDTRtSY-state-adjusted'!U15</f>
        <v>1.2673752878488858</v>
      </c>
      <c r="V4">
        <f>'BCDTRtSY-state-adjusted'!V15</f>
        <v>1.2808633629172741</v>
      </c>
      <c r="W4">
        <f>'BCDTRtSY-state-adjusted'!W15</f>
        <v>1.2943130569860957</v>
      </c>
      <c r="X4">
        <f>'BCDTRtSY-state-adjusted'!X15</f>
        <v>1.307012398872178</v>
      </c>
      <c r="Y4">
        <f>'BCDTRtSY-state-adjusted'!Y15</f>
        <v>1.3183750108256405</v>
      </c>
      <c r="Z4">
        <f>'BCDTRtSY-state-adjusted'!Z15</f>
        <v>1.3297504601910926</v>
      </c>
      <c r="AA4">
        <f>'BCDTRtSY-state-adjusted'!AA15</f>
        <v>1.3403727785907915</v>
      </c>
      <c r="AB4">
        <f>'BCDTRtSY-state-adjusted'!AB15</f>
        <v>1.3512188524799391</v>
      </c>
    </row>
    <row r="5" spans="1:28">
      <c r="A5" t="s">
        <v>121</v>
      </c>
      <c r="B5">
        <f>'BCDTRtSY-state-adjusted'!B16</f>
        <v>1</v>
      </c>
      <c r="C5">
        <f>'BCDTRtSY-state-adjusted'!C16</f>
        <v>1</v>
      </c>
      <c r="D5">
        <f>'BCDTRtSY-state-adjusted'!D16</f>
        <v>0.97502355647431871</v>
      </c>
      <c r="E5">
        <f>'BCDTRtSY-state-adjusted'!E16</f>
        <v>1.004143643208663</v>
      </c>
      <c r="F5">
        <f>'BCDTRtSY-state-adjusted'!F16</f>
        <v>0.9812979479760553</v>
      </c>
      <c r="G5">
        <f>'BCDTRtSY-state-adjusted'!G16</f>
        <v>0.97133323465127253</v>
      </c>
      <c r="H5">
        <f>'BCDTRtSY-state-adjusted'!H16</f>
        <v>0.97558386851483236</v>
      </c>
      <c r="I5">
        <f>'BCDTRtSY-state-adjusted'!I16</f>
        <v>0.94438168959046564</v>
      </c>
      <c r="J5">
        <f>'BCDTRtSY-state-adjusted'!J16</f>
        <v>0.94217111819180199</v>
      </c>
      <c r="K5">
        <f>'BCDTRtSY-state-adjusted'!K16</f>
        <v>0.94008863263696307</v>
      </c>
      <c r="L5">
        <f>'BCDTRtSY-state-adjusted'!L16</f>
        <v>0.93130574757188189</v>
      </c>
      <c r="M5">
        <f>'BCDTRtSY-state-adjusted'!M16</f>
        <v>0.92824617166290491</v>
      </c>
      <c r="N5">
        <f>'BCDTRtSY-state-adjusted'!N16</f>
        <v>0.92436250305085454</v>
      </c>
      <c r="O5">
        <f>'BCDTRtSY-state-adjusted'!O16</f>
        <v>0.92178840406237372</v>
      </c>
      <c r="P5">
        <f>'BCDTRtSY-state-adjusted'!P16</f>
        <v>0.91611940828072447</v>
      </c>
      <c r="Q5">
        <f>'BCDTRtSY-state-adjusted'!Q16</f>
        <v>0.91194317780730638</v>
      </c>
      <c r="R5">
        <f>'BCDTRtSY-state-adjusted'!R16</f>
        <v>0.90685215330277835</v>
      </c>
      <c r="S5">
        <f>'BCDTRtSY-state-adjusted'!S16</f>
        <v>0.89998708480466905</v>
      </c>
      <c r="T5">
        <f>'BCDTRtSY-state-adjusted'!T16</f>
        <v>0.8912040410830776</v>
      </c>
      <c r="U5">
        <f>'BCDTRtSY-state-adjusted'!U16</f>
        <v>0.88305841520638573</v>
      </c>
      <c r="V5">
        <f>'BCDTRtSY-state-adjusted'!V16</f>
        <v>0.8772032837561361</v>
      </c>
      <c r="W5">
        <f>'BCDTRtSY-state-adjusted'!W16</f>
        <v>0.87082971036519208</v>
      </c>
      <c r="X5">
        <f>'BCDTRtSY-state-adjusted'!X16</f>
        <v>0.86673665001467692</v>
      </c>
      <c r="Y5">
        <f>'BCDTRtSY-state-adjusted'!Y16</f>
        <v>0.86591305850657263</v>
      </c>
      <c r="Z5">
        <f>'BCDTRtSY-state-adjusted'!Z16</f>
        <v>0.86272854633554141</v>
      </c>
      <c r="AA5">
        <f>'BCDTRtSY-state-adjusted'!AA16</f>
        <v>0.85438006674324229</v>
      </c>
      <c r="AB5">
        <f>'BCDTRtSY-state-adjusted'!AB16</f>
        <v>0.84666491922822384</v>
      </c>
    </row>
    <row r="6" spans="1:28">
      <c r="A6" t="s">
        <v>122</v>
      </c>
      <c r="B6">
        <f>'BCDTRtSY-state-adjusted'!B17</f>
        <v>1</v>
      </c>
      <c r="C6">
        <f>'BCDTRtSY-state-adjusted'!C17</f>
        <v>1</v>
      </c>
      <c r="D6">
        <f>'BCDTRtSY-state-adjusted'!D17</f>
        <v>0.98986070116023983</v>
      </c>
      <c r="E6">
        <f>'BCDTRtSY-state-adjusted'!E17</f>
        <v>1.0066487135727484</v>
      </c>
      <c r="F6">
        <f>'BCDTRtSY-state-adjusted'!F17</f>
        <v>1.0253771061043258</v>
      </c>
      <c r="G6">
        <f>'BCDTRtSY-state-adjusted'!G17</f>
        <v>1.0406887486546819</v>
      </c>
      <c r="H6">
        <f>'BCDTRtSY-state-adjusted'!H17</f>
        <v>1.056850954413961</v>
      </c>
      <c r="I6">
        <f>'BCDTRtSY-state-adjusted'!I17</f>
        <v>1.0669487256149495</v>
      </c>
      <c r="J6">
        <f>'BCDTRtSY-state-adjusted'!J17</f>
        <v>1.078872535249358</v>
      </c>
      <c r="K6">
        <f>'BCDTRtSY-state-adjusted'!K17</f>
        <v>1.0908802162458544</v>
      </c>
      <c r="L6">
        <f>'BCDTRtSY-state-adjusted'!L17</f>
        <v>1.1033798051502948</v>
      </c>
      <c r="M6">
        <f>'BCDTRtSY-state-adjusted'!M17</f>
        <v>1.1166377276800381</v>
      </c>
      <c r="N6">
        <f>'BCDTRtSY-state-adjusted'!N17</f>
        <v>1.1258389024959254</v>
      </c>
      <c r="O6">
        <f>'BCDTRtSY-state-adjusted'!O17</f>
        <v>1.1316892804341157</v>
      </c>
      <c r="P6">
        <f>'BCDTRtSY-state-adjusted'!P17</f>
        <v>1.1373987207824694</v>
      </c>
      <c r="Q6">
        <f>'BCDTRtSY-state-adjusted'!Q17</f>
        <v>1.1418666079342503</v>
      </c>
      <c r="R6">
        <f>'BCDTRtSY-state-adjusted'!R17</f>
        <v>1.1462941456785858</v>
      </c>
      <c r="S6">
        <f>'BCDTRtSY-state-adjusted'!S17</f>
        <v>1.1501357397828038</v>
      </c>
      <c r="T6">
        <f>'BCDTRtSY-state-adjusted'!T17</f>
        <v>1.1548359014808043</v>
      </c>
      <c r="U6">
        <f>'BCDTRtSY-state-adjusted'!U17</f>
        <v>1.1590139337265535</v>
      </c>
      <c r="V6">
        <f>'BCDTRtSY-state-adjusted'!V17</f>
        <v>1.1629256444173159</v>
      </c>
      <c r="W6">
        <f>'BCDTRtSY-state-adjusted'!W17</f>
        <v>1.1679343185269311</v>
      </c>
      <c r="X6">
        <f>'BCDTRtSY-state-adjusted'!X17</f>
        <v>1.1729403142720509</v>
      </c>
      <c r="Y6">
        <f>'BCDTRtSY-state-adjusted'!Y17</f>
        <v>1.1779729774017194</v>
      </c>
      <c r="Z6">
        <f>'BCDTRtSY-state-adjusted'!Z17</f>
        <v>1.182174945781892</v>
      </c>
      <c r="AA6">
        <f>'BCDTRtSY-state-adjusted'!AA17</f>
        <v>1.1859679251483357</v>
      </c>
      <c r="AB6">
        <f>'BCDTRtSY-state-adjusted'!AB17</f>
        <v>1.1908913333916149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2026-08-14T21:48:50Z</dcterms:modified>
</cp:coreProperties>
</file>