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trans\BRZSPbS\"/>
    </mc:Choice>
  </mc:AlternateContent>
  <xr:revisionPtr revIDLastSave="0" documentId="13_ncr:1_{5F5A4F57-DCBE-47C3-9536-AB04ED7DE167}" xr6:coauthVersionLast="47" xr6:coauthVersionMax="47" xr10:uidLastSave="{00000000-0000-0000-0000-000000000000}"/>
  <bookViews>
    <workbookView xWindow="2730" yWindow="2730" windowWidth="21600" windowHeight="12645" firstSheet="13" activeTab="14" xr2:uid="{00000000-000D-0000-FFFF-FFFF00000000}"/>
  </bookViews>
  <sheets>
    <sheet name="About" sheetId="1" r:id="rId1"/>
    <sheet name="EPS Vehicle Class Mapping" sheetId="2" r:id="rId2"/>
    <sheet name="CA Standards and Followers" sheetId="3" r:id="rId3"/>
    <sheet name="BRZSPbS-psgr-ldv_ALL" sheetId="4" r:id="rId4"/>
    <sheet name="BRZSPbS-psgr-ldv" sheetId="5" r:id="rId5"/>
    <sheet name="BRZSPbS-psgr-hdv_ALL" sheetId="6" r:id="rId6"/>
    <sheet name="BRZSPbS-psgr-hdv" sheetId="7" r:id="rId7"/>
    <sheet name="BRZSPbS-psgr-mtrbk_ALL" sheetId="8" r:id="rId8"/>
    <sheet name="BRZSPbS-psgr-mtrbk" sheetId="9" r:id="rId9"/>
    <sheet name="BRZSPbS-frgt-ldv_ALL" sheetId="10" r:id="rId10"/>
    <sheet name="BRZSPbS-frgt-ldv" sheetId="11" r:id="rId11"/>
    <sheet name="BRZSPbS-frgt-hdv_ALL" sheetId="12" r:id="rId12"/>
    <sheet name="BRZSPbS-frgt-hdv" sheetId="13" r:id="rId13"/>
    <sheet name="BRZSPbS-frgt-mtrbk_ALL" sheetId="14" r:id="rId14"/>
    <sheet name="BRZSPbS-frgt-mtrbk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9" i="12" l="1"/>
  <c r="E49" i="12"/>
  <c r="D49" i="12"/>
  <c r="C49" i="12"/>
  <c r="B49" i="12"/>
  <c r="E39" i="12"/>
  <c r="D39" i="12"/>
  <c r="C39" i="12"/>
  <c r="B39" i="12"/>
  <c r="F34" i="12"/>
  <c r="E34" i="12"/>
  <c r="D34" i="12"/>
  <c r="C34" i="12"/>
  <c r="B34" i="12"/>
  <c r="F32" i="12"/>
  <c r="E32" i="12"/>
  <c r="D32" i="12"/>
  <c r="C32" i="12"/>
  <c r="B32" i="12"/>
  <c r="F23" i="12"/>
  <c r="E23" i="12"/>
  <c r="D23" i="12"/>
  <c r="C23" i="12"/>
  <c r="B23" i="12"/>
  <c r="E6" i="12"/>
  <c r="D6" i="12"/>
  <c r="C6" i="12"/>
  <c r="B6" i="12"/>
  <c r="F49" i="10"/>
  <c r="E49" i="10"/>
  <c r="D49" i="10"/>
  <c r="C49" i="10"/>
  <c r="B49" i="10"/>
  <c r="E39" i="10"/>
  <c r="D39" i="10"/>
  <c r="C39" i="10"/>
  <c r="B39" i="10"/>
  <c r="F34" i="10"/>
  <c r="E34" i="10"/>
  <c r="D34" i="10"/>
  <c r="C34" i="10"/>
  <c r="B34" i="10"/>
  <c r="F32" i="10"/>
  <c r="E32" i="10"/>
  <c r="D32" i="10"/>
  <c r="C32" i="10"/>
  <c r="B32" i="10"/>
  <c r="F23" i="10"/>
  <c r="E23" i="10"/>
  <c r="D23" i="10"/>
  <c r="C23" i="10"/>
  <c r="B23" i="10"/>
  <c r="E6" i="10"/>
  <c r="D6" i="10"/>
  <c r="C6" i="10"/>
  <c r="B6" i="10"/>
  <c r="F49" i="6"/>
  <c r="E49" i="6"/>
  <c r="D49" i="6"/>
  <c r="C49" i="6"/>
  <c r="B49" i="6"/>
  <c r="E39" i="6"/>
  <c r="D39" i="6"/>
  <c r="C39" i="6"/>
  <c r="B39" i="6"/>
  <c r="F34" i="6"/>
  <c r="E34" i="6"/>
  <c r="D34" i="6"/>
  <c r="C34" i="6"/>
  <c r="B34" i="6"/>
  <c r="F32" i="6"/>
  <c r="E32" i="6"/>
  <c r="D32" i="6"/>
  <c r="C32" i="6"/>
  <c r="B32" i="6"/>
  <c r="F23" i="6"/>
  <c r="E23" i="6"/>
  <c r="D23" i="6"/>
  <c r="C23" i="6"/>
  <c r="B23" i="6"/>
  <c r="E6" i="6"/>
  <c r="D6" i="6"/>
  <c r="C6" i="6"/>
  <c r="B6" i="6"/>
  <c r="F49" i="4"/>
  <c r="E49" i="4"/>
  <c r="D49" i="4"/>
  <c r="C49" i="4"/>
  <c r="B49" i="4"/>
  <c r="F48" i="4"/>
  <c r="E48" i="4"/>
  <c r="D48" i="4"/>
  <c r="C48" i="4"/>
  <c r="B48" i="4"/>
  <c r="G33" i="4"/>
  <c r="F33" i="4"/>
  <c r="E33" i="4"/>
  <c r="D33" i="4"/>
  <c r="C33" i="4"/>
  <c r="B33" i="4"/>
  <c r="F30" i="4"/>
  <c r="E30" i="4"/>
  <c r="D30" i="4"/>
  <c r="C30" i="4"/>
  <c r="B30" i="4"/>
  <c r="F25" i="4"/>
  <c r="E25" i="4"/>
  <c r="D25" i="4"/>
  <c r="C25" i="4"/>
  <c r="B25" i="4"/>
  <c r="D7" i="4"/>
  <c r="C7" i="4"/>
  <c r="B7" i="4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F7" i="3"/>
  <c r="E7" i="3"/>
  <c r="D7" i="3"/>
  <c r="C7" i="3"/>
  <c r="F6" i="3"/>
  <c r="E6" i="3"/>
  <c r="D6" i="3"/>
  <c r="C6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F4" i="3"/>
  <c r="E4" i="3"/>
  <c r="D4" i="3"/>
  <c r="C4" i="3"/>
  <c r="Q67" i="2"/>
  <c r="R4" i="3" s="1"/>
  <c r="P67" i="2"/>
  <c r="Q4" i="3" s="1"/>
  <c r="O67" i="2"/>
  <c r="P4" i="3" s="1"/>
  <c r="N67" i="2"/>
  <c r="O4" i="3" s="1"/>
  <c r="M67" i="2"/>
  <c r="N4" i="3" s="1"/>
  <c r="L67" i="2"/>
  <c r="M4" i="3" s="1"/>
  <c r="K67" i="2"/>
  <c r="L4" i="3" s="1"/>
  <c r="J67" i="2"/>
  <c r="K4" i="3" s="1"/>
  <c r="I67" i="2"/>
  <c r="J4" i="3" s="1"/>
  <c r="H67" i="2"/>
  <c r="I4" i="3" s="1"/>
  <c r="G67" i="2"/>
  <c r="H4" i="3" s="1"/>
  <c r="F67" i="2"/>
  <c r="G4" i="3" s="1"/>
  <c r="Q66" i="2"/>
  <c r="R3" i="3" s="1"/>
  <c r="Q6" i="4" s="1"/>
  <c r="P66" i="2"/>
  <c r="Q3" i="3" s="1"/>
  <c r="P6" i="4" s="1"/>
  <c r="O66" i="2"/>
  <c r="P3" i="3" s="1"/>
  <c r="O6" i="4" s="1"/>
  <c r="N66" i="2"/>
  <c r="O3" i="3" s="1"/>
  <c r="N6" i="4" s="1"/>
  <c r="M66" i="2"/>
  <c r="N3" i="3" s="1"/>
  <c r="M6" i="4" s="1"/>
  <c r="L66" i="2"/>
  <c r="M3" i="3" s="1"/>
  <c r="L6" i="4" s="1"/>
  <c r="K66" i="2"/>
  <c r="L3" i="3" s="1"/>
  <c r="K6" i="4" s="1"/>
  <c r="J66" i="2"/>
  <c r="K3" i="3" s="1"/>
  <c r="J6" i="4" s="1"/>
  <c r="I66" i="2"/>
  <c r="J3" i="3" s="1"/>
  <c r="I6" i="4" s="1"/>
  <c r="H66" i="2"/>
  <c r="I3" i="3" s="1"/>
  <c r="H6" i="4" s="1"/>
  <c r="Q65" i="2"/>
  <c r="R2" i="3" s="1"/>
  <c r="P65" i="2"/>
  <c r="Q2" i="3" s="1"/>
  <c r="O65" i="2"/>
  <c r="P2" i="3" s="1"/>
  <c r="N65" i="2"/>
  <c r="O2" i="3" s="1"/>
  <c r="M65" i="2"/>
  <c r="N2" i="3" s="1"/>
  <c r="L65" i="2"/>
  <c r="M2" i="3" s="1"/>
  <c r="K65" i="2"/>
  <c r="L2" i="3" s="1"/>
  <c r="J65" i="2"/>
  <c r="K2" i="3" s="1"/>
  <c r="I65" i="2"/>
  <c r="J2" i="3" s="1"/>
  <c r="H65" i="2"/>
  <c r="I2" i="3" s="1"/>
  <c r="K51" i="2"/>
  <c r="J51" i="2"/>
  <c r="L51" i="2" s="1"/>
  <c r="I51" i="2"/>
  <c r="H51" i="2"/>
  <c r="G51" i="2"/>
  <c r="F51" i="2"/>
  <c r="E51" i="2"/>
  <c r="D51" i="2"/>
  <c r="C51" i="2"/>
  <c r="L50" i="2"/>
  <c r="K34" i="2" s="1"/>
  <c r="K35" i="2" s="1"/>
  <c r="K50" i="2"/>
  <c r="J50" i="2"/>
  <c r="I50" i="2"/>
  <c r="H50" i="2"/>
  <c r="G50" i="2"/>
  <c r="F50" i="2"/>
  <c r="E50" i="2"/>
  <c r="D50" i="2"/>
  <c r="C50" i="2"/>
  <c r="K41" i="2"/>
  <c r="J41" i="2"/>
  <c r="I41" i="2"/>
  <c r="H41" i="2"/>
  <c r="G41" i="2"/>
  <c r="F41" i="2"/>
  <c r="E41" i="2"/>
  <c r="D41" i="2"/>
  <c r="C41" i="2"/>
  <c r="B41" i="2"/>
  <c r="K40" i="2"/>
  <c r="J40" i="2"/>
  <c r="I40" i="2"/>
  <c r="H40" i="2"/>
  <c r="G40" i="2"/>
  <c r="F40" i="2"/>
  <c r="E40" i="2"/>
  <c r="D40" i="2"/>
  <c r="C40" i="2"/>
  <c r="B40" i="2"/>
  <c r="J39" i="2"/>
  <c r="K38" i="2"/>
  <c r="J38" i="2"/>
  <c r="I38" i="2"/>
  <c r="H38" i="2"/>
  <c r="G38" i="2"/>
  <c r="F38" i="2"/>
  <c r="E38" i="2"/>
  <c r="D38" i="2"/>
  <c r="C38" i="2"/>
  <c r="B38" i="2"/>
  <c r="K27" i="2"/>
  <c r="K37" i="2" s="1"/>
  <c r="J27" i="2"/>
  <c r="J37" i="2" s="1"/>
  <c r="I27" i="2"/>
  <c r="I39" i="2" s="1"/>
  <c r="H27" i="2"/>
  <c r="H37" i="2" s="1"/>
  <c r="G27" i="2"/>
  <c r="G37" i="2" s="1"/>
  <c r="F27" i="2"/>
  <c r="F37" i="2" s="1"/>
  <c r="E27" i="2"/>
  <c r="E37" i="2" s="1"/>
  <c r="D27" i="2"/>
  <c r="D37" i="2" s="1"/>
  <c r="C27" i="2"/>
  <c r="C37" i="2" s="1"/>
  <c r="B27" i="2"/>
  <c r="B39" i="2" s="1"/>
  <c r="R20" i="2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R19" i="2"/>
  <c r="S19" i="2" s="1"/>
  <c r="T18" i="2"/>
  <c r="U18" i="2" s="1"/>
  <c r="S18" i="2"/>
  <c r="R18" i="2"/>
  <c r="S17" i="2"/>
  <c r="S66" i="2" s="1"/>
  <c r="T3" i="3" s="1"/>
  <c r="S6" i="4" s="1"/>
  <c r="R17" i="2"/>
  <c r="R66" i="2" s="1"/>
  <c r="S3" i="3" s="1"/>
  <c r="R6" i="4" s="1"/>
  <c r="B17" i="2"/>
  <c r="B66" i="2" s="1"/>
  <c r="C3" i="3" s="1"/>
  <c r="B6" i="4" s="1"/>
  <c r="R16" i="2"/>
  <c r="R65" i="2" s="1"/>
  <c r="S2" i="3" s="1"/>
  <c r="G16" i="2"/>
  <c r="G65" i="2" s="1"/>
  <c r="H2" i="3" s="1"/>
  <c r="F16" i="2"/>
  <c r="F65" i="2" s="1"/>
  <c r="G2" i="3" s="1"/>
  <c r="E16" i="2"/>
  <c r="E65" i="2" s="1"/>
  <c r="F2" i="3" s="1"/>
  <c r="D16" i="2"/>
  <c r="D65" i="2" s="1"/>
  <c r="E2" i="3" s="1"/>
  <c r="C16" i="2"/>
  <c r="C65" i="2" s="1"/>
  <c r="D2" i="3" s="1"/>
  <c r="B16" i="2"/>
  <c r="B65" i="2" s="1"/>
  <c r="C2" i="3" s="1"/>
  <c r="B2" i="1"/>
  <c r="D58" i="4" l="1"/>
  <c r="D50" i="4"/>
  <c r="D42" i="4"/>
  <c r="D34" i="4"/>
  <c r="D26" i="4"/>
  <c r="D59" i="4"/>
  <c r="D51" i="4"/>
  <c r="D43" i="4"/>
  <c r="D35" i="4"/>
  <c r="D27" i="4"/>
  <c r="D60" i="4"/>
  <c r="D52" i="4"/>
  <c r="D44" i="4"/>
  <c r="D36" i="4"/>
  <c r="D28" i="4"/>
  <c r="D61" i="4"/>
  <c r="D53" i="4"/>
  <c r="D45" i="4"/>
  <c r="D37" i="4"/>
  <c r="D29" i="4"/>
  <c r="D54" i="4"/>
  <c r="D46" i="4"/>
  <c r="D38" i="4"/>
  <c r="D55" i="4"/>
  <c r="D47" i="4"/>
  <c r="D39" i="4"/>
  <c r="D31" i="4"/>
  <c r="D23" i="4"/>
  <c r="D56" i="4"/>
  <c r="D40" i="4"/>
  <c r="D32" i="4"/>
  <c r="D24" i="4"/>
  <c r="D57" i="4"/>
  <c r="D41" i="4"/>
  <c r="D18" i="4"/>
  <c r="D10" i="4"/>
  <c r="D2" i="4"/>
  <c r="D19" i="4"/>
  <c r="D11" i="4"/>
  <c r="D3" i="4"/>
  <c r="D20" i="4"/>
  <c r="D12" i="4"/>
  <c r="D4" i="4"/>
  <c r="D21" i="4"/>
  <c r="D13" i="4"/>
  <c r="D5" i="4"/>
  <c r="D22" i="4"/>
  <c r="D14" i="4"/>
  <c r="D15" i="4"/>
  <c r="D2" i="5" s="1"/>
  <c r="D16" i="4"/>
  <c r="D8" i="4"/>
  <c r="D17" i="4"/>
  <c r="D9" i="4"/>
  <c r="O61" i="4"/>
  <c r="O53" i="4"/>
  <c r="O45" i="4"/>
  <c r="O37" i="4"/>
  <c r="O29" i="4"/>
  <c r="O54" i="4"/>
  <c r="O46" i="4"/>
  <c r="O38" i="4"/>
  <c r="O30" i="4"/>
  <c r="O55" i="4"/>
  <c r="O47" i="4"/>
  <c r="O39" i="4"/>
  <c r="O31" i="4"/>
  <c r="O23" i="4"/>
  <c r="O56" i="4"/>
  <c r="O48" i="4"/>
  <c r="O40" i="4"/>
  <c r="O32" i="4"/>
  <c r="O24" i="4"/>
  <c r="O57" i="4"/>
  <c r="O49" i="4"/>
  <c r="O41" i="4"/>
  <c r="O33" i="4"/>
  <c r="O25" i="4"/>
  <c r="O58" i="4"/>
  <c r="O50" i="4"/>
  <c r="O42" i="4"/>
  <c r="O34" i="4"/>
  <c r="O26" i="4"/>
  <c r="O59" i="4"/>
  <c r="O51" i="4"/>
  <c r="O43" i="4"/>
  <c r="O35" i="4"/>
  <c r="O27" i="4"/>
  <c r="O60" i="4"/>
  <c r="O52" i="4"/>
  <c r="O44" i="4"/>
  <c r="O36" i="4"/>
  <c r="O28" i="4"/>
  <c r="O21" i="4"/>
  <c r="O13" i="4"/>
  <c r="O5" i="4"/>
  <c r="O22" i="4"/>
  <c r="O14" i="4"/>
  <c r="O15" i="4"/>
  <c r="O2" i="5" s="1"/>
  <c r="O7" i="4"/>
  <c r="O16" i="4"/>
  <c r="O8" i="4"/>
  <c r="O17" i="4"/>
  <c r="O9" i="4"/>
  <c r="O18" i="4"/>
  <c r="O10" i="4"/>
  <c r="O2" i="4"/>
  <c r="O19" i="4"/>
  <c r="O11" i="4"/>
  <c r="O3" i="4"/>
  <c r="O20" i="4"/>
  <c r="O12" i="4"/>
  <c r="O4" i="4"/>
  <c r="I60" i="6"/>
  <c r="I52" i="6"/>
  <c r="I44" i="6"/>
  <c r="I36" i="6"/>
  <c r="I28" i="6"/>
  <c r="I61" i="6"/>
  <c r="I53" i="6"/>
  <c r="I45" i="6"/>
  <c r="I37" i="6"/>
  <c r="I29" i="6"/>
  <c r="I54" i="6"/>
  <c r="I46" i="6"/>
  <c r="I38" i="6"/>
  <c r="I30" i="6"/>
  <c r="I55" i="6"/>
  <c r="I47" i="6"/>
  <c r="I39" i="6"/>
  <c r="I31" i="6"/>
  <c r="I56" i="6"/>
  <c r="I48" i="6"/>
  <c r="I40" i="6"/>
  <c r="I32" i="6"/>
  <c r="I57" i="6"/>
  <c r="I49" i="6"/>
  <c r="I41" i="6"/>
  <c r="I33" i="6"/>
  <c r="I25" i="6"/>
  <c r="I58" i="6"/>
  <c r="I50" i="6"/>
  <c r="I42" i="6"/>
  <c r="I34" i="6"/>
  <c r="I26" i="6"/>
  <c r="I22" i="6"/>
  <c r="I14" i="6"/>
  <c r="I51" i="6"/>
  <c r="I23" i="6"/>
  <c r="I15" i="6"/>
  <c r="I2" i="7" s="1"/>
  <c r="I7" i="6"/>
  <c r="I59" i="6"/>
  <c r="I16" i="6"/>
  <c r="I8" i="6"/>
  <c r="I17" i="6"/>
  <c r="I9" i="6"/>
  <c r="I18" i="6"/>
  <c r="I10" i="6"/>
  <c r="I43" i="6"/>
  <c r="I24" i="6"/>
  <c r="I19" i="6"/>
  <c r="I11" i="6"/>
  <c r="I20" i="6"/>
  <c r="I12" i="6"/>
  <c r="I35" i="6"/>
  <c r="I27" i="6"/>
  <c r="I21" i="6"/>
  <c r="I13" i="6"/>
  <c r="I2" i="6"/>
  <c r="I3" i="6"/>
  <c r="I4" i="6"/>
  <c r="I5" i="6"/>
  <c r="I6" i="6"/>
  <c r="Q60" i="6"/>
  <c r="Q52" i="6"/>
  <c r="Q44" i="6"/>
  <c r="Q36" i="6"/>
  <c r="Q28" i="6"/>
  <c r="Q61" i="6"/>
  <c r="Q53" i="6"/>
  <c r="Q45" i="6"/>
  <c r="Q37" i="6"/>
  <c r="Q29" i="6"/>
  <c r="Q54" i="6"/>
  <c r="Q46" i="6"/>
  <c r="Q38" i="6"/>
  <c r="Q30" i="6"/>
  <c r="Q55" i="6"/>
  <c r="Q47" i="6"/>
  <c r="Q39" i="6"/>
  <c r="Q31" i="6"/>
  <c r="Q56" i="6"/>
  <c r="Q48" i="6"/>
  <c r="Q40" i="6"/>
  <c r="Q32" i="6"/>
  <c r="Q24" i="6"/>
  <c r="Q57" i="6"/>
  <c r="Q49" i="6"/>
  <c r="Q41" i="6"/>
  <c r="Q33" i="6"/>
  <c r="Q25" i="6"/>
  <c r="Q58" i="6"/>
  <c r="Q50" i="6"/>
  <c r="Q42" i="6"/>
  <c r="Q34" i="6"/>
  <c r="Q26" i="6"/>
  <c r="Q51" i="6"/>
  <c r="Q22" i="6"/>
  <c r="Q14" i="6"/>
  <c r="Q6" i="6"/>
  <c r="Q59" i="6"/>
  <c r="Q23" i="6"/>
  <c r="Q15" i="6"/>
  <c r="Q2" i="7" s="1"/>
  <c r="Q7" i="6"/>
  <c r="Q16" i="6"/>
  <c r="Q8" i="6"/>
  <c r="Q17" i="6"/>
  <c r="Q9" i="6"/>
  <c r="Q43" i="6"/>
  <c r="Q18" i="6"/>
  <c r="Q10" i="6"/>
  <c r="Q19" i="6"/>
  <c r="Q11" i="6"/>
  <c r="Q35" i="6"/>
  <c r="Q27" i="6"/>
  <c r="Q20" i="6"/>
  <c r="Q12" i="6"/>
  <c r="Q21" i="6"/>
  <c r="Q13" i="6"/>
  <c r="Q2" i="6"/>
  <c r="Q3" i="6"/>
  <c r="Q4" i="6"/>
  <c r="Q5" i="6"/>
  <c r="C57" i="4"/>
  <c r="C41" i="4"/>
  <c r="C58" i="4"/>
  <c r="C50" i="4"/>
  <c r="C42" i="4"/>
  <c r="C34" i="4"/>
  <c r="C26" i="4"/>
  <c r="C59" i="4"/>
  <c r="C51" i="4"/>
  <c r="C43" i="4"/>
  <c r="C35" i="4"/>
  <c r="C27" i="4"/>
  <c r="C60" i="4"/>
  <c r="C52" i="4"/>
  <c r="C44" i="4"/>
  <c r="C36" i="4"/>
  <c r="C28" i="4"/>
  <c r="C61" i="4"/>
  <c r="C53" i="4"/>
  <c r="C45" i="4"/>
  <c r="C37" i="4"/>
  <c r="C29" i="4"/>
  <c r="C54" i="4"/>
  <c r="C46" i="4"/>
  <c r="C38" i="4"/>
  <c r="C55" i="4"/>
  <c r="C47" i="4"/>
  <c r="C39" i="4"/>
  <c r="C31" i="4"/>
  <c r="C23" i="4"/>
  <c r="C56" i="4"/>
  <c r="C40" i="4"/>
  <c r="C32" i="4"/>
  <c r="C24" i="4"/>
  <c r="C17" i="4"/>
  <c r="C9" i="4"/>
  <c r="C18" i="4"/>
  <c r="C10" i="4"/>
  <c r="C2" i="4"/>
  <c r="C19" i="4"/>
  <c r="C11" i="4"/>
  <c r="C3" i="4"/>
  <c r="C20" i="4"/>
  <c r="C12" i="4"/>
  <c r="C4" i="4"/>
  <c r="C21" i="4"/>
  <c r="C13" i="4"/>
  <c r="C5" i="4"/>
  <c r="C22" i="4"/>
  <c r="C14" i="4"/>
  <c r="C15" i="4"/>
  <c r="C2" i="5" s="1"/>
  <c r="C16" i="4"/>
  <c r="C8" i="4"/>
  <c r="H54" i="4"/>
  <c r="H46" i="4"/>
  <c r="H38" i="4"/>
  <c r="H30" i="4"/>
  <c r="H55" i="4"/>
  <c r="H47" i="4"/>
  <c r="H39" i="4"/>
  <c r="H31" i="4"/>
  <c r="H56" i="4"/>
  <c r="H48" i="4"/>
  <c r="H40" i="4"/>
  <c r="H32" i="4"/>
  <c r="H24" i="4"/>
  <c r="H57" i="4"/>
  <c r="H49" i="4"/>
  <c r="H41" i="4"/>
  <c r="H33" i="4"/>
  <c r="H25" i="4"/>
  <c r="H58" i="4"/>
  <c r="H50" i="4"/>
  <c r="H42" i="4"/>
  <c r="H34" i="4"/>
  <c r="H26" i="4"/>
  <c r="H59" i="4"/>
  <c r="H51" i="4"/>
  <c r="H43" i="4"/>
  <c r="H35" i="4"/>
  <c r="H27" i="4"/>
  <c r="H60" i="4"/>
  <c r="H52" i="4"/>
  <c r="H44" i="4"/>
  <c r="H36" i="4"/>
  <c r="H28" i="4"/>
  <c r="H61" i="4"/>
  <c r="H53" i="4"/>
  <c r="H45" i="4"/>
  <c r="H37" i="4"/>
  <c r="H29" i="4"/>
  <c r="H22" i="4"/>
  <c r="H14" i="4"/>
  <c r="H23" i="4"/>
  <c r="H15" i="4"/>
  <c r="H2" i="5" s="1"/>
  <c r="H7" i="4"/>
  <c r="H16" i="4"/>
  <c r="H8" i="4"/>
  <c r="H17" i="4"/>
  <c r="H9" i="4"/>
  <c r="H18" i="4"/>
  <c r="H10" i="4"/>
  <c r="H2" i="4"/>
  <c r="H19" i="4"/>
  <c r="H11" i="4"/>
  <c r="H3" i="4"/>
  <c r="H20" i="4"/>
  <c r="H12" i="4"/>
  <c r="H4" i="4"/>
  <c r="H21" i="4"/>
  <c r="H13" i="4"/>
  <c r="H5" i="4"/>
  <c r="P54" i="4"/>
  <c r="P46" i="4"/>
  <c r="P38" i="4"/>
  <c r="P30" i="4"/>
  <c r="P22" i="4"/>
  <c r="P55" i="4"/>
  <c r="P47" i="4"/>
  <c r="P39" i="4"/>
  <c r="P31" i="4"/>
  <c r="P56" i="4"/>
  <c r="P48" i="4"/>
  <c r="P40" i="4"/>
  <c r="P32" i="4"/>
  <c r="P24" i="4"/>
  <c r="P57" i="4"/>
  <c r="P49" i="4"/>
  <c r="P41" i="4"/>
  <c r="P33" i="4"/>
  <c r="P25" i="4"/>
  <c r="P58" i="4"/>
  <c r="P50" i="4"/>
  <c r="P42" i="4"/>
  <c r="P34" i="4"/>
  <c r="P26" i="4"/>
  <c r="P59" i="4"/>
  <c r="P51" i="4"/>
  <c r="P43" i="4"/>
  <c r="P35" i="4"/>
  <c r="P27" i="4"/>
  <c r="P60" i="4"/>
  <c r="P52" i="4"/>
  <c r="P44" i="4"/>
  <c r="P36" i="4"/>
  <c r="P28" i="4"/>
  <c r="P61" i="4"/>
  <c r="P53" i="4"/>
  <c r="P45" i="4"/>
  <c r="P37" i="4"/>
  <c r="P29" i="4"/>
  <c r="P14" i="4"/>
  <c r="P15" i="4"/>
  <c r="P2" i="5" s="1"/>
  <c r="P7" i="4"/>
  <c r="P16" i="4"/>
  <c r="P8" i="4"/>
  <c r="P17" i="4"/>
  <c r="P9" i="4"/>
  <c r="P18" i="4"/>
  <c r="P10" i="4"/>
  <c r="P2" i="4"/>
  <c r="P19" i="4"/>
  <c r="P11" i="4"/>
  <c r="P3" i="4"/>
  <c r="P20" i="4"/>
  <c r="P12" i="4"/>
  <c r="P4" i="4"/>
  <c r="P23" i="4"/>
  <c r="P21" i="4"/>
  <c r="P13" i="4"/>
  <c r="P5" i="4"/>
  <c r="J61" i="6"/>
  <c r="J53" i="6"/>
  <c r="J45" i="6"/>
  <c r="J37" i="6"/>
  <c r="J29" i="6"/>
  <c r="J54" i="6"/>
  <c r="J46" i="6"/>
  <c r="J38" i="6"/>
  <c r="J30" i="6"/>
  <c r="J55" i="6"/>
  <c r="J47" i="6"/>
  <c r="J39" i="6"/>
  <c r="J31" i="6"/>
  <c r="J56" i="6"/>
  <c r="J48" i="6"/>
  <c r="J40" i="6"/>
  <c r="J32" i="6"/>
  <c r="J24" i="6"/>
  <c r="J57" i="6"/>
  <c r="J49" i="6"/>
  <c r="J41" i="6"/>
  <c r="J33" i="6"/>
  <c r="J25" i="6"/>
  <c r="J58" i="6"/>
  <c r="J50" i="6"/>
  <c r="J42" i="6"/>
  <c r="J34" i="6"/>
  <c r="J26" i="6"/>
  <c r="J59" i="6"/>
  <c r="J51" i="6"/>
  <c r="J43" i="6"/>
  <c r="J35" i="6"/>
  <c r="J27" i="6"/>
  <c r="J23" i="6"/>
  <c r="J15" i="6"/>
  <c r="J2" i="7" s="1"/>
  <c r="J7" i="6"/>
  <c r="J44" i="6"/>
  <c r="J16" i="6"/>
  <c r="J8" i="6"/>
  <c r="J17" i="6"/>
  <c r="J9" i="6"/>
  <c r="J36" i="6"/>
  <c r="J28" i="6"/>
  <c r="J18" i="6"/>
  <c r="J10" i="6"/>
  <c r="J19" i="6"/>
  <c r="J11" i="6"/>
  <c r="J52" i="6"/>
  <c r="J20" i="6"/>
  <c r="J12" i="6"/>
  <c r="J60" i="6"/>
  <c r="J21" i="6"/>
  <c r="J13" i="6"/>
  <c r="J22" i="6"/>
  <c r="J14" i="6"/>
  <c r="J3" i="6"/>
  <c r="J4" i="6"/>
  <c r="J5" i="6"/>
  <c r="J6" i="6"/>
  <c r="J2" i="6"/>
  <c r="E59" i="4"/>
  <c r="E51" i="4"/>
  <c r="E43" i="4"/>
  <c r="E35" i="4"/>
  <c r="E27" i="4"/>
  <c r="E60" i="4"/>
  <c r="E52" i="4"/>
  <c r="E44" i="4"/>
  <c r="E36" i="4"/>
  <c r="E28" i="4"/>
  <c r="E61" i="4"/>
  <c r="E53" i="4"/>
  <c r="E45" i="4"/>
  <c r="E37" i="4"/>
  <c r="E29" i="4"/>
  <c r="E54" i="4"/>
  <c r="E46" i="4"/>
  <c r="E38" i="4"/>
  <c r="E55" i="4"/>
  <c r="E47" i="4"/>
  <c r="E39" i="4"/>
  <c r="E31" i="4"/>
  <c r="E56" i="4"/>
  <c r="E40" i="4"/>
  <c r="E32" i="4"/>
  <c r="E24" i="4"/>
  <c r="E57" i="4"/>
  <c r="E41" i="4"/>
  <c r="E58" i="4"/>
  <c r="E50" i="4"/>
  <c r="E42" i="4"/>
  <c r="E34" i="4"/>
  <c r="E26" i="4"/>
  <c r="E19" i="4"/>
  <c r="E11" i="4"/>
  <c r="E3" i="4"/>
  <c r="E20" i="4"/>
  <c r="E12" i="4"/>
  <c r="E4" i="4"/>
  <c r="E21" i="4"/>
  <c r="E13" i="4"/>
  <c r="E5" i="4"/>
  <c r="E22" i="4"/>
  <c r="E14" i="4"/>
  <c r="E23" i="4"/>
  <c r="E15" i="4"/>
  <c r="E2" i="5" s="1"/>
  <c r="E7" i="4"/>
  <c r="E16" i="4"/>
  <c r="E8" i="4"/>
  <c r="E17" i="4"/>
  <c r="E9" i="4"/>
  <c r="E18" i="4"/>
  <c r="E10" i="4"/>
  <c r="E2" i="4"/>
  <c r="F60" i="4"/>
  <c r="F52" i="4"/>
  <c r="F44" i="4"/>
  <c r="F36" i="4"/>
  <c r="F28" i="4"/>
  <c r="F61" i="4"/>
  <c r="F53" i="4"/>
  <c r="F45" i="4"/>
  <c r="F37" i="4"/>
  <c r="F29" i="4"/>
  <c r="F54" i="4"/>
  <c r="F46" i="4"/>
  <c r="F38" i="4"/>
  <c r="F55" i="4"/>
  <c r="F47" i="4"/>
  <c r="F39" i="4"/>
  <c r="F31" i="4"/>
  <c r="F56" i="4"/>
  <c r="F40" i="4"/>
  <c r="F32" i="4"/>
  <c r="F24" i="4"/>
  <c r="F57" i="4"/>
  <c r="F41" i="4"/>
  <c r="F58" i="4"/>
  <c r="F50" i="4"/>
  <c r="F42" i="4"/>
  <c r="F34" i="4"/>
  <c r="F26" i="4"/>
  <c r="F59" i="4"/>
  <c r="F51" i="4"/>
  <c r="F43" i="4"/>
  <c r="F35" i="4"/>
  <c r="F27" i="4"/>
  <c r="F20" i="4"/>
  <c r="F12" i="4"/>
  <c r="F4" i="4"/>
  <c r="F21" i="4"/>
  <c r="F13" i="4"/>
  <c r="F5" i="4"/>
  <c r="F22" i="4"/>
  <c r="F14" i="4"/>
  <c r="F23" i="4"/>
  <c r="F15" i="4"/>
  <c r="F2" i="5" s="1"/>
  <c r="F7" i="4"/>
  <c r="F16" i="4"/>
  <c r="F8" i="4"/>
  <c r="F17" i="4"/>
  <c r="F9" i="4"/>
  <c r="F18" i="4"/>
  <c r="F10" i="4"/>
  <c r="F2" i="4"/>
  <c r="F19" i="4"/>
  <c r="F11" i="4"/>
  <c r="F3" i="4"/>
  <c r="V18" i="2"/>
  <c r="I55" i="4"/>
  <c r="I47" i="4"/>
  <c r="I39" i="4"/>
  <c r="I31" i="4"/>
  <c r="I23" i="4"/>
  <c r="I56" i="4"/>
  <c r="I48" i="4"/>
  <c r="I40" i="4"/>
  <c r="I32" i="4"/>
  <c r="I24" i="4"/>
  <c r="I57" i="4"/>
  <c r="I49" i="4"/>
  <c r="I41" i="4"/>
  <c r="I33" i="4"/>
  <c r="I25" i="4"/>
  <c r="I58" i="4"/>
  <c r="I50" i="4"/>
  <c r="I42" i="4"/>
  <c r="I34" i="4"/>
  <c r="I26" i="4"/>
  <c r="I59" i="4"/>
  <c r="I51" i="4"/>
  <c r="I43" i="4"/>
  <c r="I35" i="4"/>
  <c r="I27" i="4"/>
  <c r="I60" i="4"/>
  <c r="I52" i="4"/>
  <c r="I44" i="4"/>
  <c r="I36" i="4"/>
  <c r="I28" i="4"/>
  <c r="I61" i="4"/>
  <c r="I53" i="4"/>
  <c r="I45" i="4"/>
  <c r="I37" i="4"/>
  <c r="I29" i="4"/>
  <c r="I54" i="4"/>
  <c r="I46" i="4"/>
  <c r="I38" i="4"/>
  <c r="I30" i="4"/>
  <c r="I15" i="4"/>
  <c r="I2" i="5" s="1"/>
  <c r="I7" i="4"/>
  <c r="I16" i="4"/>
  <c r="I8" i="4"/>
  <c r="I17" i="4"/>
  <c r="I9" i="4"/>
  <c r="I18" i="4"/>
  <c r="I10" i="4"/>
  <c r="I2" i="4"/>
  <c r="I19" i="4"/>
  <c r="I11" i="4"/>
  <c r="I3" i="4"/>
  <c r="I20" i="4"/>
  <c r="I12" i="4"/>
  <c r="I4" i="4"/>
  <c r="I21" i="4"/>
  <c r="I13" i="4"/>
  <c r="I5" i="4"/>
  <c r="I22" i="4"/>
  <c r="I14" i="4"/>
  <c r="Q55" i="4"/>
  <c r="Q47" i="4"/>
  <c r="Q39" i="4"/>
  <c r="Q31" i="4"/>
  <c r="Q23" i="4"/>
  <c r="Q56" i="4"/>
  <c r="Q48" i="4"/>
  <c r="Q40" i="4"/>
  <c r="Q32" i="4"/>
  <c r="Q24" i="4"/>
  <c r="Q57" i="4"/>
  <c r="Q49" i="4"/>
  <c r="Q41" i="4"/>
  <c r="Q33" i="4"/>
  <c r="Q25" i="4"/>
  <c r="Q58" i="4"/>
  <c r="Q50" i="4"/>
  <c r="Q42" i="4"/>
  <c r="Q34" i="4"/>
  <c r="Q26" i="4"/>
  <c r="Q59" i="4"/>
  <c r="Q51" i="4"/>
  <c r="Q43" i="4"/>
  <c r="Q35" i="4"/>
  <c r="Q27" i="4"/>
  <c r="Q60" i="4"/>
  <c r="Q52" i="4"/>
  <c r="Q44" i="4"/>
  <c r="Q36" i="4"/>
  <c r="Q28" i="4"/>
  <c r="Q61" i="4"/>
  <c r="Q53" i="4"/>
  <c r="Q45" i="4"/>
  <c r="Q37" i="4"/>
  <c r="Q29" i="4"/>
  <c r="Q54" i="4"/>
  <c r="Q46" i="4"/>
  <c r="Q38" i="4"/>
  <c r="Q30" i="4"/>
  <c r="Q22" i="4"/>
  <c r="Q15" i="4"/>
  <c r="Q2" i="5" s="1"/>
  <c r="Q7" i="4"/>
  <c r="Q16" i="4"/>
  <c r="Q8" i="4"/>
  <c r="Q17" i="4"/>
  <c r="Q9" i="4"/>
  <c r="Q18" i="4"/>
  <c r="Q10" i="4"/>
  <c r="Q2" i="4"/>
  <c r="Q19" i="4"/>
  <c r="Q11" i="4"/>
  <c r="Q3" i="4"/>
  <c r="Q20" i="4"/>
  <c r="Q12" i="4"/>
  <c r="Q4" i="4"/>
  <c r="Q21" i="4"/>
  <c r="Q13" i="4"/>
  <c r="Q5" i="4"/>
  <c r="Q14" i="4"/>
  <c r="K54" i="6"/>
  <c r="K46" i="6"/>
  <c r="K38" i="6"/>
  <c r="K30" i="6"/>
  <c r="K55" i="6"/>
  <c r="K47" i="6"/>
  <c r="K39" i="6"/>
  <c r="K31" i="6"/>
  <c r="K56" i="6"/>
  <c r="K48" i="6"/>
  <c r="K40" i="6"/>
  <c r="K32" i="6"/>
  <c r="K24" i="6"/>
  <c r="K57" i="6"/>
  <c r="K49" i="6"/>
  <c r="K41" i="6"/>
  <c r="K33" i="6"/>
  <c r="K25" i="6"/>
  <c r="K58" i="6"/>
  <c r="K50" i="6"/>
  <c r="K42" i="6"/>
  <c r="K34" i="6"/>
  <c r="K26" i="6"/>
  <c r="K59" i="6"/>
  <c r="K51" i="6"/>
  <c r="K43" i="6"/>
  <c r="K35" i="6"/>
  <c r="K27" i="6"/>
  <c r="K60" i="6"/>
  <c r="K52" i="6"/>
  <c r="K44" i="6"/>
  <c r="K36" i="6"/>
  <c r="K28" i="6"/>
  <c r="K16" i="6"/>
  <c r="K8" i="6"/>
  <c r="K53" i="6"/>
  <c r="K17" i="6"/>
  <c r="K9" i="6"/>
  <c r="K61" i="6"/>
  <c r="K18" i="6"/>
  <c r="K10" i="6"/>
  <c r="K19" i="6"/>
  <c r="K11" i="6"/>
  <c r="K20" i="6"/>
  <c r="K12" i="6"/>
  <c r="K45" i="6"/>
  <c r="K21" i="6"/>
  <c r="K13" i="6"/>
  <c r="K22" i="6"/>
  <c r="K14" i="6"/>
  <c r="K37" i="6"/>
  <c r="K29" i="6"/>
  <c r="K23" i="6"/>
  <c r="K15" i="6"/>
  <c r="K2" i="7" s="1"/>
  <c r="K7" i="6"/>
  <c r="K4" i="6"/>
  <c r="K5" i="6"/>
  <c r="K6" i="6"/>
  <c r="K2" i="6"/>
  <c r="K3" i="6"/>
  <c r="G61" i="4"/>
  <c r="G53" i="4"/>
  <c r="G45" i="4"/>
  <c r="G37" i="4"/>
  <c r="G29" i="4"/>
  <c r="G54" i="4"/>
  <c r="G46" i="4"/>
  <c r="G38" i="4"/>
  <c r="G30" i="4"/>
  <c r="G55" i="4"/>
  <c r="G47" i="4"/>
  <c r="G39" i="4"/>
  <c r="G31" i="4"/>
  <c r="G56" i="4"/>
  <c r="G48" i="4"/>
  <c r="G40" i="4"/>
  <c r="G32" i="4"/>
  <c r="G24" i="4"/>
  <c r="G57" i="4"/>
  <c r="G49" i="4"/>
  <c r="G41" i="4"/>
  <c r="G25" i="4"/>
  <c r="G58" i="4"/>
  <c r="G50" i="4"/>
  <c r="G42" i="4"/>
  <c r="G34" i="4"/>
  <c r="G26" i="4"/>
  <c r="G59" i="4"/>
  <c r="G51" i="4"/>
  <c r="G43" i="4"/>
  <c r="G35" i="4"/>
  <c r="G27" i="4"/>
  <c r="G60" i="4"/>
  <c r="G52" i="4"/>
  <c r="G44" i="4"/>
  <c r="G36" i="4"/>
  <c r="G28" i="4"/>
  <c r="G21" i="4"/>
  <c r="G13" i="4"/>
  <c r="G5" i="4"/>
  <c r="G22" i="4"/>
  <c r="G14" i="4"/>
  <c r="G23" i="4"/>
  <c r="G15" i="4"/>
  <c r="G2" i="5" s="1"/>
  <c r="G7" i="4"/>
  <c r="G16" i="4"/>
  <c r="G8" i="4"/>
  <c r="G17" i="4"/>
  <c r="G9" i="4"/>
  <c r="G18" i="4"/>
  <c r="G10" i="4"/>
  <c r="G2" i="4"/>
  <c r="G19" i="4"/>
  <c r="G11" i="4"/>
  <c r="G3" i="4"/>
  <c r="G20" i="4"/>
  <c r="G12" i="4"/>
  <c r="G4" i="4"/>
  <c r="T19" i="2"/>
  <c r="S67" i="2"/>
  <c r="T4" i="3" s="1"/>
  <c r="J56" i="4"/>
  <c r="J48" i="4"/>
  <c r="J40" i="4"/>
  <c r="J32" i="4"/>
  <c r="J24" i="4"/>
  <c r="J57" i="4"/>
  <c r="J49" i="4"/>
  <c r="J41" i="4"/>
  <c r="J33" i="4"/>
  <c r="J25" i="4"/>
  <c r="J58" i="4"/>
  <c r="J50" i="4"/>
  <c r="J42" i="4"/>
  <c r="J34" i="4"/>
  <c r="J26" i="4"/>
  <c r="J59" i="4"/>
  <c r="J51" i="4"/>
  <c r="J43" i="4"/>
  <c r="J35" i="4"/>
  <c r="J27" i="4"/>
  <c r="J60" i="4"/>
  <c r="J52" i="4"/>
  <c r="J44" i="4"/>
  <c r="J36" i="4"/>
  <c r="J28" i="4"/>
  <c r="J61" i="4"/>
  <c r="J53" i="4"/>
  <c r="J45" i="4"/>
  <c r="J37" i="4"/>
  <c r="J29" i="4"/>
  <c r="J54" i="4"/>
  <c r="J46" i="4"/>
  <c r="J38" i="4"/>
  <c r="J30" i="4"/>
  <c r="J55" i="4"/>
  <c r="J47" i="4"/>
  <c r="J39" i="4"/>
  <c r="J31" i="4"/>
  <c r="J23" i="4"/>
  <c r="J16" i="4"/>
  <c r="J8" i="4"/>
  <c r="J17" i="4"/>
  <c r="J9" i="4"/>
  <c r="J18" i="4"/>
  <c r="J10" i="4"/>
  <c r="J2" i="4"/>
  <c r="J19" i="4"/>
  <c r="J11" i="4"/>
  <c r="J3" i="4"/>
  <c r="J20" i="4"/>
  <c r="J12" i="4"/>
  <c r="J4" i="4"/>
  <c r="J21" i="4"/>
  <c r="J13" i="4"/>
  <c r="J5" i="4"/>
  <c r="J22" i="4"/>
  <c r="J14" i="4"/>
  <c r="J15" i="4"/>
  <c r="J2" i="5" s="1"/>
  <c r="J7" i="4"/>
  <c r="L55" i="6"/>
  <c r="L47" i="6"/>
  <c r="L39" i="6"/>
  <c r="L31" i="6"/>
  <c r="L56" i="6"/>
  <c r="L48" i="6"/>
  <c r="L40" i="6"/>
  <c r="L32" i="6"/>
  <c r="L24" i="6"/>
  <c r="L57" i="6"/>
  <c r="L49" i="6"/>
  <c r="L41" i="6"/>
  <c r="L33" i="6"/>
  <c r="L25" i="6"/>
  <c r="L58" i="6"/>
  <c r="L50" i="6"/>
  <c r="L42" i="6"/>
  <c r="L34" i="6"/>
  <c r="L26" i="6"/>
  <c r="L59" i="6"/>
  <c r="L51" i="6"/>
  <c r="L43" i="6"/>
  <c r="L35" i="6"/>
  <c r="L27" i="6"/>
  <c r="L60" i="6"/>
  <c r="L52" i="6"/>
  <c r="L44" i="6"/>
  <c r="L36" i="6"/>
  <c r="L28" i="6"/>
  <c r="L61" i="6"/>
  <c r="L53" i="6"/>
  <c r="L45" i="6"/>
  <c r="L37" i="6"/>
  <c r="L29" i="6"/>
  <c r="L17" i="6"/>
  <c r="L9" i="6"/>
  <c r="L46" i="6"/>
  <c r="L18" i="6"/>
  <c r="L10" i="6"/>
  <c r="L19" i="6"/>
  <c r="L11" i="6"/>
  <c r="L38" i="6"/>
  <c r="L30" i="6"/>
  <c r="L20" i="6"/>
  <c r="L12" i="6"/>
  <c r="L21" i="6"/>
  <c r="L13" i="6"/>
  <c r="L54" i="6"/>
  <c r="L22" i="6"/>
  <c r="L14" i="6"/>
  <c r="L6" i="6"/>
  <c r="L23" i="6"/>
  <c r="L15" i="6"/>
  <c r="L2" i="7" s="1"/>
  <c r="L7" i="6"/>
  <c r="L16" i="6"/>
  <c r="L8" i="6"/>
  <c r="L5" i="6"/>
  <c r="L2" i="6"/>
  <c r="L3" i="6"/>
  <c r="L4" i="6"/>
  <c r="K57" i="4"/>
  <c r="K49" i="4"/>
  <c r="K41" i="4"/>
  <c r="K33" i="4"/>
  <c r="K25" i="4"/>
  <c r="K58" i="4"/>
  <c r="K50" i="4"/>
  <c r="K42" i="4"/>
  <c r="K34" i="4"/>
  <c r="K26" i="4"/>
  <c r="K59" i="4"/>
  <c r="K51" i="4"/>
  <c r="K43" i="4"/>
  <c r="K35" i="4"/>
  <c r="K27" i="4"/>
  <c r="K60" i="4"/>
  <c r="K52" i="4"/>
  <c r="K44" i="4"/>
  <c r="K36" i="4"/>
  <c r="K28" i="4"/>
  <c r="K61" i="4"/>
  <c r="K53" i="4"/>
  <c r="K45" i="4"/>
  <c r="K37" i="4"/>
  <c r="K29" i="4"/>
  <c r="K54" i="4"/>
  <c r="K46" i="4"/>
  <c r="K38" i="4"/>
  <c r="K30" i="4"/>
  <c r="K55" i="4"/>
  <c r="K47" i="4"/>
  <c r="K39" i="4"/>
  <c r="K31" i="4"/>
  <c r="K23" i="4"/>
  <c r="K56" i="4"/>
  <c r="K48" i="4"/>
  <c r="K40" i="4"/>
  <c r="K32" i="4"/>
  <c r="K24" i="4"/>
  <c r="K17" i="4"/>
  <c r="K9" i="4"/>
  <c r="K18" i="4"/>
  <c r="K10" i="4"/>
  <c r="K2" i="4"/>
  <c r="K19" i="4"/>
  <c r="K11" i="4"/>
  <c r="K3" i="4"/>
  <c r="K20" i="4"/>
  <c r="K12" i="4"/>
  <c r="K4" i="4"/>
  <c r="K21" i="4"/>
  <c r="K13" i="4"/>
  <c r="K5" i="4"/>
  <c r="K22" i="4"/>
  <c r="K14" i="4"/>
  <c r="K15" i="4"/>
  <c r="K2" i="5" s="1"/>
  <c r="K7" i="4"/>
  <c r="K16" i="4"/>
  <c r="K8" i="4"/>
  <c r="M56" i="6"/>
  <c r="M48" i="6"/>
  <c r="M40" i="6"/>
  <c r="M32" i="6"/>
  <c r="M24" i="6"/>
  <c r="M57" i="6"/>
  <c r="M49" i="6"/>
  <c r="M41" i="6"/>
  <c r="M33" i="6"/>
  <c r="M25" i="6"/>
  <c r="M58" i="6"/>
  <c r="M50" i="6"/>
  <c r="M42" i="6"/>
  <c r="M34" i="6"/>
  <c r="M26" i="6"/>
  <c r="M59" i="6"/>
  <c r="M51" i="6"/>
  <c r="M43" i="6"/>
  <c r="M35" i="6"/>
  <c r="M27" i="6"/>
  <c r="M60" i="6"/>
  <c r="M52" i="6"/>
  <c r="M44" i="6"/>
  <c r="M36" i="6"/>
  <c r="M28" i="6"/>
  <c r="M61" i="6"/>
  <c r="M53" i="6"/>
  <c r="M45" i="6"/>
  <c r="M37" i="6"/>
  <c r="M29" i="6"/>
  <c r="M54" i="6"/>
  <c r="M46" i="6"/>
  <c r="M38" i="6"/>
  <c r="M30" i="6"/>
  <c r="M18" i="6"/>
  <c r="M10" i="6"/>
  <c r="M55" i="6"/>
  <c r="M19" i="6"/>
  <c r="M11" i="6"/>
  <c r="M20" i="6"/>
  <c r="M12" i="6"/>
  <c r="M21" i="6"/>
  <c r="M13" i="6"/>
  <c r="M39" i="6"/>
  <c r="M22" i="6"/>
  <c r="M14" i="6"/>
  <c r="M47" i="6"/>
  <c r="M23" i="6"/>
  <c r="M15" i="6"/>
  <c r="M2" i="7" s="1"/>
  <c r="M7" i="6"/>
  <c r="M16" i="6"/>
  <c r="M8" i="6"/>
  <c r="M31" i="6"/>
  <c r="M17" i="6"/>
  <c r="M9" i="6"/>
  <c r="M6" i="6"/>
  <c r="M2" i="6"/>
  <c r="M3" i="6"/>
  <c r="M4" i="6"/>
  <c r="M5" i="6"/>
  <c r="R56" i="4"/>
  <c r="R48" i="4"/>
  <c r="R40" i="4"/>
  <c r="R32" i="4"/>
  <c r="R24" i="4"/>
  <c r="R57" i="4"/>
  <c r="R49" i="4"/>
  <c r="R41" i="4"/>
  <c r="R33" i="4"/>
  <c r="R25" i="4"/>
  <c r="R58" i="4"/>
  <c r="R50" i="4"/>
  <c r="R42" i="4"/>
  <c r="R34" i="4"/>
  <c r="R26" i="4"/>
  <c r="R59" i="4"/>
  <c r="R51" i="4"/>
  <c r="R43" i="4"/>
  <c r="R35" i="4"/>
  <c r="R27" i="4"/>
  <c r="R60" i="4"/>
  <c r="R52" i="4"/>
  <c r="R44" i="4"/>
  <c r="R36" i="4"/>
  <c r="R28" i="4"/>
  <c r="R61" i="4"/>
  <c r="R53" i="4"/>
  <c r="R45" i="4"/>
  <c r="R37" i="4"/>
  <c r="R29" i="4"/>
  <c r="R54" i="4"/>
  <c r="R46" i="4"/>
  <c r="R38" i="4"/>
  <c r="R30" i="4"/>
  <c r="R55" i="4"/>
  <c r="R47" i="4"/>
  <c r="R39" i="4"/>
  <c r="R31" i="4"/>
  <c r="R23" i="4"/>
  <c r="R16" i="4"/>
  <c r="R8" i="4"/>
  <c r="R17" i="4"/>
  <c r="R9" i="4"/>
  <c r="R18" i="4"/>
  <c r="R10" i="4"/>
  <c r="R2" i="4"/>
  <c r="R19" i="4"/>
  <c r="R11" i="4"/>
  <c r="R3" i="4"/>
  <c r="R20" i="4"/>
  <c r="R12" i="4"/>
  <c r="R4" i="4"/>
  <c r="R21" i="4"/>
  <c r="R13" i="4"/>
  <c r="R5" i="4"/>
  <c r="R14" i="4"/>
  <c r="R22" i="4"/>
  <c r="R15" i="4"/>
  <c r="R2" i="5" s="1"/>
  <c r="R7" i="4"/>
  <c r="L58" i="4"/>
  <c r="L50" i="4"/>
  <c r="L42" i="4"/>
  <c r="L34" i="4"/>
  <c r="L26" i="4"/>
  <c r="L59" i="4"/>
  <c r="L51" i="4"/>
  <c r="L43" i="4"/>
  <c r="L35" i="4"/>
  <c r="L27" i="4"/>
  <c r="L60" i="4"/>
  <c r="L52" i="4"/>
  <c r="L44" i="4"/>
  <c r="L36" i="4"/>
  <c r="L28" i="4"/>
  <c r="L61" i="4"/>
  <c r="L53" i="4"/>
  <c r="L45" i="4"/>
  <c r="L37" i="4"/>
  <c r="L29" i="4"/>
  <c r="L54" i="4"/>
  <c r="L46" i="4"/>
  <c r="L38" i="4"/>
  <c r="L30" i="4"/>
  <c r="L55" i="4"/>
  <c r="L47" i="4"/>
  <c r="L39" i="4"/>
  <c r="L31" i="4"/>
  <c r="L23" i="4"/>
  <c r="L56" i="4"/>
  <c r="L48" i="4"/>
  <c r="L40" i="4"/>
  <c r="L32" i="4"/>
  <c r="L24" i="4"/>
  <c r="L57" i="4"/>
  <c r="L49" i="4"/>
  <c r="L41" i="4"/>
  <c r="L33" i="4"/>
  <c r="L25" i="4"/>
  <c r="L18" i="4"/>
  <c r="L10" i="4"/>
  <c r="L2" i="4"/>
  <c r="L19" i="4"/>
  <c r="L11" i="4"/>
  <c r="L3" i="4"/>
  <c r="L20" i="4"/>
  <c r="L12" i="4"/>
  <c r="L4" i="4"/>
  <c r="L21" i="4"/>
  <c r="L13" i="4"/>
  <c r="L5" i="4"/>
  <c r="L22" i="4"/>
  <c r="L14" i="4"/>
  <c r="L15" i="4"/>
  <c r="L2" i="5" s="1"/>
  <c r="L7" i="4"/>
  <c r="L16" i="4"/>
  <c r="L8" i="4"/>
  <c r="L17" i="4"/>
  <c r="L9" i="4"/>
  <c r="F57" i="6"/>
  <c r="F41" i="6"/>
  <c r="F33" i="6"/>
  <c r="F25" i="6"/>
  <c r="F58" i="6"/>
  <c r="F50" i="6"/>
  <c r="F42" i="6"/>
  <c r="F26" i="6"/>
  <c r="F59" i="6"/>
  <c r="F51" i="6"/>
  <c r="F43" i="6"/>
  <c r="F35" i="6"/>
  <c r="F27" i="6"/>
  <c r="F60" i="6"/>
  <c r="F52" i="6"/>
  <c r="F44" i="6"/>
  <c r="F36" i="6"/>
  <c r="F28" i="6"/>
  <c r="F61" i="6"/>
  <c r="F53" i="6"/>
  <c r="F45" i="6"/>
  <c r="F37" i="6"/>
  <c r="F29" i="6"/>
  <c r="F54" i="6"/>
  <c r="F46" i="6"/>
  <c r="F38" i="6"/>
  <c r="F30" i="6"/>
  <c r="F55" i="6"/>
  <c r="F47" i="6"/>
  <c r="F39" i="6"/>
  <c r="F31" i="6"/>
  <c r="F24" i="6"/>
  <c r="F19" i="6"/>
  <c r="F11" i="6"/>
  <c r="F40" i="6"/>
  <c r="F20" i="6"/>
  <c r="F12" i="6"/>
  <c r="F48" i="6"/>
  <c r="F21" i="6"/>
  <c r="F13" i="6"/>
  <c r="F22" i="6"/>
  <c r="F14" i="6"/>
  <c r="F15" i="6"/>
  <c r="F2" i="7" s="1"/>
  <c r="F7" i="6"/>
  <c r="F16" i="6"/>
  <c r="F8" i="6"/>
  <c r="F56" i="6"/>
  <c r="F17" i="6"/>
  <c r="F9" i="6"/>
  <c r="F18" i="6"/>
  <c r="F10" i="6"/>
  <c r="F2" i="6"/>
  <c r="F3" i="6"/>
  <c r="F4" i="6"/>
  <c r="F5" i="6"/>
  <c r="F6" i="6"/>
  <c r="N57" i="6"/>
  <c r="N49" i="6"/>
  <c r="N41" i="6"/>
  <c r="N33" i="6"/>
  <c r="N25" i="6"/>
  <c r="N58" i="6"/>
  <c r="N50" i="6"/>
  <c r="N42" i="6"/>
  <c r="N34" i="6"/>
  <c r="N26" i="6"/>
  <c r="N59" i="6"/>
  <c r="N51" i="6"/>
  <c r="N43" i="6"/>
  <c r="N35" i="6"/>
  <c r="N27" i="6"/>
  <c r="N60" i="6"/>
  <c r="N52" i="6"/>
  <c r="N44" i="6"/>
  <c r="N36" i="6"/>
  <c r="N28" i="6"/>
  <c r="N61" i="6"/>
  <c r="N53" i="6"/>
  <c r="N45" i="6"/>
  <c r="N37" i="6"/>
  <c r="N29" i="6"/>
  <c r="N54" i="6"/>
  <c r="N46" i="6"/>
  <c r="N38" i="6"/>
  <c r="N30" i="6"/>
  <c r="N55" i="6"/>
  <c r="N47" i="6"/>
  <c r="N39" i="6"/>
  <c r="N31" i="6"/>
  <c r="N40" i="6"/>
  <c r="N19" i="6"/>
  <c r="N11" i="6"/>
  <c r="N48" i="6"/>
  <c r="N20" i="6"/>
  <c r="N12" i="6"/>
  <c r="N21" i="6"/>
  <c r="N13" i="6"/>
  <c r="N22" i="6"/>
  <c r="N14" i="6"/>
  <c r="N6" i="6"/>
  <c r="N24" i="6"/>
  <c r="N23" i="6"/>
  <c r="N15" i="6"/>
  <c r="N2" i="7" s="1"/>
  <c r="N7" i="6"/>
  <c r="N56" i="6"/>
  <c r="N16" i="6"/>
  <c r="N8" i="6"/>
  <c r="N17" i="6"/>
  <c r="N9" i="6"/>
  <c r="N32" i="6"/>
  <c r="N18" i="6"/>
  <c r="N10" i="6"/>
  <c r="N2" i="6"/>
  <c r="N3" i="6"/>
  <c r="N4" i="6"/>
  <c r="N5" i="6"/>
  <c r="B56" i="4"/>
  <c r="B40" i="4"/>
  <c r="B32" i="4"/>
  <c r="B24" i="4"/>
  <c r="B57" i="4"/>
  <c r="B41" i="4"/>
  <c r="B58" i="4"/>
  <c r="B50" i="4"/>
  <c r="B42" i="4"/>
  <c r="B34" i="4"/>
  <c r="B26" i="4"/>
  <c r="B59" i="4"/>
  <c r="B51" i="4"/>
  <c r="B43" i="4"/>
  <c r="B35" i="4"/>
  <c r="B27" i="4"/>
  <c r="B60" i="4"/>
  <c r="B52" i="4"/>
  <c r="B44" i="4"/>
  <c r="B36" i="4"/>
  <c r="B28" i="4"/>
  <c r="B61" i="4"/>
  <c r="B53" i="4"/>
  <c r="B45" i="4"/>
  <c r="B37" i="4"/>
  <c r="B29" i="4"/>
  <c r="B54" i="4"/>
  <c r="B46" i="4"/>
  <c r="B38" i="4"/>
  <c r="B55" i="4"/>
  <c r="B47" i="4"/>
  <c r="B39" i="4"/>
  <c r="B31" i="4"/>
  <c r="B16" i="4"/>
  <c r="B8" i="4"/>
  <c r="B17" i="4"/>
  <c r="B9" i="4"/>
  <c r="B18" i="4"/>
  <c r="B10" i="4"/>
  <c r="B2" i="4"/>
  <c r="B19" i="4"/>
  <c r="B11" i="4"/>
  <c r="B3" i="4"/>
  <c r="B20" i="4"/>
  <c r="B12" i="4"/>
  <c r="B4" i="4"/>
  <c r="B23" i="4"/>
  <c r="B21" i="4"/>
  <c r="B13" i="4"/>
  <c r="B5" i="4"/>
  <c r="B22" i="4"/>
  <c r="B14" i="4"/>
  <c r="B15" i="4"/>
  <c r="B2" i="5" s="1"/>
  <c r="M59" i="4"/>
  <c r="M51" i="4"/>
  <c r="M43" i="4"/>
  <c r="M35" i="4"/>
  <c r="M27" i="4"/>
  <c r="M60" i="4"/>
  <c r="M52" i="4"/>
  <c r="M44" i="4"/>
  <c r="M36" i="4"/>
  <c r="M28" i="4"/>
  <c r="M61" i="4"/>
  <c r="M53" i="4"/>
  <c r="M45" i="4"/>
  <c r="M37" i="4"/>
  <c r="M29" i="4"/>
  <c r="M54" i="4"/>
  <c r="M46" i="4"/>
  <c r="M38" i="4"/>
  <c r="M30" i="4"/>
  <c r="M55" i="4"/>
  <c r="M47" i="4"/>
  <c r="M39" i="4"/>
  <c r="M31" i="4"/>
  <c r="M56" i="4"/>
  <c r="M48" i="4"/>
  <c r="M40" i="4"/>
  <c r="M32" i="4"/>
  <c r="M24" i="4"/>
  <c r="M57" i="4"/>
  <c r="M49" i="4"/>
  <c r="M41" i="4"/>
  <c r="M33" i="4"/>
  <c r="M25" i="4"/>
  <c r="M58" i="4"/>
  <c r="M50" i="4"/>
  <c r="M42" i="4"/>
  <c r="M34" i="4"/>
  <c r="M26" i="4"/>
  <c r="M23" i="4"/>
  <c r="M19" i="4"/>
  <c r="M11" i="4"/>
  <c r="M3" i="4"/>
  <c r="M20" i="4"/>
  <c r="M12" i="4"/>
  <c r="M4" i="4"/>
  <c r="M21" i="4"/>
  <c r="M13" i="4"/>
  <c r="M5" i="4"/>
  <c r="M22" i="4"/>
  <c r="M14" i="4"/>
  <c r="M15" i="4"/>
  <c r="M2" i="5" s="1"/>
  <c r="M7" i="4"/>
  <c r="M16" i="4"/>
  <c r="M8" i="4"/>
  <c r="M17" i="4"/>
  <c r="M9" i="4"/>
  <c r="M18" i="4"/>
  <c r="M10" i="4"/>
  <c r="M2" i="4"/>
  <c r="G58" i="6"/>
  <c r="G50" i="6"/>
  <c r="G42" i="6"/>
  <c r="G34" i="6"/>
  <c r="G26" i="6"/>
  <c r="G59" i="6"/>
  <c r="G51" i="6"/>
  <c r="G43" i="6"/>
  <c r="G35" i="6"/>
  <c r="G27" i="6"/>
  <c r="G60" i="6"/>
  <c r="G52" i="6"/>
  <c r="G44" i="6"/>
  <c r="G36" i="6"/>
  <c r="G28" i="6"/>
  <c r="G61" i="6"/>
  <c r="G53" i="6"/>
  <c r="G45" i="6"/>
  <c r="G37" i="6"/>
  <c r="G29" i="6"/>
  <c r="G54" i="6"/>
  <c r="G46" i="6"/>
  <c r="G38" i="6"/>
  <c r="G30" i="6"/>
  <c r="G55" i="6"/>
  <c r="G47" i="6"/>
  <c r="G39" i="6"/>
  <c r="G31" i="6"/>
  <c r="G56" i="6"/>
  <c r="G48" i="6"/>
  <c r="G40" i="6"/>
  <c r="G32" i="6"/>
  <c r="G20" i="6"/>
  <c r="G12" i="6"/>
  <c r="G49" i="6"/>
  <c r="G21" i="6"/>
  <c r="G13" i="6"/>
  <c r="G57" i="6"/>
  <c r="G22" i="6"/>
  <c r="G14" i="6"/>
  <c r="G23" i="6"/>
  <c r="G15" i="6"/>
  <c r="G2" i="7" s="1"/>
  <c r="G7" i="6"/>
  <c r="G33" i="6"/>
  <c r="G16" i="6"/>
  <c r="G8" i="6"/>
  <c r="G41" i="6"/>
  <c r="G17" i="6"/>
  <c r="G9" i="6"/>
  <c r="G18" i="6"/>
  <c r="G10" i="6"/>
  <c r="G25" i="6"/>
  <c r="G24" i="6"/>
  <c r="G19" i="6"/>
  <c r="G11" i="6"/>
  <c r="G2" i="6"/>
  <c r="G3" i="6"/>
  <c r="G4" i="6"/>
  <c r="G5" i="6"/>
  <c r="G6" i="6"/>
  <c r="O58" i="6"/>
  <c r="O50" i="6"/>
  <c r="O42" i="6"/>
  <c r="O34" i="6"/>
  <c r="O26" i="6"/>
  <c r="O59" i="6"/>
  <c r="O51" i="6"/>
  <c r="O43" i="6"/>
  <c r="O35" i="6"/>
  <c r="O27" i="6"/>
  <c r="O60" i="6"/>
  <c r="O52" i="6"/>
  <c r="O44" i="6"/>
  <c r="O36" i="6"/>
  <c r="O28" i="6"/>
  <c r="O61" i="6"/>
  <c r="O53" i="6"/>
  <c r="O45" i="6"/>
  <c r="O37" i="6"/>
  <c r="O29" i="6"/>
  <c r="O54" i="6"/>
  <c r="O46" i="6"/>
  <c r="O38" i="6"/>
  <c r="O30" i="6"/>
  <c r="O55" i="6"/>
  <c r="O47" i="6"/>
  <c r="O39" i="6"/>
  <c r="O31" i="6"/>
  <c r="O56" i="6"/>
  <c r="O48" i="6"/>
  <c r="O40" i="6"/>
  <c r="O32" i="6"/>
  <c r="O49" i="6"/>
  <c r="O20" i="6"/>
  <c r="O12" i="6"/>
  <c r="O57" i="6"/>
  <c r="O21" i="6"/>
  <c r="O13" i="6"/>
  <c r="O22" i="6"/>
  <c r="O14" i="6"/>
  <c r="O6" i="6"/>
  <c r="O33" i="6"/>
  <c r="O24" i="6"/>
  <c r="O23" i="6"/>
  <c r="O15" i="6"/>
  <c r="O2" i="7" s="1"/>
  <c r="O7" i="6"/>
  <c r="O41" i="6"/>
  <c r="O16" i="6"/>
  <c r="O8" i="6"/>
  <c r="O17" i="6"/>
  <c r="O9" i="6"/>
  <c r="O25" i="6"/>
  <c r="O18" i="6"/>
  <c r="O10" i="6"/>
  <c r="O19" i="6"/>
  <c r="O11" i="6"/>
  <c r="O2" i="6"/>
  <c r="O3" i="6"/>
  <c r="O4" i="6"/>
  <c r="O5" i="6"/>
  <c r="F34" i="2"/>
  <c r="F35" i="2" s="1"/>
  <c r="E34" i="2"/>
  <c r="E35" i="2" s="1"/>
  <c r="D34" i="2"/>
  <c r="D35" i="2" s="1"/>
  <c r="C34" i="2"/>
  <c r="C35" i="2" s="1"/>
  <c r="J34" i="2"/>
  <c r="J35" i="2" s="1"/>
  <c r="B34" i="2"/>
  <c r="B35" i="2" s="1"/>
  <c r="I34" i="2"/>
  <c r="I35" i="2" s="1"/>
  <c r="G34" i="2"/>
  <c r="N60" i="4"/>
  <c r="N52" i="4"/>
  <c r="N44" i="4"/>
  <c r="N36" i="4"/>
  <c r="N28" i="4"/>
  <c r="N61" i="4"/>
  <c r="N53" i="4"/>
  <c r="N45" i="4"/>
  <c r="N37" i="4"/>
  <c r="N29" i="4"/>
  <c r="N54" i="4"/>
  <c r="N46" i="4"/>
  <c r="N38" i="4"/>
  <c r="N30" i="4"/>
  <c r="N55" i="4"/>
  <c r="N47" i="4"/>
  <c r="N39" i="4"/>
  <c r="N31" i="4"/>
  <c r="N23" i="4"/>
  <c r="N56" i="4"/>
  <c r="N48" i="4"/>
  <c r="N40" i="4"/>
  <c r="N32" i="4"/>
  <c r="N24" i="4"/>
  <c r="N57" i="4"/>
  <c r="N49" i="4"/>
  <c r="N41" i="4"/>
  <c r="N33" i="4"/>
  <c r="N25" i="4"/>
  <c r="N58" i="4"/>
  <c r="N50" i="4"/>
  <c r="N42" i="4"/>
  <c r="N34" i="4"/>
  <c r="N26" i="4"/>
  <c r="N59" i="4"/>
  <c r="N51" i="4"/>
  <c r="N43" i="4"/>
  <c r="N35" i="4"/>
  <c r="N27" i="4"/>
  <c r="N20" i="4"/>
  <c r="N12" i="4"/>
  <c r="N4" i="4"/>
  <c r="N21" i="4"/>
  <c r="N13" i="4"/>
  <c r="N5" i="4"/>
  <c r="N22" i="4"/>
  <c r="N14" i="4"/>
  <c r="N15" i="4"/>
  <c r="N2" i="5" s="1"/>
  <c r="N7" i="4"/>
  <c r="N16" i="4"/>
  <c r="N8" i="4"/>
  <c r="N17" i="4"/>
  <c r="N9" i="4"/>
  <c r="N18" i="4"/>
  <c r="N10" i="4"/>
  <c r="N2" i="4"/>
  <c r="N19" i="4"/>
  <c r="N11" i="4"/>
  <c r="N3" i="4"/>
  <c r="H59" i="6"/>
  <c r="H51" i="6"/>
  <c r="H43" i="6"/>
  <c r="H35" i="6"/>
  <c r="H27" i="6"/>
  <c r="H60" i="6"/>
  <c r="H52" i="6"/>
  <c r="H44" i="6"/>
  <c r="H36" i="6"/>
  <c r="H28" i="6"/>
  <c r="H61" i="6"/>
  <c r="H53" i="6"/>
  <c r="H45" i="6"/>
  <c r="H37" i="6"/>
  <c r="H29" i="6"/>
  <c r="H54" i="6"/>
  <c r="H46" i="6"/>
  <c r="H38" i="6"/>
  <c r="H30" i="6"/>
  <c r="H55" i="6"/>
  <c r="H47" i="6"/>
  <c r="H39" i="6"/>
  <c r="H31" i="6"/>
  <c r="H56" i="6"/>
  <c r="H48" i="6"/>
  <c r="H40" i="6"/>
  <c r="H32" i="6"/>
  <c r="H57" i="6"/>
  <c r="H49" i="6"/>
  <c r="H41" i="6"/>
  <c r="H33" i="6"/>
  <c r="H25" i="6"/>
  <c r="H21" i="6"/>
  <c r="H13" i="6"/>
  <c r="H42" i="6"/>
  <c r="H22" i="6"/>
  <c r="H14" i="6"/>
  <c r="H23" i="6"/>
  <c r="H15" i="6"/>
  <c r="H2" i="7" s="1"/>
  <c r="H7" i="6"/>
  <c r="H34" i="6"/>
  <c r="H26" i="6"/>
  <c r="H16" i="6"/>
  <c r="H8" i="6"/>
  <c r="H17" i="6"/>
  <c r="H9" i="6"/>
  <c r="H50" i="6"/>
  <c r="H18" i="6"/>
  <c r="H10" i="6"/>
  <c r="H58" i="6"/>
  <c r="H24" i="6"/>
  <c r="H19" i="6"/>
  <c r="H11" i="6"/>
  <c r="H20" i="6"/>
  <c r="H12" i="6"/>
  <c r="H2" i="6"/>
  <c r="H3" i="6"/>
  <c r="H4" i="6"/>
  <c r="H5" i="6"/>
  <c r="H6" i="6"/>
  <c r="P59" i="6"/>
  <c r="P51" i="6"/>
  <c r="P43" i="6"/>
  <c r="P35" i="6"/>
  <c r="P27" i="6"/>
  <c r="P60" i="6"/>
  <c r="P52" i="6"/>
  <c r="P44" i="6"/>
  <c r="P36" i="6"/>
  <c r="P28" i="6"/>
  <c r="P61" i="6"/>
  <c r="P53" i="6"/>
  <c r="P45" i="6"/>
  <c r="P37" i="6"/>
  <c r="P29" i="6"/>
  <c r="P54" i="6"/>
  <c r="P46" i="6"/>
  <c r="P38" i="6"/>
  <c r="P30" i="6"/>
  <c r="P55" i="6"/>
  <c r="P47" i="6"/>
  <c r="P39" i="6"/>
  <c r="P31" i="6"/>
  <c r="P56" i="6"/>
  <c r="P48" i="6"/>
  <c r="P40" i="6"/>
  <c r="P32" i="6"/>
  <c r="P57" i="6"/>
  <c r="P49" i="6"/>
  <c r="P41" i="6"/>
  <c r="P33" i="6"/>
  <c r="P25" i="6"/>
  <c r="P42" i="6"/>
  <c r="P21" i="6"/>
  <c r="P13" i="6"/>
  <c r="P22" i="6"/>
  <c r="P14" i="6"/>
  <c r="P34" i="6"/>
  <c r="P26" i="6"/>
  <c r="P24" i="6"/>
  <c r="P23" i="6"/>
  <c r="P15" i="6"/>
  <c r="P2" i="7" s="1"/>
  <c r="P7" i="6"/>
  <c r="P16" i="6"/>
  <c r="P8" i="6"/>
  <c r="P50" i="6"/>
  <c r="P17" i="6"/>
  <c r="P9" i="6"/>
  <c r="P58" i="6"/>
  <c r="P18" i="6"/>
  <c r="P10" i="6"/>
  <c r="P19" i="6"/>
  <c r="P11" i="6"/>
  <c r="P20" i="6"/>
  <c r="P12" i="6"/>
  <c r="P6" i="6"/>
  <c r="P2" i="6"/>
  <c r="P3" i="6"/>
  <c r="P4" i="6"/>
  <c r="P5" i="6"/>
  <c r="T17" i="2"/>
  <c r="C17" i="2"/>
  <c r="C66" i="2" s="1"/>
  <c r="D3" i="3" s="1"/>
  <c r="C6" i="4" s="1"/>
  <c r="I37" i="2"/>
  <c r="L37" i="2" s="1"/>
  <c r="C39" i="2"/>
  <c r="K39" i="2"/>
  <c r="D55" i="6"/>
  <c r="D47" i="6"/>
  <c r="D31" i="6"/>
  <c r="D56" i="6"/>
  <c r="D48" i="6"/>
  <c r="D40" i="6"/>
  <c r="D24" i="6"/>
  <c r="D57" i="6"/>
  <c r="D41" i="6"/>
  <c r="D33" i="6"/>
  <c r="D25" i="6"/>
  <c r="D58" i="6"/>
  <c r="D50" i="6"/>
  <c r="D42" i="6"/>
  <c r="D26" i="6"/>
  <c r="D59" i="6"/>
  <c r="D51" i="6"/>
  <c r="D43" i="6"/>
  <c r="D35" i="6"/>
  <c r="D27" i="6"/>
  <c r="D60" i="6"/>
  <c r="D52" i="6"/>
  <c r="D44" i="6"/>
  <c r="D36" i="6"/>
  <c r="D28" i="6"/>
  <c r="D61" i="6"/>
  <c r="D53" i="6"/>
  <c r="D45" i="6"/>
  <c r="D37" i="6"/>
  <c r="D29" i="6"/>
  <c r="D17" i="6"/>
  <c r="D9" i="6"/>
  <c r="D18" i="6"/>
  <c r="D10" i="6"/>
  <c r="D46" i="6"/>
  <c r="D19" i="6"/>
  <c r="D11" i="6"/>
  <c r="D20" i="6"/>
  <c r="D12" i="6"/>
  <c r="D38" i="6"/>
  <c r="D30" i="6"/>
  <c r="D21" i="6"/>
  <c r="D13" i="6"/>
  <c r="D22" i="6"/>
  <c r="D14" i="6"/>
  <c r="D54" i="6"/>
  <c r="D15" i="6"/>
  <c r="D2" i="7" s="1"/>
  <c r="D7" i="6"/>
  <c r="D16" i="6"/>
  <c r="D8" i="6"/>
  <c r="D5" i="6"/>
  <c r="D2" i="6"/>
  <c r="D3" i="6"/>
  <c r="D4" i="6"/>
  <c r="E61" i="8"/>
  <c r="E53" i="8"/>
  <c r="E45" i="8"/>
  <c r="E37" i="8"/>
  <c r="E58" i="8"/>
  <c r="E57" i="8"/>
  <c r="E56" i="8"/>
  <c r="E38" i="8"/>
  <c r="E34" i="8"/>
  <c r="E26" i="8"/>
  <c r="E18" i="8"/>
  <c r="E10" i="8"/>
  <c r="E2" i="8"/>
  <c r="E43" i="8"/>
  <c r="E27" i="8"/>
  <c r="E19" i="8"/>
  <c r="E11" i="8"/>
  <c r="E3" i="8"/>
  <c r="E40" i="8"/>
  <c r="E35" i="8"/>
  <c r="E28" i="8"/>
  <c r="E20" i="8"/>
  <c r="E59" i="8"/>
  <c r="E29" i="8"/>
  <c r="E21" i="8"/>
  <c r="E54" i="8"/>
  <c r="E36" i="8"/>
  <c r="E25" i="8"/>
  <c r="E16" i="8"/>
  <c r="E5" i="8"/>
  <c r="E30" i="8"/>
  <c r="E13" i="8"/>
  <c r="E6" i="8"/>
  <c r="E55" i="8"/>
  <c r="E51" i="8"/>
  <c r="E50" i="8"/>
  <c r="E46" i="8"/>
  <c r="E31" i="8"/>
  <c r="E7" i="8"/>
  <c r="E49" i="8"/>
  <c r="E44" i="8"/>
  <c r="E32" i="8"/>
  <c r="E15" i="8"/>
  <c r="E2" i="9" s="1"/>
  <c r="E8" i="8"/>
  <c r="E52" i="8"/>
  <c r="E48" i="8"/>
  <c r="E41" i="8"/>
  <c r="E33" i="8"/>
  <c r="E42" i="8"/>
  <c r="E22" i="8"/>
  <c r="E17" i="8"/>
  <c r="E12" i="8"/>
  <c r="E60" i="8"/>
  <c r="E47" i="8"/>
  <c r="E39" i="8"/>
  <c r="E23" i="8"/>
  <c r="E14" i="8"/>
  <c r="E24" i="8"/>
  <c r="E4" i="8"/>
  <c r="E9" i="8"/>
  <c r="M61" i="8"/>
  <c r="M53" i="8"/>
  <c r="M45" i="8"/>
  <c r="M37" i="8"/>
  <c r="M48" i="8"/>
  <c r="M60" i="8"/>
  <c r="M50" i="8"/>
  <c r="M49" i="8"/>
  <c r="M41" i="8"/>
  <c r="M36" i="8"/>
  <c r="M34" i="8"/>
  <c r="M26" i="8"/>
  <c r="M18" i="8"/>
  <c r="M10" i="8"/>
  <c r="M2" i="8"/>
  <c r="M55" i="8"/>
  <c r="M54" i="8"/>
  <c r="M52" i="8"/>
  <c r="M51" i="8"/>
  <c r="M38" i="8"/>
  <c r="M27" i="8"/>
  <c r="M19" i="8"/>
  <c r="M11" i="8"/>
  <c r="M3" i="8"/>
  <c r="M58" i="8"/>
  <c r="M57" i="8"/>
  <c r="M56" i="8"/>
  <c r="M43" i="8"/>
  <c r="M28" i="8"/>
  <c r="M20" i="8"/>
  <c r="M12" i="8"/>
  <c r="M40" i="8"/>
  <c r="M35" i="8"/>
  <c r="M29" i="8"/>
  <c r="M21" i="8"/>
  <c r="M46" i="8"/>
  <c r="M44" i="8"/>
  <c r="M33" i="8"/>
  <c r="M17" i="8"/>
  <c r="M59" i="8"/>
  <c r="M22" i="8"/>
  <c r="M14" i="8"/>
  <c r="M4" i="8"/>
  <c r="M42" i="8"/>
  <c r="M23" i="8"/>
  <c r="M5" i="8"/>
  <c r="M39" i="8"/>
  <c r="M24" i="8"/>
  <c r="M16" i="8"/>
  <c r="M6" i="8"/>
  <c r="M47" i="8"/>
  <c r="M25" i="8"/>
  <c r="M13" i="8"/>
  <c r="M30" i="8"/>
  <c r="M8" i="8"/>
  <c r="M31" i="8"/>
  <c r="M15" i="8"/>
  <c r="M2" i="9" s="1"/>
  <c r="M32" i="8"/>
  <c r="M9" i="8"/>
  <c r="M7" i="8"/>
  <c r="U61" i="8"/>
  <c r="U53" i="8"/>
  <c r="U45" i="8"/>
  <c r="U37" i="8"/>
  <c r="U56" i="8"/>
  <c r="U51" i="8"/>
  <c r="U34" i="8"/>
  <c r="U26" i="8"/>
  <c r="U18" i="8"/>
  <c r="U10" i="8"/>
  <c r="U2" i="8"/>
  <c r="U59" i="8"/>
  <c r="U48" i="8"/>
  <c r="U47" i="8"/>
  <c r="U46" i="8"/>
  <c r="U44" i="8"/>
  <c r="U41" i="8"/>
  <c r="U36" i="8"/>
  <c r="U27" i="8"/>
  <c r="U19" i="8"/>
  <c r="U11" i="8"/>
  <c r="U3" i="8"/>
  <c r="U50" i="8"/>
  <c r="U49" i="8"/>
  <c r="U38" i="8"/>
  <c r="U28" i="8"/>
  <c r="U20" i="8"/>
  <c r="U12" i="8"/>
  <c r="U55" i="8"/>
  <c r="U54" i="8"/>
  <c r="U52" i="8"/>
  <c r="U43" i="8"/>
  <c r="U29" i="8"/>
  <c r="U21" i="8"/>
  <c r="U60" i="8"/>
  <c r="U57" i="8"/>
  <c r="U58" i="8"/>
  <c r="U39" i="8"/>
  <c r="U25" i="8"/>
  <c r="U9" i="8"/>
  <c r="U40" i="8"/>
  <c r="U30" i="8"/>
  <c r="U15" i="8"/>
  <c r="U2" i="9" s="1"/>
  <c r="U31" i="8"/>
  <c r="U32" i="8"/>
  <c r="U17" i="8"/>
  <c r="U4" i="8"/>
  <c r="U33" i="8"/>
  <c r="U14" i="8"/>
  <c r="U35" i="8"/>
  <c r="U22" i="8"/>
  <c r="U6" i="8"/>
  <c r="U23" i="8"/>
  <c r="U16" i="8"/>
  <c r="U42" i="8"/>
  <c r="U24" i="8"/>
  <c r="U13" i="8"/>
  <c r="U8" i="8"/>
  <c r="U7" i="8"/>
  <c r="U5" i="8"/>
  <c r="AC61" i="8"/>
  <c r="AC53" i="8"/>
  <c r="AC45" i="8"/>
  <c r="AC37" i="8"/>
  <c r="AC59" i="8"/>
  <c r="AC46" i="8"/>
  <c r="AC58" i="8"/>
  <c r="AC39" i="8"/>
  <c r="AC34" i="8"/>
  <c r="AC26" i="8"/>
  <c r="AC18" i="8"/>
  <c r="AC10" i="8"/>
  <c r="AC2" i="8"/>
  <c r="AC27" i="8"/>
  <c r="AC19" i="8"/>
  <c r="AC11" i="8"/>
  <c r="AC3" i="8"/>
  <c r="AC41" i="8"/>
  <c r="AC36" i="8"/>
  <c r="AC28" i="8"/>
  <c r="AC20" i="8"/>
  <c r="AC12" i="8"/>
  <c r="AC48" i="8"/>
  <c r="AC47" i="8"/>
  <c r="AC44" i="8"/>
  <c r="AC38" i="8"/>
  <c r="AC29" i="8"/>
  <c r="AC21" i="8"/>
  <c r="AC51" i="8"/>
  <c r="AC50" i="8"/>
  <c r="AC49" i="8"/>
  <c r="AC56" i="8"/>
  <c r="AC55" i="8"/>
  <c r="AC54" i="8"/>
  <c r="AC52" i="8"/>
  <c r="AC33" i="8"/>
  <c r="AC7" i="8"/>
  <c r="AC57" i="8"/>
  <c r="AC22" i="8"/>
  <c r="AC16" i="8"/>
  <c r="AC8" i="8"/>
  <c r="AC60" i="8"/>
  <c r="AC35" i="8"/>
  <c r="AC23" i="8"/>
  <c r="AC13" i="8"/>
  <c r="AC9" i="8"/>
  <c r="AC24" i="8"/>
  <c r="AC42" i="8"/>
  <c r="AC25" i="8"/>
  <c r="AC15" i="8"/>
  <c r="AC2" i="9" s="1"/>
  <c r="AC43" i="8"/>
  <c r="AC30" i="8"/>
  <c r="AC4" i="8"/>
  <c r="AC40" i="8"/>
  <c r="AC31" i="8"/>
  <c r="AC17" i="8"/>
  <c r="AC32" i="8"/>
  <c r="AC6" i="8"/>
  <c r="AC5" i="8"/>
  <c r="AC14" i="8"/>
  <c r="H61" i="14"/>
  <c r="H53" i="14"/>
  <c r="H54" i="14"/>
  <c r="H46" i="14"/>
  <c r="H55" i="14"/>
  <c r="H47" i="14"/>
  <c r="H57" i="14"/>
  <c r="H49" i="14"/>
  <c r="H41" i="14"/>
  <c r="H59" i="14"/>
  <c r="H51" i="14"/>
  <c r="H43" i="14"/>
  <c r="H52" i="14"/>
  <c r="H32" i="14"/>
  <c r="H56" i="14"/>
  <c r="H40" i="14"/>
  <c r="H33" i="14"/>
  <c r="H58" i="14"/>
  <c r="H34" i="14"/>
  <c r="H60" i="14"/>
  <c r="H42" i="14"/>
  <c r="H35" i="14"/>
  <c r="H44" i="14"/>
  <c r="H36" i="14"/>
  <c r="H45" i="14"/>
  <c r="H24" i="14"/>
  <c r="H16" i="14"/>
  <c r="H25" i="14"/>
  <c r="H17" i="14"/>
  <c r="H50" i="14"/>
  <c r="H48" i="14"/>
  <c r="H37" i="14"/>
  <c r="H26" i="14"/>
  <c r="H18" i="14"/>
  <c r="H28" i="14"/>
  <c r="H27" i="14"/>
  <c r="H19" i="14"/>
  <c r="H39" i="14"/>
  <c r="H20" i="14"/>
  <c r="H31" i="14"/>
  <c r="H8" i="14"/>
  <c r="H21" i="14"/>
  <c r="H15" i="14"/>
  <c r="H9" i="14"/>
  <c r="H10" i="14"/>
  <c r="H2" i="14"/>
  <c r="H29" i="14"/>
  <c r="H23" i="14"/>
  <c r="H11" i="14"/>
  <c r="H3" i="14"/>
  <c r="H12" i="14"/>
  <c r="H4" i="14"/>
  <c r="H38" i="14"/>
  <c r="H14" i="14"/>
  <c r="H5" i="14"/>
  <c r="H7" i="14"/>
  <c r="H22" i="14"/>
  <c r="H13" i="14"/>
  <c r="H6" i="14"/>
  <c r="H30" i="14"/>
  <c r="P61" i="14"/>
  <c r="P53" i="14"/>
  <c r="P54" i="14"/>
  <c r="P46" i="14"/>
  <c r="P55" i="14"/>
  <c r="P47" i="14"/>
  <c r="P57" i="14"/>
  <c r="P49" i="14"/>
  <c r="P41" i="14"/>
  <c r="P59" i="14"/>
  <c r="P51" i="14"/>
  <c r="P43" i="14"/>
  <c r="P60" i="14"/>
  <c r="P44" i="14"/>
  <c r="P32" i="14"/>
  <c r="P45" i="14"/>
  <c r="P33" i="14"/>
  <c r="P34" i="14"/>
  <c r="P48" i="14"/>
  <c r="P40" i="14"/>
  <c r="P35" i="14"/>
  <c r="P50" i="14"/>
  <c r="P36" i="14"/>
  <c r="P24" i="14"/>
  <c r="P16" i="14"/>
  <c r="P42" i="14"/>
  <c r="P39" i="14"/>
  <c r="P29" i="14"/>
  <c r="P25" i="14"/>
  <c r="P17" i="14"/>
  <c r="P30" i="14"/>
  <c r="P26" i="14"/>
  <c r="P18" i="14"/>
  <c r="P31" i="14"/>
  <c r="P19" i="14"/>
  <c r="P38" i="14"/>
  <c r="P27" i="14"/>
  <c r="P20" i="14"/>
  <c r="P28" i="14"/>
  <c r="P23" i="14"/>
  <c r="P8" i="14"/>
  <c r="P9" i="14"/>
  <c r="P37" i="14"/>
  <c r="P10" i="14"/>
  <c r="P2" i="14"/>
  <c r="P22" i="14"/>
  <c r="P11" i="14"/>
  <c r="P3" i="14"/>
  <c r="P58" i="14"/>
  <c r="P12" i="14"/>
  <c r="P4" i="14"/>
  <c r="P21" i="14"/>
  <c r="P15" i="14"/>
  <c r="P7" i="14"/>
  <c r="P56" i="14"/>
  <c r="P13" i="14"/>
  <c r="P52" i="14"/>
  <c r="P6" i="14"/>
  <c r="P14" i="14"/>
  <c r="P5" i="14"/>
  <c r="X61" i="14"/>
  <c r="X53" i="14"/>
  <c r="X54" i="14"/>
  <c r="X46" i="14"/>
  <c r="X55" i="14"/>
  <c r="X47" i="14"/>
  <c r="X57" i="14"/>
  <c r="X49" i="14"/>
  <c r="X41" i="14"/>
  <c r="X59" i="14"/>
  <c r="X51" i="14"/>
  <c r="X43" i="14"/>
  <c r="X48" i="14"/>
  <c r="X32" i="14"/>
  <c r="X50" i="14"/>
  <c r="X33" i="14"/>
  <c r="X52" i="14"/>
  <c r="X34" i="14"/>
  <c r="X56" i="14"/>
  <c r="X42" i="14"/>
  <c r="X35" i="14"/>
  <c r="X58" i="14"/>
  <c r="X44" i="14"/>
  <c r="X36" i="14"/>
  <c r="X24" i="14"/>
  <c r="X16" i="14"/>
  <c r="X38" i="14"/>
  <c r="X25" i="14"/>
  <c r="X17" i="14"/>
  <c r="X26" i="14"/>
  <c r="X18" i="14"/>
  <c r="X60" i="14"/>
  <c r="X40" i="14"/>
  <c r="X19" i="14"/>
  <c r="X37" i="14"/>
  <c r="X20" i="14"/>
  <c r="X45" i="14"/>
  <c r="X39" i="14"/>
  <c r="X22" i="14"/>
  <c r="X14" i="14"/>
  <c r="X8" i="14"/>
  <c r="X15" i="14"/>
  <c r="X9" i="14"/>
  <c r="X30" i="14"/>
  <c r="X10" i="14"/>
  <c r="X2" i="14"/>
  <c r="X21" i="14"/>
  <c r="X11" i="14"/>
  <c r="X3" i="14"/>
  <c r="X12" i="14"/>
  <c r="X4" i="14"/>
  <c r="X29" i="14"/>
  <c r="X6" i="14"/>
  <c r="X31" i="14"/>
  <c r="X28" i="14"/>
  <c r="X5" i="14"/>
  <c r="X27" i="14"/>
  <c r="X7" i="14"/>
  <c r="X13" i="14"/>
  <c r="X23" i="14"/>
  <c r="AF61" i="14"/>
  <c r="AF53" i="14"/>
  <c r="AF54" i="14"/>
  <c r="AF46" i="14"/>
  <c r="AF55" i="14"/>
  <c r="AF47" i="14"/>
  <c r="AF57" i="14"/>
  <c r="AF49" i="14"/>
  <c r="AF41" i="14"/>
  <c r="AF59" i="14"/>
  <c r="AF51" i="14"/>
  <c r="AF43" i="14"/>
  <c r="AF56" i="14"/>
  <c r="AF44" i="14"/>
  <c r="AF40" i="14"/>
  <c r="AF32" i="14"/>
  <c r="AF58" i="14"/>
  <c r="AF45" i="14"/>
  <c r="AF33" i="14"/>
  <c r="AF60" i="14"/>
  <c r="AF34" i="14"/>
  <c r="AF35" i="14"/>
  <c r="AF36" i="14"/>
  <c r="AF27" i="14"/>
  <c r="AF24" i="14"/>
  <c r="AF16" i="14"/>
  <c r="AF37" i="14"/>
  <c r="AF29" i="14"/>
  <c r="AF25" i="14"/>
  <c r="AF17" i="14"/>
  <c r="AF30" i="14"/>
  <c r="AF28" i="14"/>
  <c r="AF26" i="14"/>
  <c r="AF18" i="14"/>
  <c r="AF39" i="14"/>
  <c r="AF31" i="14"/>
  <c r="AF19" i="14"/>
  <c r="AF20" i="14"/>
  <c r="AF50" i="14"/>
  <c r="AF21" i="14"/>
  <c r="AF8" i="14"/>
  <c r="AF9" i="14"/>
  <c r="AF23" i="14"/>
  <c r="AF10" i="14"/>
  <c r="AF2" i="14"/>
  <c r="AF48" i="14"/>
  <c r="AF38" i="14"/>
  <c r="AF11" i="14"/>
  <c r="AF3" i="14"/>
  <c r="AF14" i="14"/>
  <c r="AF12" i="14"/>
  <c r="AF4" i="14"/>
  <c r="AF22" i="14"/>
  <c r="AF5" i="14"/>
  <c r="AF52" i="14"/>
  <c r="AF42" i="14"/>
  <c r="AF7" i="14"/>
  <c r="AF13" i="14"/>
  <c r="AF15" i="14"/>
  <c r="AF6" i="14"/>
  <c r="S16" i="2"/>
  <c r="D17" i="2"/>
  <c r="D66" i="2" s="1"/>
  <c r="E3" i="3" s="1"/>
  <c r="D6" i="4" s="1"/>
  <c r="H34" i="2"/>
  <c r="H35" i="2" s="1"/>
  <c r="B37" i="2"/>
  <c r="D39" i="2"/>
  <c r="E56" i="6"/>
  <c r="E48" i="6"/>
  <c r="E40" i="6"/>
  <c r="E24" i="6"/>
  <c r="E57" i="6"/>
  <c r="E41" i="6"/>
  <c r="E33" i="6"/>
  <c r="E25" i="6"/>
  <c r="E58" i="6"/>
  <c r="E50" i="6"/>
  <c r="E42" i="6"/>
  <c r="E26" i="6"/>
  <c r="E59" i="6"/>
  <c r="E51" i="6"/>
  <c r="E43" i="6"/>
  <c r="E35" i="6"/>
  <c r="E27" i="6"/>
  <c r="E60" i="6"/>
  <c r="E52" i="6"/>
  <c r="E44" i="6"/>
  <c r="E36" i="6"/>
  <c r="E28" i="6"/>
  <c r="E61" i="6"/>
  <c r="E53" i="6"/>
  <c r="E45" i="6"/>
  <c r="E37" i="6"/>
  <c r="E29" i="6"/>
  <c r="E54" i="6"/>
  <c r="E46" i="6"/>
  <c r="E38" i="6"/>
  <c r="E30" i="6"/>
  <c r="E31" i="6"/>
  <c r="E18" i="6"/>
  <c r="E10" i="6"/>
  <c r="E19" i="6"/>
  <c r="E11" i="6"/>
  <c r="E55" i="6"/>
  <c r="E20" i="6"/>
  <c r="E12" i="6"/>
  <c r="E21" i="6"/>
  <c r="E13" i="6"/>
  <c r="E22" i="6"/>
  <c r="E14" i="6"/>
  <c r="E15" i="6"/>
  <c r="E2" i="7" s="1"/>
  <c r="E7" i="6"/>
  <c r="E47" i="6"/>
  <c r="E16" i="6"/>
  <c r="E8" i="6"/>
  <c r="E17" i="6"/>
  <c r="E9" i="6"/>
  <c r="E2" i="6"/>
  <c r="E3" i="6"/>
  <c r="E4" i="6"/>
  <c r="E5" i="6"/>
  <c r="F54" i="8"/>
  <c r="F46" i="8"/>
  <c r="F38" i="8"/>
  <c r="F55" i="8"/>
  <c r="F50" i="8"/>
  <c r="F45" i="8"/>
  <c r="F58" i="8"/>
  <c r="F43" i="8"/>
  <c r="F27" i="8"/>
  <c r="F19" i="8"/>
  <c r="F11" i="8"/>
  <c r="F3" i="8"/>
  <c r="F40" i="8"/>
  <c r="F35" i="8"/>
  <c r="F28" i="8"/>
  <c r="F20" i="8"/>
  <c r="F12" i="8"/>
  <c r="F4" i="8"/>
  <c r="F61" i="8"/>
  <c r="F59" i="8"/>
  <c r="F29" i="8"/>
  <c r="F21" i="8"/>
  <c r="F13" i="8"/>
  <c r="F42" i="8"/>
  <c r="F37" i="8"/>
  <c r="F30" i="8"/>
  <c r="F22" i="8"/>
  <c r="F26" i="8"/>
  <c r="F6" i="8"/>
  <c r="F51" i="8"/>
  <c r="F31" i="8"/>
  <c r="F18" i="8"/>
  <c r="F7" i="8"/>
  <c r="F49" i="8"/>
  <c r="F44" i="8"/>
  <c r="F32" i="8"/>
  <c r="F15" i="8"/>
  <c r="F2" i="9" s="1"/>
  <c r="F8" i="8"/>
  <c r="F52" i="8"/>
  <c r="F48" i="8"/>
  <c r="F41" i="8"/>
  <c r="F33" i="8"/>
  <c r="F9" i="8"/>
  <c r="F56" i="8"/>
  <c r="F34" i="8"/>
  <c r="F17" i="8"/>
  <c r="F10" i="8"/>
  <c r="F60" i="8"/>
  <c r="F47" i="8"/>
  <c r="F39" i="8"/>
  <c r="F23" i="8"/>
  <c r="F14" i="8"/>
  <c r="F57" i="8"/>
  <c r="F53" i="8"/>
  <c r="F24" i="8"/>
  <c r="F25" i="8"/>
  <c r="F5" i="8"/>
  <c r="F2" i="8"/>
  <c r="F36" i="8"/>
  <c r="F16" i="8"/>
  <c r="N54" i="8"/>
  <c r="N46" i="8"/>
  <c r="N38" i="8"/>
  <c r="N58" i="8"/>
  <c r="N53" i="8"/>
  <c r="N55" i="8"/>
  <c r="N52" i="8"/>
  <c r="N51" i="8"/>
  <c r="N27" i="8"/>
  <c r="N19" i="8"/>
  <c r="N11" i="8"/>
  <c r="N3" i="8"/>
  <c r="N60" i="8"/>
  <c r="N57" i="8"/>
  <c r="N56" i="8"/>
  <c r="N43" i="8"/>
  <c r="N28" i="8"/>
  <c r="N20" i="8"/>
  <c r="N12" i="8"/>
  <c r="N4" i="8"/>
  <c r="N40" i="8"/>
  <c r="N35" i="8"/>
  <c r="N29" i="8"/>
  <c r="N21" i="8"/>
  <c r="N13" i="8"/>
  <c r="N30" i="8"/>
  <c r="N22" i="8"/>
  <c r="N61" i="8"/>
  <c r="N59" i="8"/>
  <c r="N50" i="8"/>
  <c r="N41" i="8"/>
  <c r="N34" i="8"/>
  <c r="N14" i="8"/>
  <c r="N2" i="8"/>
  <c r="N49" i="8"/>
  <c r="N42" i="8"/>
  <c r="N23" i="8"/>
  <c r="N5" i="8"/>
  <c r="N48" i="8"/>
  <c r="N39" i="8"/>
  <c r="N24" i="8"/>
  <c r="N16" i="8"/>
  <c r="N6" i="8"/>
  <c r="N47" i="8"/>
  <c r="N45" i="8"/>
  <c r="N25" i="8"/>
  <c r="N7" i="8"/>
  <c r="N36" i="8"/>
  <c r="N26" i="8"/>
  <c r="N18" i="8"/>
  <c r="N37" i="8"/>
  <c r="N31" i="8"/>
  <c r="N15" i="8"/>
  <c r="N2" i="9" s="1"/>
  <c r="N9" i="8"/>
  <c r="N32" i="8"/>
  <c r="N33" i="8"/>
  <c r="N17" i="8"/>
  <c r="N10" i="8"/>
  <c r="N8" i="8"/>
  <c r="N44" i="8"/>
  <c r="V54" i="8"/>
  <c r="V46" i="8"/>
  <c r="V38" i="8"/>
  <c r="V61" i="8"/>
  <c r="V48" i="8"/>
  <c r="V60" i="8"/>
  <c r="V59" i="8"/>
  <c r="V47" i="8"/>
  <c r="V45" i="8"/>
  <c r="V44" i="8"/>
  <c r="V41" i="8"/>
  <c r="V36" i="8"/>
  <c r="V27" i="8"/>
  <c r="V19" i="8"/>
  <c r="V11" i="8"/>
  <c r="V3" i="8"/>
  <c r="V50" i="8"/>
  <c r="V49" i="8"/>
  <c r="V28" i="8"/>
  <c r="V20" i="8"/>
  <c r="V12" i="8"/>
  <c r="V4" i="8"/>
  <c r="V55" i="8"/>
  <c r="V53" i="8"/>
  <c r="V52" i="8"/>
  <c r="V51" i="8"/>
  <c r="V43" i="8"/>
  <c r="V29" i="8"/>
  <c r="V21" i="8"/>
  <c r="V13" i="8"/>
  <c r="V57" i="8"/>
  <c r="V56" i="8"/>
  <c r="V40" i="8"/>
  <c r="V35" i="8"/>
  <c r="V30" i="8"/>
  <c r="V22" i="8"/>
  <c r="V58" i="8"/>
  <c r="V26" i="8"/>
  <c r="V15" i="8"/>
  <c r="V2" i="9" s="1"/>
  <c r="V10" i="8"/>
  <c r="V31" i="8"/>
  <c r="V37" i="8"/>
  <c r="V32" i="8"/>
  <c r="V17" i="8"/>
  <c r="V2" i="8"/>
  <c r="V33" i="8"/>
  <c r="V14" i="8"/>
  <c r="V5" i="8"/>
  <c r="V34" i="8"/>
  <c r="V23" i="8"/>
  <c r="V16" i="8"/>
  <c r="V7" i="8"/>
  <c r="V42" i="8"/>
  <c r="V24" i="8"/>
  <c r="V25" i="8"/>
  <c r="V9" i="8"/>
  <c r="V8" i="8"/>
  <c r="V6" i="8"/>
  <c r="V39" i="8"/>
  <c r="V18" i="8"/>
  <c r="AD54" i="8"/>
  <c r="AD46" i="8"/>
  <c r="AD38" i="8"/>
  <c r="AD56" i="8"/>
  <c r="AD51" i="8"/>
  <c r="AD27" i="8"/>
  <c r="AD19" i="8"/>
  <c r="AD11" i="8"/>
  <c r="AD3" i="8"/>
  <c r="AD41" i="8"/>
  <c r="AD36" i="8"/>
  <c r="AD28" i="8"/>
  <c r="AD20" i="8"/>
  <c r="AD12" i="8"/>
  <c r="AD4" i="8"/>
  <c r="AD61" i="8"/>
  <c r="AD48" i="8"/>
  <c r="AD47" i="8"/>
  <c r="AD45" i="8"/>
  <c r="AD44" i="8"/>
  <c r="AD29" i="8"/>
  <c r="AD21" i="8"/>
  <c r="AD13" i="8"/>
  <c r="AD59" i="8"/>
  <c r="AD50" i="8"/>
  <c r="AD49" i="8"/>
  <c r="AD43" i="8"/>
  <c r="AD30" i="8"/>
  <c r="AD22" i="8"/>
  <c r="AD55" i="8"/>
  <c r="AD53" i="8"/>
  <c r="AD52" i="8"/>
  <c r="AD57" i="8"/>
  <c r="AD34" i="8"/>
  <c r="AD16" i="8"/>
  <c r="AD8" i="8"/>
  <c r="AD60" i="8"/>
  <c r="AD35" i="8"/>
  <c r="AD23" i="8"/>
  <c r="AD9" i="8"/>
  <c r="AD24" i="8"/>
  <c r="AD18" i="8"/>
  <c r="AD10" i="8"/>
  <c r="AD42" i="8"/>
  <c r="AD25" i="8"/>
  <c r="AD15" i="8"/>
  <c r="AD2" i="9" s="1"/>
  <c r="AD58" i="8"/>
  <c r="AD39" i="8"/>
  <c r="AD26" i="8"/>
  <c r="AD40" i="8"/>
  <c r="AD31" i="8"/>
  <c r="AD17" i="8"/>
  <c r="AD5" i="8"/>
  <c r="AD32" i="8"/>
  <c r="AD14" i="8"/>
  <c r="AD33" i="8"/>
  <c r="AD37" i="8"/>
  <c r="AD2" i="8"/>
  <c r="AD7" i="8"/>
  <c r="AD6" i="8"/>
  <c r="I54" i="14"/>
  <c r="I46" i="14"/>
  <c r="I55" i="14"/>
  <c r="I47" i="14"/>
  <c r="I56" i="14"/>
  <c r="I48" i="14"/>
  <c r="I58" i="14"/>
  <c r="I50" i="14"/>
  <c r="I42" i="14"/>
  <c r="I60" i="14"/>
  <c r="I52" i="14"/>
  <c r="I44" i="14"/>
  <c r="I40" i="14"/>
  <c r="I33" i="14"/>
  <c r="I34" i="14"/>
  <c r="I49" i="14"/>
  <c r="I35" i="14"/>
  <c r="I51" i="14"/>
  <c r="I43" i="14"/>
  <c r="I41" i="14"/>
  <c r="I36" i="14"/>
  <c r="I53" i="14"/>
  <c r="I45" i="14"/>
  <c r="I37" i="14"/>
  <c r="I25" i="14"/>
  <c r="I17" i="14"/>
  <c r="I26" i="14"/>
  <c r="I18" i="14"/>
  <c r="I61" i="14"/>
  <c r="I59" i="14"/>
  <c r="I57" i="14"/>
  <c r="I28" i="14"/>
  <c r="I27" i="14"/>
  <c r="I19" i="14"/>
  <c r="I39" i="14"/>
  <c r="I20" i="14"/>
  <c r="I21" i="14"/>
  <c r="I15" i="14"/>
  <c r="I9" i="14"/>
  <c r="I16" i="14"/>
  <c r="I10" i="14"/>
  <c r="I2" i="14"/>
  <c r="I32" i="14"/>
  <c r="I29" i="14"/>
  <c r="I23" i="14"/>
  <c r="I11" i="14"/>
  <c r="I3" i="14"/>
  <c r="I12" i="14"/>
  <c r="I4" i="14"/>
  <c r="I30" i="14"/>
  <c r="I13" i="14"/>
  <c r="I5" i="14"/>
  <c r="I38" i="14"/>
  <c r="I8" i="14"/>
  <c r="I14" i="14"/>
  <c r="I7" i="14"/>
  <c r="I22" i="14"/>
  <c r="I31" i="14"/>
  <c r="I24" i="14"/>
  <c r="I6" i="14"/>
  <c r="Q54" i="14"/>
  <c r="Q46" i="14"/>
  <c r="Q55" i="14"/>
  <c r="Q47" i="14"/>
  <c r="Q56" i="14"/>
  <c r="Q48" i="14"/>
  <c r="Q58" i="14"/>
  <c r="Q50" i="14"/>
  <c r="Q42" i="14"/>
  <c r="Q60" i="14"/>
  <c r="Q52" i="14"/>
  <c r="Q44" i="14"/>
  <c r="Q51" i="14"/>
  <c r="Q45" i="14"/>
  <c r="Q33" i="14"/>
  <c r="Q53" i="14"/>
  <c r="Q34" i="14"/>
  <c r="Q57" i="14"/>
  <c r="Q40" i="14"/>
  <c r="Q35" i="14"/>
  <c r="Q59" i="14"/>
  <c r="Q36" i="14"/>
  <c r="Q61" i="14"/>
  <c r="Q37" i="14"/>
  <c r="Q39" i="14"/>
  <c r="Q29" i="14"/>
  <c r="Q25" i="14"/>
  <c r="Q17" i="14"/>
  <c r="Q30" i="14"/>
  <c r="Q26" i="14"/>
  <c r="Q18" i="14"/>
  <c r="Q31" i="14"/>
  <c r="Q19" i="14"/>
  <c r="Q43" i="14"/>
  <c r="Q38" i="14"/>
  <c r="Q32" i="14"/>
  <c r="Q27" i="14"/>
  <c r="Q20" i="14"/>
  <c r="Q28" i="14"/>
  <c r="Q21" i="14"/>
  <c r="Q9" i="14"/>
  <c r="Q10" i="14"/>
  <c r="Q2" i="14"/>
  <c r="Q49" i="14"/>
  <c r="Q41" i="14"/>
  <c r="Q22" i="14"/>
  <c r="Q11" i="14"/>
  <c r="Q3" i="14"/>
  <c r="Q12" i="14"/>
  <c r="Q4" i="14"/>
  <c r="Q24" i="14"/>
  <c r="Q15" i="14"/>
  <c r="Q13" i="14"/>
  <c r="Q5" i="14"/>
  <c r="Q23" i="14"/>
  <c r="Q7" i="14"/>
  <c r="Q16" i="14"/>
  <c r="Q6" i="14"/>
  <c r="Q14" i="14"/>
  <c r="Q8" i="14"/>
  <c r="Y54" i="14"/>
  <c r="Y46" i="14"/>
  <c r="Y55" i="14"/>
  <c r="Y47" i="14"/>
  <c r="Y56" i="14"/>
  <c r="Y48" i="14"/>
  <c r="Y58" i="14"/>
  <c r="Y50" i="14"/>
  <c r="Y42" i="14"/>
  <c r="Y60" i="14"/>
  <c r="Y52" i="14"/>
  <c r="Y44" i="14"/>
  <c r="Y59" i="14"/>
  <c r="Y33" i="14"/>
  <c r="Y61" i="14"/>
  <c r="Y34" i="14"/>
  <c r="Y41" i="14"/>
  <c r="Y35" i="14"/>
  <c r="Y43" i="14"/>
  <c r="Y36" i="14"/>
  <c r="Y49" i="14"/>
  <c r="Y45" i="14"/>
  <c r="Y40" i="14"/>
  <c r="Y37" i="14"/>
  <c r="Y38" i="14"/>
  <c r="Y25" i="14"/>
  <c r="Y17" i="14"/>
  <c r="Y57" i="14"/>
  <c r="Y26" i="14"/>
  <c r="Y18" i="14"/>
  <c r="Y53" i="14"/>
  <c r="Y51" i="14"/>
  <c r="Y19" i="14"/>
  <c r="Y20" i="14"/>
  <c r="Y29" i="14"/>
  <c r="Y21" i="14"/>
  <c r="Y15" i="14"/>
  <c r="Y9" i="14"/>
  <c r="Y30" i="14"/>
  <c r="Y24" i="14"/>
  <c r="Y16" i="14"/>
  <c r="Y10" i="14"/>
  <c r="Y2" i="14"/>
  <c r="Y11" i="14"/>
  <c r="Y3" i="14"/>
  <c r="Y12" i="14"/>
  <c r="Y4" i="14"/>
  <c r="Y31" i="14"/>
  <c r="Y23" i="14"/>
  <c r="Y13" i="14"/>
  <c r="Y5" i="14"/>
  <c r="Y6" i="14"/>
  <c r="Y32" i="14"/>
  <c r="Y28" i="14"/>
  <c r="Y8" i="14"/>
  <c r="Y22" i="14"/>
  <c r="Y27" i="14"/>
  <c r="Y14" i="14"/>
  <c r="Y7" i="14"/>
  <c r="Y39" i="14"/>
  <c r="E17" i="2"/>
  <c r="E66" i="2" s="1"/>
  <c r="F3" i="3" s="1"/>
  <c r="E6" i="4" s="1"/>
  <c r="E39" i="2"/>
  <c r="G55" i="8"/>
  <c r="G47" i="8"/>
  <c r="G39" i="8"/>
  <c r="G60" i="8"/>
  <c r="G59" i="8"/>
  <c r="G40" i="8"/>
  <c r="G35" i="8"/>
  <c r="G28" i="8"/>
  <c r="G20" i="8"/>
  <c r="G12" i="8"/>
  <c r="G4" i="8"/>
  <c r="G61" i="8"/>
  <c r="G29" i="8"/>
  <c r="G21" i="8"/>
  <c r="G13" i="8"/>
  <c r="G5" i="8"/>
  <c r="G42" i="8"/>
  <c r="G37" i="8"/>
  <c r="G30" i="8"/>
  <c r="G22" i="8"/>
  <c r="G14" i="8"/>
  <c r="G31" i="8"/>
  <c r="G23" i="8"/>
  <c r="G49" i="8"/>
  <c r="G48" i="8"/>
  <c r="G52" i="8"/>
  <c r="G51" i="8"/>
  <c r="G58" i="8"/>
  <c r="G43" i="8"/>
  <c r="G27" i="8"/>
  <c r="G18" i="8"/>
  <c r="G7" i="8"/>
  <c r="G50" i="8"/>
  <c r="G46" i="8"/>
  <c r="G44" i="8"/>
  <c r="G32" i="8"/>
  <c r="G15" i="8"/>
  <c r="G2" i="9" s="1"/>
  <c r="G8" i="8"/>
  <c r="G41" i="8"/>
  <c r="G33" i="8"/>
  <c r="G9" i="8"/>
  <c r="G56" i="8"/>
  <c r="G34" i="8"/>
  <c r="G17" i="8"/>
  <c r="G10" i="8"/>
  <c r="G38" i="8"/>
  <c r="G11" i="8"/>
  <c r="G57" i="8"/>
  <c r="G53" i="8"/>
  <c r="G45" i="8"/>
  <c r="G24" i="8"/>
  <c r="G19" i="8"/>
  <c r="G36" i="8"/>
  <c r="G25" i="8"/>
  <c r="G16" i="8"/>
  <c r="G6" i="8"/>
  <c r="G2" i="8"/>
  <c r="G54" i="8"/>
  <c r="G3" i="8"/>
  <c r="G26" i="8"/>
  <c r="O55" i="8"/>
  <c r="O47" i="8"/>
  <c r="O39" i="8"/>
  <c r="O50" i="8"/>
  <c r="O45" i="8"/>
  <c r="O60" i="8"/>
  <c r="O57" i="8"/>
  <c r="O56" i="8"/>
  <c r="O54" i="8"/>
  <c r="O53" i="8"/>
  <c r="O43" i="8"/>
  <c r="O38" i="8"/>
  <c r="O28" i="8"/>
  <c r="O20" i="8"/>
  <c r="O12" i="8"/>
  <c r="O4" i="8"/>
  <c r="O58" i="8"/>
  <c r="O40" i="8"/>
  <c r="O35" i="8"/>
  <c r="O29" i="8"/>
  <c r="O21" i="8"/>
  <c r="O13" i="8"/>
  <c r="O5" i="8"/>
  <c r="O30" i="8"/>
  <c r="O22" i="8"/>
  <c r="O14" i="8"/>
  <c r="O42" i="8"/>
  <c r="O37" i="8"/>
  <c r="O31" i="8"/>
  <c r="O23" i="8"/>
  <c r="O61" i="8"/>
  <c r="O59" i="8"/>
  <c r="O51" i="8"/>
  <c r="O49" i="8"/>
  <c r="O19" i="8"/>
  <c r="O3" i="8"/>
  <c r="O48" i="8"/>
  <c r="O24" i="8"/>
  <c r="O16" i="8"/>
  <c r="O6" i="8"/>
  <c r="O52" i="8"/>
  <c r="O25" i="8"/>
  <c r="O7" i="8"/>
  <c r="O36" i="8"/>
  <c r="O26" i="8"/>
  <c r="O18" i="8"/>
  <c r="O8" i="8"/>
  <c r="O27" i="8"/>
  <c r="O15" i="8"/>
  <c r="O2" i="9" s="1"/>
  <c r="O32" i="8"/>
  <c r="O10" i="8"/>
  <c r="O44" i="8"/>
  <c r="O33" i="8"/>
  <c r="O17" i="8"/>
  <c r="O2" i="8"/>
  <c r="O46" i="8"/>
  <c r="O41" i="8"/>
  <c r="O9" i="8"/>
  <c r="O11" i="8"/>
  <c r="O34" i="8"/>
  <c r="W55" i="8"/>
  <c r="W47" i="8"/>
  <c r="W39" i="8"/>
  <c r="W58" i="8"/>
  <c r="W53" i="8"/>
  <c r="W50" i="8"/>
  <c r="W49" i="8"/>
  <c r="W48" i="8"/>
  <c r="W46" i="8"/>
  <c r="W28" i="8"/>
  <c r="W20" i="8"/>
  <c r="W12" i="8"/>
  <c r="W4" i="8"/>
  <c r="W52" i="8"/>
  <c r="W51" i="8"/>
  <c r="W43" i="8"/>
  <c r="W38" i="8"/>
  <c r="W29" i="8"/>
  <c r="W21" i="8"/>
  <c r="W13" i="8"/>
  <c r="W5" i="8"/>
  <c r="W57" i="8"/>
  <c r="W56" i="8"/>
  <c r="W54" i="8"/>
  <c r="W40" i="8"/>
  <c r="W35" i="8"/>
  <c r="W30" i="8"/>
  <c r="W22" i="8"/>
  <c r="W14" i="8"/>
  <c r="W60" i="8"/>
  <c r="W31" i="8"/>
  <c r="W23" i="8"/>
  <c r="W59" i="8"/>
  <c r="W45" i="8"/>
  <c r="W36" i="8"/>
  <c r="W27" i="8"/>
  <c r="W11" i="8"/>
  <c r="W37" i="8"/>
  <c r="W32" i="8"/>
  <c r="W17" i="8"/>
  <c r="W2" i="8"/>
  <c r="W33" i="8"/>
  <c r="W3" i="8"/>
  <c r="W34" i="8"/>
  <c r="W6" i="8"/>
  <c r="W44" i="8"/>
  <c r="W41" i="8"/>
  <c r="W19" i="8"/>
  <c r="W16" i="8"/>
  <c r="W42" i="8"/>
  <c r="W24" i="8"/>
  <c r="W8" i="8"/>
  <c r="W61" i="8"/>
  <c r="W25" i="8"/>
  <c r="W18" i="8"/>
  <c r="W9" i="8"/>
  <c r="W7" i="8"/>
  <c r="W10" i="8"/>
  <c r="W15" i="8"/>
  <c r="W2" i="9" s="1"/>
  <c r="W26" i="8"/>
  <c r="AE55" i="8"/>
  <c r="AE47" i="8"/>
  <c r="AE39" i="8"/>
  <c r="AE61" i="8"/>
  <c r="AE48" i="8"/>
  <c r="AE60" i="8"/>
  <c r="AE41" i="8"/>
  <c r="AE36" i="8"/>
  <c r="AE28" i="8"/>
  <c r="AE20" i="8"/>
  <c r="AE12" i="8"/>
  <c r="AE4" i="8"/>
  <c r="AE45" i="8"/>
  <c r="AE44" i="8"/>
  <c r="AE29" i="8"/>
  <c r="AE21" i="8"/>
  <c r="AE13" i="8"/>
  <c r="AE5" i="8"/>
  <c r="AE59" i="8"/>
  <c r="AE50" i="8"/>
  <c r="AE49" i="8"/>
  <c r="AE46" i="8"/>
  <c r="AE43" i="8"/>
  <c r="AE38" i="8"/>
  <c r="AE30" i="8"/>
  <c r="AE22" i="8"/>
  <c r="AE14" i="8"/>
  <c r="AE53" i="8"/>
  <c r="AE52" i="8"/>
  <c r="AE51" i="8"/>
  <c r="AE40" i="8"/>
  <c r="AE35" i="8"/>
  <c r="AE31" i="8"/>
  <c r="AE23" i="8"/>
  <c r="AE57" i="8"/>
  <c r="AE56" i="8"/>
  <c r="AE54" i="8"/>
  <c r="AE19" i="8"/>
  <c r="AE9" i="8"/>
  <c r="AE24" i="8"/>
  <c r="AE18" i="8"/>
  <c r="AE10" i="8"/>
  <c r="AE42" i="8"/>
  <c r="AE25" i="8"/>
  <c r="AE15" i="8"/>
  <c r="AE2" i="9" s="1"/>
  <c r="AE11" i="8"/>
  <c r="AE58" i="8"/>
  <c r="AE26" i="8"/>
  <c r="AE2" i="8"/>
  <c r="AE27" i="8"/>
  <c r="AE17" i="8"/>
  <c r="AE32" i="8"/>
  <c r="AE6" i="8"/>
  <c r="AE37" i="8"/>
  <c r="AE33" i="8"/>
  <c r="AE8" i="8"/>
  <c r="AE7" i="8"/>
  <c r="AE16" i="8"/>
  <c r="AE3" i="8"/>
  <c r="AE34" i="8"/>
  <c r="B55" i="14"/>
  <c r="B47" i="14"/>
  <c r="B56" i="14"/>
  <c r="B48" i="14"/>
  <c r="B57" i="14"/>
  <c r="B49" i="14"/>
  <c r="B59" i="14"/>
  <c r="B51" i="14"/>
  <c r="B43" i="14"/>
  <c r="B61" i="14"/>
  <c r="B53" i="14"/>
  <c r="B45" i="14"/>
  <c r="B46" i="14"/>
  <c r="B34" i="14"/>
  <c r="B50" i="14"/>
  <c r="B35" i="14"/>
  <c r="B52" i="14"/>
  <c r="B36" i="14"/>
  <c r="B54" i="14"/>
  <c r="B37" i="14"/>
  <c r="B58" i="14"/>
  <c r="B38" i="14"/>
  <c r="B44" i="14"/>
  <c r="B30" i="14"/>
  <c r="B26" i="14"/>
  <c r="B18" i="14"/>
  <c r="B31" i="14"/>
  <c r="B29" i="14"/>
  <c r="B27" i="14"/>
  <c r="B19" i="14"/>
  <c r="B41" i="14"/>
  <c r="B40" i="14"/>
  <c r="B32" i="14"/>
  <c r="B20" i="14"/>
  <c r="B42" i="14"/>
  <c r="B21" i="14"/>
  <c r="B33" i="14"/>
  <c r="B22" i="14"/>
  <c r="B10" i="14"/>
  <c r="B2" i="14"/>
  <c r="B60" i="14"/>
  <c r="B24" i="14"/>
  <c r="B11" i="14"/>
  <c r="B3" i="14"/>
  <c r="B39" i="14"/>
  <c r="B12" i="14"/>
  <c r="B4" i="14"/>
  <c r="B15" i="14"/>
  <c r="B13" i="14"/>
  <c r="B5" i="14"/>
  <c r="B23" i="14"/>
  <c r="B16" i="14"/>
  <c r="B14" i="14"/>
  <c r="B6" i="14"/>
  <c r="B25" i="14"/>
  <c r="B8" i="14"/>
  <c r="B28" i="14"/>
  <c r="B7" i="14"/>
  <c r="B9" i="14"/>
  <c r="B17" i="14"/>
  <c r="J55" i="14"/>
  <c r="J47" i="14"/>
  <c r="J56" i="14"/>
  <c r="J48" i="14"/>
  <c r="J40" i="14"/>
  <c r="J57" i="14"/>
  <c r="J49" i="14"/>
  <c r="J59" i="14"/>
  <c r="J51" i="14"/>
  <c r="J43" i="14"/>
  <c r="J61" i="14"/>
  <c r="J53" i="14"/>
  <c r="J45" i="14"/>
  <c r="J54" i="14"/>
  <c r="J34" i="14"/>
  <c r="J58" i="14"/>
  <c r="J35" i="14"/>
  <c r="J27" i="14"/>
  <c r="J60" i="14"/>
  <c r="J42" i="14"/>
  <c r="J41" i="14"/>
  <c r="J36" i="14"/>
  <c r="J44" i="14"/>
  <c r="J37" i="14"/>
  <c r="J38" i="14"/>
  <c r="J26" i="14"/>
  <c r="J18" i="14"/>
  <c r="J52" i="14"/>
  <c r="J50" i="14"/>
  <c r="J33" i="14"/>
  <c r="J28" i="14"/>
  <c r="J19" i="14"/>
  <c r="J46" i="14"/>
  <c r="J39" i="14"/>
  <c r="J20" i="14"/>
  <c r="J21" i="14"/>
  <c r="J30" i="14"/>
  <c r="J29" i="14"/>
  <c r="J22" i="14"/>
  <c r="J16" i="14"/>
  <c r="J10" i="14"/>
  <c r="J2" i="14"/>
  <c r="J32" i="14"/>
  <c r="J23" i="14"/>
  <c r="J17" i="14"/>
  <c r="J11" i="14"/>
  <c r="J3" i="14"/>
  <c r="J12" i="14"/>
  <c r="J4" i="14"/>
  <c r="J25" i="14"/>
  <c r="J13" i="14"/>
  <c r="J5" i="14"/>
  <c r="J14" i="14"/>
  <c r="J6" i="14"/>
  <c r="J15" i="14"/>
  <c r="J7" i="14"/>
  <c r="J31" i="14"/>
  <c r="J24" i="14"/>
  <c r="J9" i="14"/>
  <c r="J8" i="14"/>
  <c r="R55" i="14"/>
  <c r="R47" i="14"/>
  <c r="R56" i="14"/>
  <c r="R48" i="14"/>
  <c r="R40" i="14"/>
  <c r="R57" i="14"/>
  <c r="R49" i="14"/>
  <c r="R41" i="14"/>
  <c r="R59" i="14"/>
  <c r="R51" i="14"/>
  <c r="R43" i="14"/>
  <c r="R61" i="14"/>
  <c r="R53" i="14"/>
  <c r="R45" i="14"/>
  <c r="R34" i="14"/>
  <c r="R35" i="14"/>
  <c r="R27" i="14"/>
  <c r="R46" i="14"/>
  <c r="R36" i="14"/>
  <c r="R50" i="14"/>
  <c r="R37" i="14"/>
  <c r="R29" i="14"/>
  <c r="R52" i="14"/>
  <c r="R38" i="14"/>
  <c r="R42" i="14"/>
  <c r="R30" i="14"/>
  <c r="R26" i="14"/>
  <c r="R18" i="14"/>
  <c r="R31" i="14"/>
  <c r="R19" i="14"/>
  <c r="R32" i="14"/>
  <c r="R20" i="14"/>
  <c r="R28" i="14"/>
  <c r="R21" i="14"/>
  <c r="R22" i="14"/>
  <c r="R60" i="14"/>
  <c r="R25" i="14"/>
  <c r="R10" i="14"/>
  <c r="R2" i="14"/>
  <c r="R39" i="14"/>
  <c r="R11" i="14"/>
  <c r="R3" i="14"/>
  <c r="R54" i="14"/>
  <c r="R12" i="14"/>
  <c r="R4" i="14"/>
  <c r="R58" i="14"/>
  <c r="R44" i="14"/>
  <c r="R33" i="14"/>
  <c r="R24" i="14"/>
  <c r="R15" i="14"/>
  <c r="R13" i="14"/>
  <c r="R5" i="14"/>
  <c r="R16" i="14"/>
  <c r="R14" i="14"/>
  <c r="R6" i="14"/>
  <c r="R9" i="14"/>
  <c r="R17" i="14"/>
  <c r="R8" i="14"/>
  <c r="R7" i="14"/>
  <c r="R23" i="14"/>
  <c r="Z55" i="14"/>
  <c r="Z47" i="14"/>
  <c r="Z56" i="14"/>
  <c r="Z48" i="14"/>
  <c r="Z40" i="14"/>
  <c r="Z57" i="14"/>
  <c r="Z49" i="14"/>
  <c r="Z41" i="14"/>
  <c r="Z59" i="14"/>
  <c r="Z51" i="14"/>
  <c r="Z43" i="14"/>
  <c r="Z61" i="14"/>
  <c r="Z53" i="14"/>
  <c r="Z45" i="14"/>
  <c r="Z50" i="14"/>
  <c r="Z34" i="14"/>
  <c r="Z52" i="14"/>
  <c r="Z35" i="14"/>
  <c r="Z27" i="14"/>
  <c r="Z54" i="14"/>
  <c r="Z42" i="14"/>
  <c r="Z36" i="14"/>
  <c r="Z28" i="14"/>
  <c r="Z58" i="14"/>
  <c r="Z44" i="14"/>
  <c r="Z37" i="14"/>
  <c r="Z29" i="14"/>
  <c r="Z60" i="14"/>
  <c r="Z38" i="14"/>
  <c r="Z26" i="14"/>
  <c r="Z18" i="14"/>
  <c r="Z46" i="14"/>
  <c r="Z19" i="14"/>
  <c r="Z20" i="14"/>
  <c r="Z33" i="14"/>
  <c r="Z21" i="14"/>
  <c r="Z39" i="14"/>
  <c r="Z30" i="14"/>
  <c r="Z22" i="14"/>
  <c r="Z24" i="14"/>
  <c r="Z16" i="14"/>
  <c r="Z10" i="14"/>
  <c r="Z2" i="14"/>
  <c r="Z17" i="14"/>
  <c r="Z11" i="14"/>
  <c r="Z3" i="14"/>
  <c r="Z12" i="14"/>
  <c r="Z4" i="14"/>
  <c r="Z31" i="14"/>
  <c r="Z23" i="14"/>
  <c r="Z13" i="14"/>
  <c r="Z5" i="14"/>
  <c r="Z6" i="14"/>
  <c r="Z32" i="14"/>
  <c r="Z8" i="14"/>
  <c r="Z14" i="14"/>
  <c r="Z7" i="14"/>
  <c r="Z25" i="14"/>
  <c r="Z9" i="14"/>
  <c r="Z15" i="14"/>
  <c r="F17" i="2"/>
  <c r="F66" i="2" s="1"/>
  <c r="G3" i="3" s="1"/>
  <c r="F6" i="4" s="1"/>
  <c r="F39" i="2"/>
  <c r="R67" i="2"/>
  <c r="S4" i="3" s="1"/>
  <c r="H56" i="8"/>
  <c r="H48" i="8"/>
  <c r="H40" i="8"/>
  <c r="H57" i="8"/>
  <c r="H52" i="8"/>
  <c r="H47" i="8"/>
  <c r="H61" i="8"/>
  <c r="H29" i="8"/>
  <c r="H21" i="8"/>
  <c r="H13" i="8"/>
  <c r="H5" i="8"/>
  <c r="H59" i="8"/>
  <c r="H42" i="8"/>
  <c r="H37" i="8"/>
  <c r="H30" i="8"/>
  <c r="H22" i="8"/>
  <c r="H14" i="8"/>
  <c r="H6" i="8"/>
  <c r="H31" i="8"/>
  <c r="H23" i="8"/>
  <c r="H15" i="8"/>
  <c r="H2" i="9" s="1"/>
  <c r="H49" i="8"/>
  <c r="H46" i="8"/>
  <c r="H45" i="8"/>
  <c r="H44" i="8"/>
  <c r="H39" i="8"/>
  <c r="H32" i="8"/>
  <c r="H24" i="8"/>
  <c r="H51" i="8"/>
  <c r="H50" i="8"/>
  <c r="H60" i="8"/>
  <c r="H54" i="8"/>
  <c r="H53" i="8"/>
  <c r="H28" i="8"/>
  <c r="H8" i="8"/>
  <c r="H55" i="8"/>
  <c r="H41" i="8"/>
  <c r="H33" i="8"/>
  <c r="H9" i="8"/>
  <c r="H34" i="8"/>
  <c r="H17" i="8"/>
  <c r="H10" i="8"/>
  <c r="H38" i="8"/>
  <c r="H11" i="8"/>
  <c r="H35" i="8"/>
  <c r="H20" i="8"/>
  <c r="H19" i="8"/>
  <c r="H12" i="8"/>
  <c r="H36" i="8"/>
  <c r="H25" i="8"/>
  <c r="H16" i="8"/>
  <c r="H26" i="8"/>
  <c r="H58" i="8"/>
  <c r="H43" i="8"/>
  <c r="H7" i="8"/>
  <c r="H2" i="8"/>
  <c r="H4" i="8"/>
  <c r="H27" i="8"/>
  <c r="H3" i="8"/>
  <c r="H18" i="8"/>
  <c r="P56" i="8"/>
  <c r="P48" i="8"/>
  <c r="P40" i="8"/>
  <c r="P60" i="8"/>
  <c r="P55" i="8"/>
  <c r="P59" i="8"/>
  <c r="P58" i="8"/>
  <c r="P35" i="8"/>
  <c r="P29" i="8"/>
  <c r="P21" i="8"/>
  <c r="P13" i="8"/>
  <c r="P5" i="8"/>
  <c r="P30" i="8"/>
  <c r="P22" i="8"/>
  <c r="P14" i="8"/>
  <c r="P6" i="8"/>
  <c r="P42" i="8"/>
  <c r="P37" i="8"/>
  <c r="P31" i="8"/>
  <c r="P23" i="8"/>
  <c r="P15" i="8"/>
  <c r="P2" i="9" s="1"/>
  <c r="P61" i="8"/>
  <c r="P32" i="8"/>
  <c r="P24" i="8"/>
  <c r="P38" i="8"/>
  <c r="P20" i="8"/>
  <c r="P16" i="8"/>
  <c r="P4" i="8"/>
  <c r="P52" i="8"/>
  <c r="P39" i="8"/>
  <c r="P25" i="8"/>
  <c r="P7" i="8"/>
  <c r="P47" i="8"/>
  <c r="P45" i="8"/>
  <c r="P36" i="8"/>
  <c r="P26" i="8"/>
  <c r="P18" i="8"/>
  <c r="P8" i="8"/>
  <c r="P27" i="8"/>
  <c r="P9" i="8"/>
  <c r="P57" i="8"/>
  <c r="P53" i="8"/>
  <c r="P43" i="8"/>
  <c r="P28" i="8"/>
  <c r="P10" i="8"/>
  <c r="P44" i="8"/>
  <c r="P33" i="8"/>
  <c r="P17" i="8"/>
  <c r="P11" i="8"/>
  <c r="P54" i="8"/>
  <c r="P46" i="8"/>
  <c r="P41" i="8"/>
  <c r="P34" i="8"/>
  <c r="P12" i="8"/>
  <c r="P19" i="8"/>
  <c r="P3" i="8"/>
  <c r="P51" i="8"/>
  <c r="P50" i="8"/>
  <c r="P49" i="8"/>
  <c r="P2" i="8"/>
  <c r="X56" i="8"/>
  <c r="X48" i="8"/>
  <c r="X40" i="8"/>
  <c r="X50" i="8"/>
  <c r="X45" i="8"/>
  <c r="X52" i="8"/>
  <c r="X51" i="8"/>
  <c r="X43" i="8"/>
  <c r="X38" i="8"/>
  <c r="X29" i="8"/>
  <c r="X21" i="8"/>
  <c r="X13" i="8"/>
  <c r="X5" i="8"/>
  <c r="X57" i="8"/>
  <c r="X55" i="8"/>
  <c r="X54" i="8"/>
  <c r="X53" i="8"/>
  <c r="X35" i="8"/>
  <c r="X30" i="8"/>
  <c r="X22" i="8"/>
  <c r="X14" i="8"/>
  <c r="X6" i="8"/>
  <c r="X60" i="8"/>
  <c r="X31" i="8"/>
  <c r="X23" i="8"/>
  <c r="X15" i="8"/>
  <c r="X2" i="9" s="1"/>
  <c r="X58" i="8"/>
  <c r="X42" i="8"/>
  <c r="X37" i="8"/>
  <c r="X32" i="8"/>
  <c r="X24" i="8"/>
  <c r="X47" i="8"/>
  <c r="X28" i="8"/>
  <c r="X17" i="8"/>
  <c r="X2" i="8"/>
  <c r="X33" i="8"/>
  <c r="X3" i="8"/>
  <c r="X34" i="8"/>
  <c r="X12" i="8"/>
  <c r="X4" i="8"/>
  <c r="X44" i="8"/>
  <c r="X41" i="8"/>
  <c r="X19" i="8"/>
  <c r="X16" i="8"/>
  <c r="X7" i="8"/>
  <c r="X46" i="8"/>
  <c r="X20" i="8"/>
  <c r="X61" i="8"/>
  <c r="X25" i="8"/>
  <c r="X18" i="8"/>
  <c r="X9" i="8"/>
  <c r="X49" i="8"/>
  <c r="X39" i="8"/>
  <c r="X26" i="8"/>
  <c r="X8" i="8"/>
  <c r="X36" i="8"/>
  <c r="X10" i="8"/>
  <c r="X27" i="8"/>
  <c r="X11" i="8"/>
  <c r="X59" i="8"/>
  <c r="AF56" i="8"/>
  <c r="AF48" i="8"/>
  <c r="AF40" i="8"/>
  <c r="AF58" i="8"/>
  <c r="AF53" i="8"/>
  <c r="AF45" i="8"/>
  <c r="AF44" i="8"/>
  <c r="AF29" i="8"/>
  <c r="AF21" i="8"/>
  <c r="AF13" i="8"/>
  <c r="AF5" i="8"/>
  <c r="AF61" i="8"/>
  <c r="AF59" i="8"/>
  <c r="AF50" i="8"/>
  <c r="AF49" i="8"/>
  <c r="AF47" i="8"/>
  <c r="AF46" i="8"/>
  <c r="AF43" i="8"/>
  <c r="AF38" i="8"/>
  <c r="AF30" i="8"/>
  <c r="AF22" i="8"/>
  <c r="AF14" i="8"/>
  <c r="AF6" i="8"/>
  <c r="AF52" i="8"/>
  <c r="AF51" i="8"/>
  <c r="AF35" i="8"/>
  <c r="AF31" i="8"/>
  <c r="AF23" i="8"/>
  <c r="AF15" i="8"/>
  <c r="AF2" i="9" s="1"/>
  <c r="AF57" i="8"/>
  <c r="AF55" i="8"/>
  <c r="AF54" i="8"/>
  <c r="AF32" i="8"/>
  <c r="AF24" i="8"/>
  <c r="AF60" i="8"/>
  <c r="AF41" i="8"/>
  <c r="AF20" i="8"/>
  <c r="AF18" i="8"/>
  <c r="AF10" i="8"/>
  <c r="AF42" i="8"/>
  <c r="AF25" i="8"/>
  <c r="AF11" i="8"/>
  <c r="AF26" i="8"/>
  <c r="AF2" i="8"/>
  <c r="AF39" i="8"/>
  <c r="AF27" i="8"/>
  <c r="AF17" i="8"/>
  <c r="AF3" i="8"/>
  <c r="AF36" i="8"/>
  <c r="AF28" i="8"/>
  <c r="AF37" i="8"/>
  <c r="AF33" i="8"/>
  <c r="AF12" i="8"/>
  <c r="AF7" i="8"/>
  <c r="AF34" i="8"/>
  <c r="AF16" i="8"/>
  <c r="AF9" i="8"/>
  <c r="AF8" i="8"/>
  <c r="AF19" i="8"/>
  <c r="AF4" i="8"/>
  <c r="B55" i="12"/>
  <c r="B47" i="12"/>
  <c r="B56" i="12"/>
  <c r="B48" i="12"/>
  <c r="B57" i="12"/>
  <c r="B58" i="12"/>
  <c r="B50" i="12"/>
  <c r="B42" i="12"/>
  <c r="B59" i="12"/>
  <c r="B51" i="12"/>
  <c r="B43" i="12"/>
  <c r="B31" i="12"/>
  <c r="B15" i="12"/>
  <c r="B2" i="13" s="1"/>
  <c r="B54" i="12"/>
  <c r="B46" i="12"/>
  <c r="B40" i="12"/>
  <c r="B24" i="12"/>
  <c r="B16" i="12"/>
  <c r="B60" i="12"/>
  <c r="B33" i="12"/>
  <c r="B25" i="12"/>
  <c r="B17" i="12"/>
  <c r="B26" i="12"/>
  <c r="B18" i="12"/>
  <c r="B53" i="12"/>
  <c r="B45" i="12"/>
  <c r="B41" i="12"/>
  <c r="B35" i="12"/>
  <c r="B27" i="12"/>
  <c r="B19" i="12"/>
  <c r="B21" i="12"/>
  <c r="B11" i="12"/>
  <c r="B3" i="12"/>
  <c r="B36" i="12"/>
  <c r="B29" i="12"/>
  <c r="B14" i="12"/>
  <c r="B12" i="12"/>
  <c r="B4" i="12"/>
  <c r="B52" i="12"/>
  <c r="B44" i="12"/>
  <c r="B13" i="12"/>
  <c r="B5" i="12"/>
  <c r="B61" i="12"/>
  <c r="B38" i="12"/>
  <c r="B20" i="12"/>
  <c r="B28" i="12"/>
  <c r="B7" i="12"/>
  <c r="B30" i="12"/>
  <c r="B9" i="12"/>
  <c r="B8" i="12"/>
  <c r="B22" i="12"/>
  <c r="B2" i="12"/>
  <c r="B37" i="12"/>
  <c r="B10" i="12"/>
  <c r="C56" i="14"/>
  <c r="C48" i="14"/>
  <c r="C57" i="14"/>
  <c r="C49" i="14"/>
  <c r="C41" i="14"/>
  <c r="C58" i="14"/>
  <c r="C50" i="14"/>
  <c r="C42" i="14"/>
  <c r="C60" i="14"/>
  <c r="C52" i="14"/>
  <c r="C44" i="14"/>
  <c r="C54" i="14"/>
  <c r="C46" i="14"/>
  <c r="C59" i="14"/>
  <c r="C35" i="14"/>
  <c r="C61" i="14"/>
  <c r="C36" i="14"/>
  <c r="C28" i="14"/>
  <c r="C37" i="14"/>
  <c r="C29" i="14"/>
  <c r="C38" i="14"/>
  <c r="C30" i="14"/>
  <c r="C47" i="14"/>
  <c r="C39" i="14"/>
  <c r="C34" i="14"/>
  <c r="C31" i="14"/>
  <c r="C27" i="14"/>
  <c r="C19" i="14"/>
  <c r="C40" i="14"/>
  <c r="C32" i="14"/>
  <c r="C20" i="14"/>
  <c r="C45" i="14"/>
  <c r="C21" i="14"/>
  <c r="C33" i="14"/>
  <c r="C22" i="14"/>
  <c r="C23" i="14"/>
  <c r="C24" i="14"/>
  <c r="C11" i="14"/>
  <c r="C3" i="14"/>
  <c r="C55" i="14"/>
  <c r="C12" i="14"/>
  <c r="C4" i="14"/>
  <c r="C26" i="14"/>
  <c r="C15" i="14"/>
  <c r="C13" i="14"/>
  <c r="C5" i="14"/>
  <c r="C16" i="14"/>
  <c r="C14" i="14"/>
  <c r="C6" i="14"/>
  <c r="C53" i="14"/>
  <c r="C17" i="14"/>
  <c r="C7" i="14"/>
  <c r="C25" i="14"/>
  <c r="C2" i="14"/>
  <c r="C18" i="14"/>
  <c r="C8" i="14"/>
  <c r="C43" i="14"/>
  <c r="C10" i="14"/>
  <c r="C51" i="14"/>
  <c r="C9" i="14"/>
  <c r="K56" i="14"/>
  <c r="K48" i="14"/>
  <c r="K57" i="14"/>
  <c r="K49" i="14"/>
  <c r="K41" i="14"/>
  <c r="K58" i="14"/>
  <c r="K50" i="14"/>
  <c r="K42" i="14"/>
  <c r="K60" i="14"/>
  <c r="K52" i="14"/>
  <c r="K44" i="14"/>
  <c r="K54" i="14"/>
  <c r="K46" i="14"/>
  <c r="K35" i="14"/>
  <c r="K47" i="14"/>
  <c r="K36" i="14"/>
  <c r="K28" i="14"/>
  <c r="K51" i="14"/>
  <c r="K43" i="14"/>
  <c r="K37" i="14"/>
  <c r="K29" i="14"/>
  <c r="K53" i="14"/>
  <c r="K45" i="14"/>
  <c r="K38" i="14"/>
  <c r="K30" i="14"/>
  <c r="K55" i="14"/>
  <c r="K39" i="14"/>
  <c r="K40" i="14"/>
  <c r="K33" i="14"/>
  <c r="K19" i="14"/>
  <c r="K61" i="14"/>
  <c r="K59" i="14"/>
  <c r="K27" i="14"/>
  <c r="K20" i="14"/>
  <c r="K21" i="14"/>
  <c r="K22" i="14"/>
  <c r="K31" i="14"/>
  <c r="K23" i="14"/>
  <c r="K32" i="14"/>
  <c r="K17" i="14"/>
  <c r="K11" i="14"/>
  <c r="K3" i="14"/>
  <c r="K18" i="14"/>
  <c r="K12" i="14"/>
  <c r="K4" i="14"/>
  <c r="K25" i="14"/>
  <c r="K13" i="14"/>
  <c r="K5" i="14"/>
  <c r="K14" i="14"/>
  <c r="K6" i="14"/>
  <c r="K7" i="14"/>
  <c r="K10" i="14"/>
  <c r="K15" i="14"/>
  <c r="K24" i="14"/>
  <c r="K9" i="14"/>
  <c r="K26" i="14"/>
  <c r="K16" i="14"/>
  <c r="K2" i="14"/>
  <c r="K34" i="14"/>
  <c r="K8" i="14"/>
  <c r="S56" i="14"/>
  <c r="S48" i="14"/>
  <c r="S57" i="14"/>
  <c r="S49" i="14"/>
  <c r="S41" i="14"/>
  <c r="S58" i="14"/>
  <c r="S50" i="14"/>
  <c r="S42" i="14"/>
  <c r="S60" i="14"/>
  <c r="S52" i="14"/>
  <c r="S44" i="14"/>
  <c r="S54" i="14"/>
  <c r="S46" i="14"/>
  <c r="S53" i="14"/>
  <c r="S35" i="14"/>
  <c r="S27" i="14"/>
  <c r="S55" i="14"/>
  <c r="S40" i="14"/>
  <c r="S36" i="14"/>
  <c r="S28" i="14"/>
  <c r="S59" i="14"/>
  <c r="S37" i="14"/>
  <c r="S29" i="14"/>
  <c r="S61" i="14"/>
  <c r="S38" i="14"/>
  <c r="S30" i="14"/>
  <c r="S39" i="14"/>
  <c r="S31" i="14"/>
  <c r="S19" i="14"/>
  <c r="S32" i="14"/>
  <c r="S20" i="14"/>
  <c r="S43" i="14"/>
  <c r="S34" i="14"/>
  <c r="S21" i="14"/>
  <c r="S22" i="14"/>
  <c r="S51" i="14"/>
  <c r="S23" i="14"/>
  <c r="S11" i="14"/>
  <c r="S3" i="14"/>
  <c r="S12" i="14"/>
  <c r="S4" i="14"/>
  <c r="S45" i="14"/>
  <c r="S33" i="14"/>
  <c r="S24" i="14"/>
  <c r="S15" i="14"/>
  <c r="S13" i="14"/>
  <c r="S5" i="14"/>
  <c r="S16" i="14"/>
  <c r="S14" i="14"/>
  <c r="S6" i="14"/>
  <c r="S26" i="14"/>
  <c r="S17" i="14"/>
  <c r="S7" i="14"/>
  <c r="S9" i="14"/>
  <c r="S2" i="14"/>
  <c r="S8" i="14"/>
  <c r="S47" i="14"/>
  <c r="S18" i="14"/>
  <c r="S25" i="14"/>
  <c r="S10" i="14"/>
  <c r="AA56" i="14"/>
  <c r="AA48" i="14"/>
  <c r="AA57" i="14"/>
  <c r="AA49" i="14"/>
  <c r="AA41" i="14"/>
  <c r="AA58" i="14"/>
  <c r="AA50" i="14"/>
  <c r="AA42" i="14"/>
  <c r="AA60" i="14"/>
  <c r="AA52" i="14"/>
  <c r="AA44" i="14"/>
  <c r="AA54" i="14"/>
  <c r="AA46" i="14"/>
  <c r="AA61" i="14"/>
  <c r="AA35" i="14"/>
  <c r="AA27" i="14"/>
  <c r="AA36" i="14"/>
  <c r="AA28" i="14"/>
  <c r="AA43" i="14"/>
  <c r="AA37" i="14"/>
  <c r="AA29" i="14"/>
  <c r="AA47" i="14"/>
  <c r="AA45" i="14"/>
  <c r="AA40" i="14"/>
  <c r="AA38" i="14"/>
  <c r="AA30" i="14"/>
  <c r="AA51" i="14"/>
  <c r="AA39" i="14"/>
  <c r="AA59" i="14"/>
  <c r="AA19" i="14"/>
  <c r="AA55" i="14"/>
  <c r="AA53" i="14"/>
  <c r="AA20" i="14"/>
  <c r="AA33" i="14"/>
  <c r="AA21" i="14"/>
  <c r="AA22" i="14"/>
  <c r="AA14" i="14"/>
  <c r="AA31" i="14"/>
  <c r="AA23" i="14"/>
  <c r="AA17" i="14"/>
  <c r="AA11" i="14"/>
  <c r="AA3" i="14"/>
  <c r="AA26" i="14"/>
  <c r="AA18" i="14"/>
  <c r="AA12" i="14"/>
  <c r="AA4" i="14"/>
  <c r="AA13" i="14"/>
  <c r="AA5" i="14"/>
  <c r="AA6" i="14"/>
  <c r="AA25" i="14"/>
  <c r="AA7" i="14"/>
  <c r="AA32" i="14"/>
  <c r="AA8" i="14"/>
  <c r="AA16" i="14"/>
  <c r="AA24" i="14"/>
  <c r="AA10" i="14"/>
  <c r="AA34" i="14"/>
  <c r="AA2" i="14"/>
  <c r="AA9" i="14"/>
  <c r="AA15" i="14"/>
  <c r="G17" i="2"/>
  <c r="G66" i="2" s="1"/>
  <c r="H3" i="3" s="1"/>
  <c r="G6" i="4" s="1"/>
  <c r="G39" i="2"/>
  <c r="L38" i="2" s="1"/>
  <c r="I57" i="8"/>
  <c r="I49" i="8"/>
  <c r="I41" i="8"/>
  <c r="I61" i="8"/>
  <c r="I59" i="8"/>
  <c r="I42" i="8"/>
  <c r="I37" i="8"/>
  <c r="I30" i="8"/>
  <c r="I22" i="8"/>
  <c r="I14" i="8"/>
  <c r="I6" i="8"/>
  <c r="I31" i="8"/>
  <c r="I23" i="8"/>
  <c r="I15" i="8"/>
  <c r="I2" i="9" s="1"/>
  <c r="I7" i="8"/>
  <c r="I46" i="8"/>
  <c r="I45" i="8"/>
  <c r="I44" i="8"/>
  <c r="I39" i="8"/>
  <c r="I32" i="8"/>
  <c r="I24" i="8"/>
  <c r="I16" i="8"/>
  <c r="I51" i="8"/>
  <c r="I50" i="8"/>
  <c r="I48" i="8"/>
  <c r="I47" i="8"/>
  <c r="I36" i="8"/>
  <c r="I33" i="8"/>
  <c r="I25" i="8"/>
  <c r="I60" i="8"/>
  <c r="I54" i="8"/>
  <c r="I53" i="8"/>
  <c r="I52" i="8"/>
  <c r="I58" i="8"/>
  <c r="I56" i="8"/>
  <c r="I55" i="8"/>
  <c r="I40" i="8"/>
  <c r="I29" i="8"/>
  <c r="I13" i="8"/>
  <c r="I9" i="8"/>
  <c r="I34" i="8"/>
  <c r="I17" i="8"/>
  <c r="I10" i="8"/>
  <c r="I38" i="8"/>
  <c r="I11" i="8"/>
  <c r="I35" i="8"/>
  <c r="I20" i="8"/>
  <c r="I19" i="8"/>
  <c r="I12" i="8"/>
  <c r="I2" i="8"/>
  <c r="I21" i="8"/>
  <c r="I26" i="8"/>
  <c r="I43" i="8"/>
  <c r="I27" i="8"/>
  <c r="I18" i="8"/>
  <c r="I5" i="8"/>
  <c r="I4" i="8"/>
  <c r="I28" i="8"/>
  <c r="I3" i="8"/>
  <c r="I8" i="8"/>
  <c r="Q57" i="8"/>
  <c r="Q49" i="8"/>
  <c r="Q41" i="8"/>
  <c r="Q52" i="8"/>
  <c r="Q47" i="8"/>
  <c r="Q40" i="8"/>
  <c r="Q30" i="8"/>
  <c r="Q22" i="8"/>
  <c r="Q14" i="8"/>
  <c r="Q6" i="8"/>
  <c r="Q42" i="8"/>
  <c r="Q37" i="8"/>
  <c r="Q31" i="8"/>
  <c r="Q23" i="8"/>
  <c r="Q15" i="8"/>
  <c r="Q2" i="9" s="1"/>
  <c r="Q7" i="8"/>
  <c r="Q61" i="8"/>
  <c r="Q32" i="8"/>
  <c r="Q24" i="8"/>
  <c r="Q16" i="8"/>
  <c r="Q59" i="8"/>
  <c r="Q44" i="8"/>
  <c r="Q39" i="8"/>
  <c r="Q33" i="8"/>
  <c r="Q25" i="8"/>
  <c r="Q51" i="8"/>
  <c r="Q55" i="8"/>
  <c r="Q48" i="8"/>
  <c r="Q35" i="8"/>
  <c r="Q21" i="8"/>
  <c r="Q5" i="8"/>
  <c r="Q45" i="8"/>
  <c r="Q36" i="8"/>
  <c r="Q26" i="8"/>
  <c r="Q18" i="8"/>
  <c r="Q8" i="8"/>
  <c r="Q56" i="8"/>
  <c r="Q27" i="8"/>
  <c r="Q9" i="8"/>
  <c r="Q53" i="8"/>
  <c r="Q43" i="8"/>
  <c r="Q28" i="8"/>
  <c r="Q13" i="8"/>
  <c r="Q10" i="8"/>
  <c r="Q60" i="8"/>
  <c r="Q29" i="8"/>
  <c r="Q17" i="8"/>
  <c r="Q11" i="8"/>
  <c r="Q54" i="8"/>
  <c r="Q46" i="8"/>
  <c r="Q34" i="8"/>
  <c r="Q58" i="8"/>
  <c r="Q50" i="8"/>
  <c r="Q19" i="8"/>
  <c r="Q38" i="8"/>
  <c r="Q4" i="8"/>
  <c r="Q12" i="8"/>
  <c r="Q20" i="8"/>
  <c r="Q3" i="8"/>
  <c r="Q2" i="8"/>
  <c r="Y57" i="8"/>
  <c r="Y49" i="8"/>
  <c r="Y41" i="8"/>
  <c r="Y60" i="8"/>
  <c r="Y55" i="8"/>
  <c r="Y59" i="8"/>
  <c r="Y54" i="8"/>
  <c r="Y53" i="8"/>
  <c r="Y35" i="8"/>
  <c r="Y30" i="8"/>
  <c r="Y22" i="8"/>
  <c r="Y14" i="8"/>
  <c r="Y6" i="8"/>
  <c r="Y56" i="8"/>
  <c r="Y40" i="8"/>
  <c r="Y31" i="8"/>
  <c r="Y23" i="8"/>
  <c r="Y15" i="8"/>
  <c r="Y2" i="9" s="1"/>
  <c r="Y7" i="8"/>
  <c r="Y58" i="8"/>
  <c r="Y42" i="8"/>
  <c r="Y37" i="8"/>
  <c r="Y32" i="8"/>
  <c r="Y24" i="8"/>
  <c r="Y16" i="8"/>
  <c r="Y33" i="8"/>
  <c r="Y25" i="8"/>
  <c r="Y61" i="8"/>
  <c r="Y52" i="8"/>
  <c r="Y43" i="8"/>
  <c r="Y29" i="8"/>
  <c r="Y3" i="8"/>
  <c r="Y34" i="8"/>
  <c r="Y12" i="8"/>
  <c r="Y4" i="8"/>
  <c r="Y44" i="8"/>
  <c r="Y19" i="8"/>
  <c r="Y5" i="8"/>
  <c r="Y46" i="8"/>
  <c r="Y20" i="8"/>
  <c r="Y8" i="8"/>
  <c r="Y38" i="8"/>
  <c r="Y21" i="8"/>
  <c r="Y18" i="8"/>
  <c r="Y50" i="8"/>
  <c r="Y39" i="8"/>
  <c r="Y26" i="8"/>
  <c r="Y10" i="8"/>
  <c r="Y51" i="8"/>
  <c r="Y36" i="8"/>
  <c r="Y27" i="8"/>
  <c r="Y48" i="8"/>
  <c r="Y17" i="8"/>
  <c r="Y47" i="8"/>
  <c r="Y9" i="8"/>
  <c r="Y28" i="8"/>
  <c r="Y13" i="8"/>
  <c r="Y45" i="8"/>
  <c r="Y2" i="8"/>
  <c r="Y11" i="8"/>
  <c r="B56" i="10"/>
  <c r="B48" i="10"/>
  <c r="B57" i="10"/>
  <c r="B58" i="10"/>
  <c r="B50" i="10"/>
  <c r="B59" i="10"/>
  <c r="B51" i="10"/>
  <c r="B60" i="10"/>
  <c r="B52" i="10"/>
  <c r="B43" i="10"/>
  <c r="B53" i="10"/>
  <c r="B44" i="10"/>
  <c r="B36" i="10"/>
  <c r="B28" i="10"/>
  <c r="B20" i="10"/>
  <c r="B12" i="10"/>
  <c r="B47" i="10"/>
  <c r="B45" i="10"/>
  <c r="B37" i="10"/>
  <c r="B29" i="10"/>
  <c r="B21" i="10"/>
  <c r="B13" i="10"/>
  <c r="B5" i="10"/>
  <c r="B55" i="10"/>
  <c r="B38" i="10"/>
  <c r="B30" i="10"/>
  <c r="B22" i="10"/>
  <c r="B14" i="10"/>
  <c r="B61" i="10"/>
  <c r="B31" i="10"/>
  <c r="B54" i="10"/>
  <c r="B24" i="10"/>
  <c r="B3" i="10"/>
  <c r="B40" i="10"/>
  <c r="B35" i="10"/>
  <c r="B33" i="10"/>
  <c r="B25" i="10"/>
  <c r="B26" i="10"/>
  <c r="B16" i="10"/>
  <c r="B42" i="10"/>
  <c r="B27" i="10"/>
  <c r="B19" i="10"/>
  <c r="B8" i="10"/>
  <c r="B2" i="10"/>
  <c r="B46" i="10"/>
  <c r="B18" i="10"/>
  <c r="B9" i="10"/>
  <c r="B10" i="10"/>
  <c r="B11" i="10"/>
  <c r="B4" i="10"/>
  <c r="B15" i="10"/>
  <c r="B2" i="11" s="1"/>
  <c r="B7" i="10"/>
  <c r="B17" i="10"/>
  <c r="B41" i="10"/>
  <c r="C56" i="12"/>
  <c r="C48" i="12"/>
  <c r="C57" i="12"/>
  <c r="C58" i="12"/>
  <c r="C50" i="12"/>
  <c r="C42" i="12"/>
  <c r="C59" i="12"/>
  <c r="C51" i="12"/>
  <c r="C43" i="12"/>
  <c r="C60" i="12"/>
  <c r="C52" i="12"/>
  <c r="C44" i="12"/>
  <c r="C54" i="12"/>
  <c r="C46" i="12"/>
  <c r="C40" i="12"/>
  <c r="C24" i="12"/>
  <c r="C16" i="12"/>
  <c r="C33" i="12"/>
  <c r="C25" i="12"/>
  <c r="C17" i="12"/>
  <c r="C26" i="12"/>
  <c r="C18" i="12"/>
  <c r="C53" i="12"/>
  <c r="C45" i="12"/>
  <c r="C41" i="12"/>
  <c r="C35" i="12"/>
  <c r="C27" i="12"/>
  <c r="C19" i="12"/>
  <c r="C36" i="12"/>
  <c r="C28" i="12"/>
  <c r="C20" i="12"/>
  <c r="C29" i="12"/>
  <c r="C14" i="12"/>
  <c r="C12" i="12"/>
  <c r="C4" i="12"/>
  <c r="C15" i="12"/>
  <c r="C2" i="13" s="1"/>
  <c r="C13" i="12"/>
  <c r="C5" i="12"/>
  <c r="C61" i="12"/>
  <c r="C38" i="12"/>
  <c r="C31" i="12"/>
  <c r="C7" i="12"/>
  <c r="C55" i="12"/>
  <c r="C47" i="12"/>
  <c r="C22" i="12"/>
  <c r="C8" i="12"/>
  <c r="C11" i="12"/>
  <c r="C21" i="12"/>
  <c r="C3" i="12"/>
  <c r="C10" i="12"/>
  <c r="C37" i="12"/>
  <c r="C30" i="12"/>
  <c r="C9" i="12"/>
  <c r="C2" i="12"/>
  <c r="D57" i="14"/>
  <c r="D49" i="14"/>
  <c r="D58" i="14"/>
  <c r="D50" i="14"/>
  <c r="D42" i="14"/>
  <c r="D59" i="14"/>
  <c r="D51" i="14"/>
  <c r="D43" i="14"/>
  <c r="D61" i="14"/>
  <c r="D53" i="14"/>
  <c r="D45" i="14"/>
  <c r="D55" i="14"/>
  <c r="D47" i="14"/>
  <c r="D48" i="14"/>
  <c r="D36" i="14"/>
  <c r="D28" i="14"/>
  <c r="D52" i="14"/>
  <c r="D37" i="14"/>
  <c r="D29" i="14"/>
  <c r="D54" i="14"/>
  <c r="D38" i="14"/>
  <c r="D30" i="14"/>
  <c r="D56" i="14"/>
  <c r="D39" i="14"/>
  <c r="D31" i="14"/>
  <c r="D60" i="14"/>
  <c r="D40" i="14"/>
  <c r="D32" i="14"/>
  <c r="D20" i="14"/>
  <c r="D41" i="14"/>
  <c r="D21" i="14"/>
  <c r="D33" i="14"/>
  <c r="D22" i="14"/>
  <c r="D23" i="14"/>
  <c r="D15" i="14"/>
  <c r="D46" i="14"/>
  <c r="D35" i="14"/>
  <c r="D24" i="14"/>
  <c r="D12" i="14"/>
  <c r="D4" i="14"/>
  <c r="D34" i="14"/>
  <c r="D26" i="14"/>
  <c r="D13" i="14"/>
  <c r="D5" i="14"/>
  <c r="D16" i="14"/>
  <c r="D14" i="14"/>
  <c r="D6" i="14"/>
  <c r="D17" i="14"/>
  <c r="D7" i="14"/>
  <c r="D25" i="14"/>
  <c r="D18" i="14"/>
  <c r="D8" i="14"/>
  <c r="D27" i="14"/>
  <c r="D44" i="14"/>
  <c r="D10" i="14"/>
  <c r="D19" i="14"/>
  <c r="D3" i="14"/>
  <c r="D9" i="14"/>
  <c r="D2" i="14"/>
  <c r="D11" i="14"/>
  <c r="L57" i="14"/>
  <c r="L49" i="14"/>
  <c r="L58" i="14"/>
  <c r="L50" i="14"/>
  <c r="L42" i="14"/>
  <c r="L59" i="14"/>
  <c r="L51" i="14"/>
  <c r="L43" i="14"/>
  <c r="L61" i="14"/>
  <c r="L53" i="14"/>
  <c r="L45" i="14"/>
  <c r="L55" i="14"/>
  <c r="L47" i="14"/>
  <c r="L56" i="14"/>
  <c r="L36" i="14"/>
  <c r="L28" i="14"/>
  <c r="L60" i="14"/>
  <c r="L41" i="14"/>
  <c r="L37" i="14"/>
  <c r="L29" i="14"/>
  <c r="L44" i="14"/>
  <c r="L38" i="14"/>
  <c r="L30" i="14"/>
  <c r="L39" i="14"/>
  <c r="L31" i="14"/>
  <c r="L46" i="14"/>
  <c r="L54" i="14"/>
  <c r="L52" i="14"/>
  <c r="L27" i="14"/>
  <c r="L20" i="14"/>
  <c r="L48" i="14"/>
  <c r="L35" i="14"/>
  <c r="L21" i="14"/>
  <c r="L22" i="14"/>
  <c r="L23" i="14"/>
  <c r="L15" i="14"/>
  <c r="L34" i="14"/>
  <c r="L32" i="14"/>
  <c r="L24" i="14"/>
  <c r="L18" i="14"/>
  <c r="L12" i="14"/>
  <c r="L4" i="14"/>
  <c r="L25" i="14"/>
  <c r="L19" i="14"/>
  <c r="L13" i="14"/>
  <c r="L5" i="14"/>
  <c r="L14" i="14"/>
  <c r="L6" i="14"/>
  <c r="L7" i="14"/>
  <c r="L33" i="14"/>
  <c r="L8" i="14"/>
  <c r="L3" i="14"/>
  <c r="L9" i="14"/>
  <c r="L26" i="14"/>
  <c r="L16" i="14"/>
  <c r="L11" i="14"/>
  <c r="L2" i="14"/>
  <c r="L40" i="14"/>
  <c r="L17" i="14"/>
  <c r="L10" i="14"/>
  <c r="T57" i="14"/>
  <c r="T49" i="14"/>
  <c r="T58" i="14"/>
  <c r="T50" i="14"/>
  <c r="T42" i="14"/>
  <c r="T59" i="14"/>
  <c r="T51" i="14"/>
  <c r="T43" i="14"/>
  <c r="T61" i="14"/>
  <c r="T53" i="14"/>
  <c r="T45" i="14"/>
  <c r="T55" i="14"/>
  <c r="T47" i="14"/>
  <c r="T40" i="14"/>
  <c r="T36" i="14"/>
  <c r="T28" i="14"/>
  <c r="T46" i="14"/>
  <c r="T37" i="14"/>
  <c r="T29" i="14"/>
  <c r="T48" i="14"/>
  <c r="T38" i="14"/>
  <c r="T30" i="14"/>
  <c r="T52" i="14"/>
  <c r="T39" i="14"/>
  <c r="T31" i="14"/>
  <c r="T54" i="14"/>
  <c r="T32" i="14"/>
  <c r="T20" i="14"/>
  <c r="T34" i="14"/>
  <c r="T21" i="14"/>
  <c r="T27" i="14"/>
  <c r="T22" i="14"/>
  <c r="T23" i="14"/>
  <c r="T15" i="14"/>
  <c r="T60" i="14"/>
  <c r="T44" i="14"/>
  <c r="T33" i="14"/>
  <c r="T24" i="14"/>
  <c r="T12" i="14"/>
  <c r="T4" i="14"/>
  <c r="T41" i="14"/>
  <c r="T13" i="14"/>
  <c r="T5" i="14"/>
  <c r="T35" i="14"/>
  <c r="T16" i="14"/>
  <c r="T14" i="14"/>
  <c r="T6" i="14"/>
  <c r="T26" i="14"/>
  <c r="T17" i="14"/>
  <c r="T7" i="14"/>
  <c r="T18" i="14"/>
  <c r="T8" i="14"/>
  <c r="T19" i="14"/>
  <c r="T56" i="14"/>
  <c r="T11" i="14"/>
  <c r="T2" i="14"/>
  <c r="T10" i="14"/>
  <c r="T9" i="14"/>
  <c r="T25" i="14"/>
  <c r="T3" i="14"/>
  <c r="AB57" i="14"/>
  <c r="AB49" i="14"/>
  <c r="AB58" i="14"/>
  <c r="AB50" i="14"/>
  <c r="AB42" i="14"/>
  <c r="AB59" i="14"/>
  <c r="AB51" i="14"/>
  <c r="AB43" i="14"/>
  <c r="AB61" i="14"/>
  <c r="AB53" i="14"/>
  <c r="AB45" i="14"/>
  <c r="AB55" i="14"/>
  <c r="AB47" i="14"/>
  <c r="AB52" i="14"/>
  <c r="AB36" i="14"/>
  <c r="AB28" i="14"/>
  <c r="AB54" i="14"/>
  <c r="AB41" i="14"/>
  <c r="AB37" i="14"/>
  <c r="AB29" i="14"/>
  <c r="AB56" i="14"/>
  <c r="AB44" i="14"/>
  <c r="AB40" i="14"/>
  <c r="AB38" i="14"/>
  <c r="AB30" i="14"/>
  <c r="AB60" i="14"/>
  <c r="AB39" i="14"/>
  <c r="AB31" i="14"/>
  <c r="AB32" i="14"/>
  <c r="AB48" i="14"/>
  <c r="AB46" i="14"/>
  <c r="AB20" i="14"/>
  <c r="AB33" i="14"/>
  <c r="AB21" i="14"/>
  <c r="AB22" i="14"/>
  <c r="AB14" i="14"/>
  <c r="AB35" i="14"/>
  <c r="AB23" i="14"/>
  <c r="AB15" i="14"/>
  <c r="AB27" i="14"/>
  <c r="AB24" i="14"/>
  <c r="AB26" i="14"/>
  <c r="AB18" i="14"/>
  <c r="AB12" i="14"/>
  <c r="AB4" i="14"/>
  <c r="AB13" i="14"/>
  <c r="AB5" i="14"/>
  <c r="AB19" i="14"/>
  <c r="AB6" i="14"/>
  <c r="AB25" i="14"/>
  <c r="AB7" i="14"/>
  <c r="AB8" i="14"/>
  <c r="AB16" i="14"/>
  <c r="AB10" i="14"/>
  <c r="AB17" i="14"/>
  <c r="AB3" i="14"/>
  <c r="AB9" i="14"/>
  <c r="AB34" i="14"/>
  <c r="AB11" i="14"/>
  <c r="AB2" i="14"/>
  <c r="H39" i="2"/>
  <c r="B58" i="8"/>
  <c r="B50" i="8"/>
  <c r="B42" i="8"/>
  <c r="B51" i="8"/>
  <c r="B46" i="8"/>
  <c r="B60" i="8"/>
  <c r="B48" i="8"/>
  <c r="B47" i="8"/>
  <c r="B44" i="8"/>
  <c r="B39" i="8"/>
  <c r="B31" i="8"/>
  <c r="B23" i="8"/>
  <c r="B15" i="8"/>
  <c r="B2" i="9" s="1"/>
  <c r="B7" i="8"/>
  <c r="B53" i="8"/>
  <c r="B52" i="8"/>
  <c r="B49" i="8"/>
  <c r="B36" i="8"/>
  <c r="B32" i="8"/>
  <c r="B24" i="8"/>
  <c r="B16" i="8"/>
  <c r="B8" i="8"/>
  <c r="B56" i="8"/>
  <c r="B55" i="8"/>
  <c r="B54" i="8"/>
  <c r="B41" i="8"/>
  <c r="B33" i="8"/>
  <c r="B25" i="8"/>
  <c r="B17" i="8"/>
  <c r="B57" i="8"/>
  <c r="B43" i="8"/>
  <c r="B38" i="8"/>
  <c r="B34" i="8"/>
  <c r="B26" i="8"/>
  <c r="B61" i="8"/>
  <c r="B59" i="8"/>
  <c r="B45" i="8"/>
  <c r="B22" i="8"/>
  <c r="B12" i="8"/>
  <c r="B2" i="8"/>
  <c r="B27" i="8"/>
  <c r="B14" i="8"/>
  <c r="B3" i="8"/>
  <c r="B40" i="8"/>
  <c r="B28" i="8"/>
  <c r="B18" i="8"/>
  <c r="B4" i="8"/>
  <c r="B37" i="8"/>
  <c r="B29" i="8"/>
  <c r="B5" i="8"/>
  <c r="B30" i="8"/>
  <c r="B13" i="8"/>
  <c r="B35" i="8"/>
  <c r="B9" i="8"/>
  <c r="B20" i="8"/>
  <c r="B21" i="8"/>
  <c r="B11" i="8"/>
  <c r="B6" i="8"/>
  <c r="B19" i="8"/>
  <c r="B10" i="8"/>
  <c r="J58" i="8"/>
  <c r="J50" i="8"/>
  <c r="J42" i="8"/>
  <c r="J59" i="8"/>
  <c r="J54" i="8"/>
  <c r="J49" i="8"/>
  <c r="J31" i="8"/>
  <c r="J23" i="8"/>
  <c r="J15" i="8"/>
  <c r="J2" i="9" s="1"/>
  <c r="J7" i="8"/>
  <c r="J46" i="8"/>
  <c r="J45" i="8"/>
  <c r="J44" i="8"/>
  <c r="J39" i="8"/>
  <c r="J32" i="8"/>
  <c r="J24" i="8"/>
  <c r="J16" i="8"/>
  <c r="J8" i="8"/>
  <c r="J51" i="8"/>
  <c r="J48" i="8"/>
  <c r="J47" i="8"/>
  <c r="J36" i="8"/>
  <c r="J33" i="8"/>
  <c r="J25" i="8"/>
  <c r="J17" i="8"/>
  <c r="J60" i="8"/>
  <c r="J53" i="8"/>
  <c r="J52" i="8"/>
  <c r="J41" i="8"/>
  <c r="J34" i="8"/>
  <c r="J26" i="8"/>
  <c r="J56" i="8"/>
  <c r="J55" i="8"/>
  <c r="J57" i="8"/>
  <c r="J61" i="8"/>
  <c r="J37" i="8"/>
  <c r="J30" i="8"/>
  <c r="J10" i="8"/>
  <c r="J38" i="8"/>
  <c r="J11" i="8"/>
  <c r="J35" i="8"/>
  <c r="J20" i="8"/>
  <c r="J19" i="8"/>
  <c r="J12" i="8"/>
  <c r="J2" i="8"/>
  <c r="J21" i="8"/>
  <c r="J3" i="8"/>
  <c r="J22" i="8"/>
  <c r="J14" i="8"/>
  <c r="J43" i="8"/>
  <c r="J27" i="8"/>
  <c r="J18" i="8"/>
  <c r="J5" i="8"/>
  <c r="J28" i="8"/>
  <c r="J6" i="8"/>
  <c r="J29" i="8"/>
  <c r="J4" i="8"/>
  <c r="J40" i="8"/>
  <c r="J13" i="8"/>
  <c r="J9" i="8"/>
  <c r="R58" i="8"/>
  <c r="R50" i="8"/>
  <c r="R42" i="8"/>
  <c r="R57" i="8"/>
  <c r="R44" i="8"/>
  <c r="R61" i="8"/>
  <c r="R37" i="8"/>
  <c r="R31" i="8"/>
  <c r="R23" i="8"/>
  <c r="R15" i="8"/>
  <c r="R2" i="9" s="1"/>
  <c r="R7" i="8"/>
  <c r="R32" i="8"/>
  <c r="R24" i="8"/>
  <c r="R16" i="8"/>
  <c r="R8" i="8"/>
  <c r="R59" i="8"/>
  <c r="R39" i="8"/>
  <c r="R33" i="8"/>
  <c r="R25" i="8"/>
  <c r="R17" i="8"/>
  <c r="R46" i="8"/>
  <c r="R45" i="8"/>
  <c r="R36" i="8"/>
  <c r="R34" i="8"/>
  <c r="R26" i="8"/>
  <c r="R51" i="8"/>
  <c r="R49" i="8"/>
  <c r="R48" i="8"/>
  <c r="R54" i="8"/>
  <c r="R53" i="8"/>
  <c r="R52" i="8"/>
  <c r="R22" i="8"/>
  <c r="R18" i="8"/>
  <c r="R6" i="8"/>
  <c r="R56" i="8"/>
  <c r="R47" i="8"/>
  <c r="R27" i="8"/>
  <c r="R9" i="8"/>
  <c r="R43" i="8"/>
  <c r="R28" i="8"/>
  <c r="R13" i="8"/>
  <c r="R10" i="8"/>
  <c r="R60" i="8"/>
  <c r="R29" i="8"/>
  <c r="R11" i="8"/>
  <c r="R40" i="8"/>
  <c r="R30" i="8"/>
  <c r="R41" i="8"/>
  <c r="R19" i="8"/>
  <c r="R12" i="8"/>
  <c r="R38" i="8"/>
  <c r="R20" i="8"/>
  <c r="R21" i="8"/>
  <c r="R14" i="8"/>
  <c r="R55" i="8"/>
  <c r="R3" i="8"/>
  <c r="R35" i="8"/>
  <c r="R2" i="8"/>
  <c r="R5" i="8"/>
  <c r="R4" i="8"/>
  <c r="Z58" i="8"/>
  <c r="Z50" i="8"/>
  <c r="Z42" i="8"/>
  <c r="Z52" i="8"/>
  <c r="Z47" i="8"/>
  <c r="Z57" i="8"/>
  <c r="Z56" i="8"/>
  <c r="Z55" i="8"/>
  <c r="Z40" i="8"/>
  <c r="Z31" i="8"/>
  <c r="Z23" i="8"/>
  <c r="Z15" i="8"/>
  <c r="Z2" i="9" s="1"/>
  <c r="Z7" i="8"/>
  <c r="Z60" i="8"/>
  <c r="Z37" i="8"/>
  <c r="Z32" i="8"/>
  <c r="Z24" i="8"/>
  <c r="Z16" i="8"/>
  <c r="Z8" i="8"/>
  <c r="Z33" i="8"/>
  <c r="Z25" i="8"/>
  <c r="Z17" i="8"/>
  <c r="Z39" i="8"/>
  <c r="Z34" i="8"/>
  <c r="Z26" i="8"/>
  <c r="Z61" i="8"/>
  <c r="Z59" i="8"/>
  <c r="Z30" i="8"/>
  <c r="Z12" i="8"/>
  <c r="Z4" i="8"/>
  <c r="Z44" i="8"/>
  <c r="Z19" i="8"/>
  <c r="Z5" i="8"/>
  <c r="Z53" i="8"/>
  <c r="Z46" i="8"/>
  <c r="Z41" i="8"/>
  <c r="Z20" i="8"/>
  <c r="Z14" i="8"/>
  <c r="Z6" i="8"/>
  <c r="Z38" i="8"/>
  <c r="Z21" i="8"/>
  <c r="Z18" i="8"/>
  <c r="Z9" i="8"/>
  <c r="Z54" i="8"/>
  <c r="Z35" i="8"/>
  <c r="Z22" i="8"/>
  <c r="Z10" i="8"/>
  <c r="Z51" i="8"/>
  <c r="Z49" i="8"/>
  <c r="Z36" i="8"/>
  <c r="Z27" i="8"/>
  <c r="Z13" i="8"/>
  <c r="Z11" i="8"/>
  <c r="Z48" i="8"/>
  <c r="Z45" i="8"/>
  <c r="Z28" i="8"/>
  <c r="Z29" i="8"/>
  <c r="Z3" i="8"/>
  <c r="Z2" i="8"/>
  <c r="Z43" i="8"/>
  <c r="C57" i="10"/>
  <c r="C58" i="10"/>
  <c r="C50" i="10"/>
  <c r="C59" i="10"/>
  <c r="C51" i="10"/>
  <c r="C60" i="10"/>
  <c r="C52" i="10"/>
  <c r="C61" i="10"/>
  <c r="C53" i="10"/>
  <c r="C44" i="10"/>
  <c r="C36" i="10"/>
  <c r="C47" i="10"/>
  <c r="C45" i="10"/>
  <c r="C37" i="10"/>
  <c r="C29" i="10"/>
  <c r="C21" i="10"/>
  <c r="C13" i="10"/>
  <c r="C55" i="10"/>
  <c r="C38" i="10"/>
  <c r="C30" i="10"/>
  <c r="C22" i="10"/>
  <c r="C14" i="10"/>
  <c r="C31" i="10"/>
  <c r="C15" i="10"/>
  <c r="C2" i="11" s="1"/>
  <c r="C7" i="10"/>
  <c r="C40" i="10"/>
  <c r="C24" i="10"/>
  <c r="C54" i="10"/>
  <c r="C35" i="10"/>
  <c r="C33" i="10"/>
  <c r="C25" i="10"/>
  <c r="C12" i="10"/>
  <c r="C26" i="10"/>
  <c r="C42" i="10"/>
  <c r="C27" i="10"/>
  <c r="C19" i="10"/>
  <c r="C56" i="10"/>
  <c r="C28" i="10"/>
  <c r="C20" i="10"/>
  <c r="C18" i="10"/>
  <c r="C11" i="10"/>
  <c r="C9" i="10"/>
  <c r="C48" i="10"/>
  <c r="C46" i="10"/>
  <c r="C41" i="10"/>
  <c r="C16" i="10"/>
  <c r="C10" i="10"/>
  <c r="C43" i="10"/>
  <c r="C8" i="10"/>
  <c r="C4" i="10"/>
  <c r="C2" i="10"/>
  <c r="C17" i="10"/>
  <c r="C3" i="10"/>
  <c r="C5" i="10"/>
  <c r="D57" i="12"/>
  <c r="D41" i="12"/>
  <c r="D58" i="12"/>
  <c r="D50" i="12"/>
  <c r="D42" i="12"/>
  <c r="D59" i="12"/>
  <c r="D51" i="12"/>
  <c r="D43" i="12"/>
  <c r="D60" i="12"/>
  <c r="D52" i="12"/>
  <c r="D44" i="12"/>
  <c r="D61" i="12"/>
  <c r="D53" i="12"/>
  <c r="D45" i="12"/>
  <c r="D33" i="12"/>
  <c r="D25" i="12"/>
  <c r="D17" i="12"/>
  <c r="D56" i="12"/>
  <c r="D48" i="12"/>
  <c r="D26" i="12"/>
  <c r="D18" i="12"/>
  <c r="D35" i="12"/>
  <c r="D27" i="12"/>
  <c r="D19" i="12"/>
  <c r="D36" i="12"/>
  <c r="D28" i="12"/>
  <c r="D20" i="12"/>
  <c r="D55" i="12"/>
  <c r="D47" i="12"/>
  <c r="D37" i="12"/>
  <c r="D29" i="12"/>
  <c r="D21" i="12"/>
  <c r="D15" i="12"/>
  <c r="D2" i="13" s="1"/>
  <c r="D13" i="12"/>
  <c r="D5" i="12"/>
  <c r="D54" i="12"/>
  <c r="D46" i="12"/>
  <c r="D38" i="12"/>
  <c r="D31" i="12"/>
  <c r="D40" i="12"/>
  <c r="D16" i="12"/>
  <c r="D7" i="12"/>
  <c r="D24" i="12"/>
  <c r="D22" i="12"/>
  <c r="D8" i="12"/>
  <c r="D30" i="12"/>
  <c r="D9" i="12"/>
  <c r="D11" i="12"/>
  <c r="D3" i="12"/>
  <c r="D14" i="12"/>
  <c r="D10" i="12"/>
  <c r="D2" i="12"/>
  <c r="D4" i="12"/>
  <c r="D12" i="12"/>
  <c r="E58" i="14"/>
  <c r="E50" i="14"/>
  <c r="E59" i="14"/>
  <c r="E51" i="14"/>
  <c r="E43" i="14"/>
  <c r="E60" i="14"/>
  <c r="E52" i="14"/>
  <c r="E44" i="14"/>
  <c r="E54" i="14"/>
  <c r="E46" i="14"/>
  <c r="E56" i="14"/>
  <c r="E48" i="14"/>
  <c r="E61" i="14"/>
  <c r="E37" i="14"/>
  <c r="E29" i="14"/>
  <c r="E38" i="14"/>
  <c r="E30" i="14"/>
  <c r="E39" i="14"/>
  <c r="E31" i="14"/>
  <c r="E47" i="14"/>
  <c r="E40" i="14"/>
  <c r="E32" i="14"/>
  <c r="E49" i="14"/>
  <c r="E33" i="14"/>
  <c r="E41" i="14"/>
  <c r="E36" i="14"/>
  <c r="E21" i="14"/>
  <c r="E45" i="14"/>
  <c r="E22" i="14"/>
  <c r="E42" i="14"/>
  <c r="E23" i="14"/>
  <c r="E15" i="14"/>
  <c r="E35" i="14"/>
  <c r="E24" i="14"/>
  <c r="E16" i="14"/>
  <c r="E57" i="14"/>
  <c r="E55" i="14"/>
  <c r="E53" i="14"/>
  <c r="E25" i="14"/>
  <c r="E34" i="14"/>
  <c r="E26" i="14"/>
  <c r="E13" i="14"/>
  <c r="E5" i="14"/>
  <c r="E14" i="14"/>
  <c r="E6" i="14"/>
  <c r="E17" i="14"/>
  <c r="E7" i="14"/>
  <c r="E18" i="14"/>
  <c r="E8" i="14"/>
  <c r="E28" i="14"/>
  <c r="E19" i="14"/>
  <c r="E9" i="14"/>
  <c r="E4" i="14"/>
  <c r="E10" i="14"/>
  <c r="E12" i="14"/>
  <c r="E3" i="14"/>
  <c r="E27" i="14"/>
  <c r="E20" i="14"/>
  <c r="E2" i="14"/>
  <c r="E11" i="14"/>
  <c r="M58" i="14"/>
  <c r="M50" i="14"/>
  <c r="M59" i="14"/>
  <c r="M51" i="14"/>
  <c r="M43" i="14"/>
  <c r="M60" i="14"/>
  <c r="M52" i="14"/>
  <c r="M44" i="14"/>
  <c r="M54" i="14"/>
  <c r="M46" i="14"/>
  <c r="M56" i="14"/>
  <c r="M48" i="14"/>
  <c r="M47" i="14"/>
  <c r="M41" i="14"/>
  <c r="M37" i="14"/>
  <c r="M29" i="14"/>
  <c r="M49" i="14"/>
  <c r="M42" i="14"/>
  <c r="M38" i="14"/>
  <c r="M30" i="14"/>
  <c r="M53" i="14"/>
  <c r="M45" i="14"/>
  <c r="M39" i="14"/>
  <c r="M31" i="14"/>
  <c r="M55" i="14"/>
  <c r="M32" i="14"/>
  <c r="M57" i="14"/>
  <c r="M33" i="14"/>
  <c r="M61" i="14"/>
  <c r="M35" i="14"/>
  <c r="M28" i="14"/>
  <c r="M21" i="14"/>
  <c r="M22" i="14"/>
  <c r="M23" i="14"/>
  <c r="M15" i="14"/>
  <c r="M34" i="14"/>
  <c r="M24" i="14"/>
  <c r="M16" i="14"/>
  <c r="M25" i="14"/>
  <c r="M19" i="14"/>
  <c r="M13" i="14"/>
  <c r="M5" i="14"/>
  <c r="M14" i="14"/>
  <c r="M6" i="14"/>
  <c r="M7" i="14"/>
  <c r="M27" i="14"/>
  <c r="M8" i="14"/>
  <c r="M20" i="14"/>
  <c r="M9" i="14"/>
  <c r="M18" i="14"/>
  <c r="M12" i="14"/>
  <c r="M3" i="14"/>
  <c r="M26" i="14"/>
  <c r="M36" i="14"/>
  <c r="M11" i="14"/>
  <c r="M2" i="14"/>
  <c r="M40" i="14"/>
  <c r="M17" i="14"/>
  <c r="M10" i="14"/>
  <c r="M4" i="14"/>
  <c r="U58" i="14"/>
  <c r="U50" i="14"/>
  <c r="U59" i="14"/>
  <c r="U51" i="14"/>
  <c r="U43" i="14"/>
  <c r="U60" i="14"/>
  <c r="U52" i="14"/>
  <c r="U44" i="14"/>
  <c r="U54" i="14"/>
  <c r="U46" i="14"/>
  <c r="U56" i="14"/>
  <c r="U48" i="14"/>
  <c r="U55" i="14"/>
  <c r="U37" i="14"/>
  <c r="U29" i="14"/>
  <c r="U57" i="14"/>
  <c r="U38" i="14"/>
  <c r="U30" i="14"/>
  <c r="U61" i="14"/>
  <c r="U39" i="14"/>
  <c r="U31" i="14"/>
  <c r="U32" i="14"/>
  <c r="U41" i="14"/>
  <c r="U33" i="14"/>
  <c r="U34" i="14"/>
  <c r="U21" i="14"/>
  <c r="U27" i="14"/>
  <c r="U22" i="14"/>
  <c r="U14" i="14"/>
  <c r="U36" i="14"/>
  <c r="U28" i="14"/>
  <c r="U23" i="14"/>
  <c r="U15" i="14"/>
  <c r="U53" i="14"/>
  <c r="U24" i="14"/>
  <c r="U16" i="14"/>
  <c r="U49" i="14"/>
  <c r="U47" i="14"/>
  <c r="U25" i="14"/>
  <c r="U42" i="14"/>
  <c r="U13" i="14"/>
  <c r="U5" i="14"/>
  <c r="U45" i="14"/>
  <c r="U35" i="14"/>
  <c r="U20" i="14"/>
  <c r="U6" i="14"/>
  <c r="U26" i="14"/>
  <c r="U17" i="14"/>
  <c r="U7" i="14"/>
  <c r="U18" i="14"/>
  <c r="U8" i="14"/>
  <c r="U40" i="14"/>
  <c r="U19" i="14"/>
  <c r="U9" i="14"/>
  <c r="U11" i="14"/>
  <c r="U2" i="14"/>
  <c r="U4" i="14"/>
  <c r="U10" i="14"/>
  <c r="U12" i="14"/>
  <c r="U3" i="14"/>
  <c r="AC58" i="14"/>
  <c r="AC50" i="14"/>
  <c r="AC59" i="14"/>
  <c r="AC51" i="14"/>
  <c r="AC43" i="14"/>
  <c r="AC60" i="14"/>
  <c r="AC52" i="14"/>
  <c r="AC44" i="14"/>
  <c r="AC61" i="14"/>
  <c r="AC54" i="14"/>
  <c r="AC46" i="14"/>
  <c r="AC56" i="14"/>
  <c r="AC48" i="14"/>
  <c r="AC40" i="14"/>
  <c r="AC41" i="14"/>
  <c r="AC37" i="14"/>
  <c r="AC29" i="14"/>
  <c r="AC42" i="14"/>
  <c r="AC38" i="14"/>
  <c r="AC30" i="14"/>
  <c r="AC47" i="14"/>
  <c r="AC45" i="14"/>
  <c r="AC39" i="14"/>
  <c r="AC31" i="14"/>
  <c r="AC49" i="14"/>
  <c r="AC32" i="14"/>
  <c r="AC53" i="14"/>
  <c r="AC33" i="14"/>
  <c r="AC57" i="14"/>
  <c r="AC55" i="14"/>
  <c r="AC21" i="14"/>
  <c r="AC22" i="14"/>
  <c r="AC14" i="14"/>
  <c r="AC35" i="14"/>
  <c r="AC23" i="14"/>
  <c r="AC15" i="14"/>
  <c r="AC27" i="14"/>
  <c r="AC24" i="14"/>
  <c r="AC16" i="14"/>
  <c r="AC25" i="14"/>
  <c r="AC13" i="14"/>
  <c r="AC5" i="14"/>
  <c r="AC19" i="14"/>
  <c r="AC6" i="14"/>
  <c r="AC7" i="14"/>
  <c r="AC8" i="14"/>
  <c r="AC34" i="14"/>
  <c r="AC9" i="14"/>
  <c r="AC10" i="14"/>
  <c r="AC28" i="14"/>
  <c r="AC26" i="14"/>
  <c r="AC36" i="14"/>
  <c r="AC17" i="14"/>
  <c r="AC12" i="14"/>
  <c r="AC3" i="14"/>
  <c r="AC20" i="14"/>
  <c r="AC18" i="14"/>
  <c r="AC11" i="14"/>
  <c r="AC2" i="14"/>
  <c r="AC4" i="14"/>
  <c r="B61" i="6"/>
  <c r="B53" i="6"/>
  <c r="B45" i="6"/>
  <c r="B37" i="6"/>
  <c r="B29" i="6"/>
  <c r="B54" i="6"/>
  <c r="B46" i="6"/>
  <c r="B38" i="6"/>
  <c r="B30" i="6"/>
  <c r="B55" i="6"/>
  <c r="B47" i="6"/>
  <c r="B31" i="6"/>
  <c r="B56" i="6"/>
  <c r="B48" i="6"/>
  <c r="B40" i="6"/>
  <c r="B57" i="6"/>
  <c r="B41" i="6"/>
  <c r="B33" i="6"/>
  <c r="B25" i="6"/>
  <c r="B58" i="6"/>
  <c r="B50" i="6"/>
  <c r="B42" i="6"/>
  <c r="B26" i="6"/>
  <c r="B59" i="6"/>
  <c r="B51" i="6"/>
  <c r="B43" i="6"/>
  <c r="B35" i="6"/>
  <c r="B27" i="6"/>
  <c r="B15" i="6"/>
  <c r="B2" i="7" s="1"/>
  <c r="B7" i="6"/>
  <c r="B24" i="6"/>
  <c r="B16" i="6"/>
  <c r="B8" i="6"/>
  <c r="B44" i="6"/>
  <c r="B17" i="6"/>
  <c r="B9" i="6"/>
  <c r="B18" i="6"/>
  <c r="B10" i="6"/>
  <c r="B36" i="6"/>
  <c r="B28" i="6"/>
  <c r="B19" i="6"/>
  <c r="B11" i="6"/>
  <c r="B20" i="6"/>
  <c r="B12" i="6"/>
  <c r="B52" i="6"/>
  <c r="B21" i="6"/>
  <c r="B13" i="6"/>
  <c r="B60" i="6"/>
  <c r="B22" i="6"/>
  <c r="B14" i="6"/>
  <c r="B3" i="6"/>
  <c r="B4" i="6"/>
  <c r="B5" i="6"/>
  <c r="B2" i="6"/>
  <c r="C59" i="8"/>
  <c r="C51" i="8"/>
  <c r="C43" i="8"/>
  <c r="C35" i="8"/>
  <c r="C61" i="8"/>
  <c r="C56" i="8"/>
  <c r="C60" i="8"/>
  <c r="C53" i="8"/>
  <c r="C52" i="8"/>
  <c r="C50" i="8"/>
  <c r="C49" i="8"/>
  <c r="C36" i="8"/>
  <c r="C32" i="8"/>
  <c r="C24" i="8"/>
  <c r="C16" i="8"/>
  <c r="C8" i="8"/>
  <c r="C55" i="8"/>
  <c r="C54" i="8"/>
  <c r="C41" i="8"/>
  <c r="C33" i="8"/>
  <c r="C25" i="8"/>
  <c r="C17" i="8"/>
  <c r="C9" i="8"/>
  <c r="C58" i="8"/>
  <c r="C57" i="8"/>
  <c r="C38" i="8"/>
  <c r="C34" i="8"/>
  <c r="C26" i="8"/>
  <c r="C18" i="8"/>
  <c r="C27" i="8"/>
  <c r="C47" i="8"/>
  <c r="C39" i="8"/>
  <c r="C23" i="8"/>
  <c r="C14" i="8"/>
  <c r="C3" i="8"/>
  <c r="C40" i="8"/>
  <c r="C28" i="8"/>
  <c r="C4" i="8"/>
  <c r="C37" i="8"/>
  <c r="C29" i="8"/>
  <c r="C5" i="8"/>
  <c r="C30" i="8"/>
  <c r="C13" i="8"/>
  <c r="C6" i="8"/>
  <c r="C46" i="8"/>
  <c r="C44" i="8"/>
  <c r="C31" i="8"/>
  <c r="C48" i="8"/>
  <c r="C20" i="8"/>
  <c r="C15" i="8"/>
  <c r="C2" i="9" s="1"/>
  <c r="C10" i="8"/>
  <c r="C21" i="8"/>
  <c r="C19" i="8"/>
  <c r="C11" i="8"/>
  <c r="C7" i="8"/>
  <c r="C42" i="8"/>
  <c r="C12" i="8"/>
  <c r="C2" i="8"/>
  <c r="C45" i="8"/>
  <c r="C22" i="8"/>
  <c r="K59" i="8"/>
  <c r="K51" i="8"/>
  <c r="K43" i="8"/>
  <c r="K35" i="8"/>
  <c r="K46" i="8"/>
  <c r="K45" i="8"/>
  <c r="K44" i="8"/>
  <c r="K39" i="8"/>
  <c r="K32" i="8"/>
  <c r="K24" i="8"/>
  <c r="K16" i="8"/>
  <c r="K8" i="8"/>
  <c r="K48" i="8"/>
  <c r="K47" i="8"/>
  <c r="K36" i="8"/>
  <c r="K33" i="8"/>
  <c r="K25" i="8"/>
  <c r="K17" i="8"/>
  <c r="K9" i="8"/>
  <c r="K60" i="8"/>
  <c r="K53" i="8"/>
  <c r="K52" i="8"/>
  <c r="K50" i="8"/>
  <c r="K49" i="8"/>
  <c r="K41" i="8"/>
  <c r="K34" i="8"/>
  <c r="K26" i="8"/>
  <c r="K18" i="8"/>
  <c r="K56" i="8"/>
  <c r="K55" i="8"/>
  <c r="K54" i="8"/>
  <c r="K38" i="8"/>
  <c r="K27" i="8"/>
  <c r="K58" i="8"/>
  <c r="K57" i="8"/>
  <c r="K31" i="8"/>
  <c r="K15" i="8"/>
  <c r="K2" i="9" s="1"/>
  <c r="K11" i="8"/>
  <c r="K20" i="8"/>
  <c r="K19" i="8"/>
  <c r="K12" i="8"/>
  <c r="K2" i="8"/>
  <c r="K21" i="8"/>
  <c r="K3" i="8"/>
  <c r="K22" i="8"/>
  <c r="K14" i="8"/>
  <c r="K4" i="8"/>
  <c r="K42" i="8"/>
  <c r="K23" i="8"/>
  <c r="K28" i="8"/>
  <c r="K6" i="8"/>
  <c r="K40" i="8"/>
  <c r="K29" i="8"/>
  <c r="K5" i="8"/>
  <c r="K37" i="8"/>
  <c r="K13" i="8"/>
  <c r="K61" i="8"/>
  <c r="K10" i="8"/>
  <c r="K30" i="8"/>
  <c r="K7" i="8"/>
  <c r="S59" i="8"/>
  <c r="S51" i="8"/>
  <c r="S43" i="8"/>
  <c r="S35" i="8"/>
  <c r="S54" i="8"/>
  <c r="S49" i="8"/>
  <c r="S42" i="8"/>
  <c r="S32" i="8"/>
  <c r="S24" i="8"/>
  <c r="S16" i="8"/>
  <c r="S8" i="8"/>
  <c r="S61" i="8"/>
  <c r="S39" i="8"/>
  <c r="S33" i="8"/>
  <c r="S25" i="8"/>
  <c r="S17" i="8"/>
  <c r="S9" i="8"/>
  <c r="S46" i="8"/>
  <c r="S45" i="8"/>
  <c r="S44" i="8"/>
  <c r="S36" i="8"/>
  <c r="S34" i="8"/>
  <c r="S26" i="8"/>
  <c r="S18" i="8"/>
  <c r="S48" i="8"/>
  <c r="S47" i="8"/>
  <c r="S41" i="8"/>
  <c r="S27" i="8"/>
  <c r="S19" i="8"/>
  <c r="S53" i="8"/>
  <c r="S52" i="8"/>
  <c r="S50" i="8"/>
  <c r="S60" i="8"/>
  <c r="S56" i="8"/>
  <c r="S55" i="8"/>
  <c r="S23" i="8"/>
  <c r="S7" i="8"/>
  <c r="S28" i="8"/>
  <c r="S13" i="8"/>
  <c r="S10" i="8"/>
  <c r="S29" i="8"/>
  <c r="S11" i="8"/>
  <c r="S57" i="8"/>
  <c r="S40" i="8"/>
  <c r="S30" i="8"/>
  <c r="S15" i="8"/>
  <c r="S2" i="9" s="1"/>
  <c r="S2" i="8"/>
  <c r="S37" i="8"/>
  <c r="S31" i="8"/>
  <c r="S12" i="8"/>
  <c r="S58" i="8"/>
  <c r="S38" i="8"/>
  <c r="S20" i="8"/>
  <c r="S4" i="8"/>
  <c r="S21" i="8"/>
  <c r="S14" i="8"/>
  <c r="S3" i="8"/>
  <c r="S22" i="8"/>
  <c r="S6" i="8"/>
  <c r="S5" i="8"/>
  <c r="AA59" i="8"/>
  <c r="AA51" i="8"/>
  <c r="AA43" i="8"/>
  <c r="AA35" i="8"/>
  <c r="AA57" i="8"/>
  <c r="AA44" i="8"/>
  <c r="AA61" i="8"/>
  <c r="AA60" i="8"/>
  <c r="AA37" i="8"/>
  <c r="AA32" i="8"/>
  <c r="AA24" i="8"/>
  <c r="AA16" i="8"/>
  <c r="AA8" i="8"/>
  <c r="AA58" i="8"/>
  <c r="AA42" i="8"/>
  <c r="AA33" i="8"/>
  <c r="AA25" i="8"/>
  <c r="AA17" i="8"/>
  <c r="AA9" i="8"/>
  <c r="AA39" i="8"/>
  <c r="AA34" i="8"/>
  <c r="AA26" i="8"/>
  <c r="AA18" i="8"/>
  <c r="AA36" i="8"/>
  <c r="AA27" i="8"/>
  <c r="AA19" i="8"/>
  <c r="AA56" i="8"/>
  <c r="AA40" i="8"/>
  <c r="AA31" i="8"/>
  <c r="AA5" i="8"/>
  <c r="AA53" i="8"/>
  <c r="AA46" i="8"/>
  <c r="AA41" i="8"/>
  <c r="AA20" i="8"/>
  <c r="AA14" i="8"/>
  <c r="AA6" i="8"/>
  <c r="AA38" i="8"/>
  <c r="AA21" i="8"/>
  <c r="AA7" i="8"/>
  <c r="AA54" i="8"/>
  <c r="AA22" i="8"/>
  <c r="AA10" i="8"/>
  <c r="AA50" i="8"/>
  <c r="AA49" i="8"/>
  <c r="AA23" i="8"/>
  <c r="AA13" i="8"/>
  <c r="AA11" i="8"/>
  <c r="AA48" i="8"/>
  <c r="AA45" i="8"/>
  <c r="AA28" i="8"/>
  <c r="AA55" i="8"/>
  <c r="AA47" i="8"/>
  <c r="AA29" i="8"/>
  <c r="AA15" i="8"/>
  <c r="AA2" i="9" s="1"/>
  <c r="AA12" i="8"/>
  <c r="AA2" i="8"/>
  <c r="AA52" i="8"/>
  <c r="AA4" i="8"/>
  <c r="AA30" i="8"/>
  <c r="AA3" i="8"/>
  <c r="D58" i="10"/>
  <c r="D50" i="10"/>
  <c r="D59" i="10"/>
  <c r="D51" i="10"/>
  <c r="D60" i="10"/>
  <c r="D52" i="10"/>
  <c r="D61" i="10"/>
  <c r="D53" i="10"/>
  <c r="D54" i="10"/>
  <c r="D47" i="10"/>
  <c r="D45" i="10"/>
  <c r="D37" i="10"/>
  <c r="D55" i="10"/>
  <c r="D38" i="10"/>
  <c r="D30" i="10"/>
  <c r="D22" i="10"/>
  <c r="D14" i="10"/>
  <c r="D31" i="10"/>
  <c r="D15" i="10"/>
  <c r="D2" i="11" s="1"/>
  <c r="D7" i="10"/>
  <c r="D57" i="10"/>
  <c r="D40" i="10"/>
  <c r="D24" i="10"/>
  <c r="D16" i="10"/>
  <c r="D8" i="10"/>
  <c r="D46" i="10"/>
  <c r="D41" i="10"/>
  <c r="D33" i="10"/>
  <c r="D25" i="10"/>
  <c r="D56" i="10"/>
  <c r="D26" i="10"/>
  <c r="D5" i="10"/>
  <c r="D42" i="10"/>
  <c r="D27" i="10"/>
  <c r="D28" i="10"/>
  <c r="D20" i="10"/>
  <c r="D18" i="10"/>
  <c r="D48" i="10"/>
  <c r="D44" i="10"/>
  <c r="D29" i="10"/>
  <c r="D21" i="10"/>
  <c r="D4" i="10"/>
  <c r="D36" i="10"/>
  <c r="D10" i="10"/>
  <c r="D9" i="10"/>
  <c r="D43" i="10"/>
  <c r="D11" i="10"/>
  <c r="D2" i="10"/>
  <c r="D17" i="10"/>
  <c r="D12" i="10"/>
  <c r="D35" i="10"/>
  <c r="D13" i="10"/>
  <c r="D19" i="10"/>
  <c r="D3" i="10"/>
  <c r="E58" i="12"/>
  <c r="E50" i="12"/>
  <c r="E42" i="12"/>
  <c r="E59" i="12"/>
  <c r="E51" i="12"/>
  <c r="E43" i="12"/>
  <c r="E60" i="12"/>
  <c r="E52" i="12"/>
  <c r="E44" i="12"/>
  <c r="E61" i="12"/>
  <c r="E53" i="12"/>
  <c r="E45" i="12"/>
  <c r="E54" i="12"/>
  <c r="E46" i="12"/>
  <c r="E56" i="12"/>
  <c r="E48" i="12"/>
  <c r="E26" i="12"/>
  <c r="E18" i="12"/>
  <c r="E35" i="12"/>
  <c r="E27" i="12"/>
  <c r="E19" i="12"/>
  <c r="E41" i="12"/>
  <c r="E36" i="12"/>
  <c r="E28" i="12"/>
  <c r="E20" i="12"/>
  <c r="E55" i="12"/>
  <c r="E47" i="12"/>
  <c r="E37" i="12"/>
  <c r="E29" i="12"/>
  <c r="E21" i="12"/>
  <c r="E13" i="12"/>
  <c r="E38" i="12"/>
  <c r="E30" i="12"/>
  <c r="E22" i="12"/>
  <c r="E33" i="12"/>
  <c r="E31" i="12"/>
  <c r="E40" i="12"/>
  <c r="E16" i="12"/>
  <c r="E7" i="12"/>
  <c r="E24" i="12"/>
  <c r="E8" i="12"/>
  <c r="E57" i="12"/>
  <c r="E9" i="12"/>
  <c r="E10" i="12"/>
  <c r="E2" i="12"/>
  <c r="E3" i="12"/>
  <c r="E14" i="12"/>
  <c r="E5" i="12"/>
  <c r="E17" i="12"/>
  <c r="E12" i="12"/>
  <c r="E25" i="12"/>
  <c r="E11" i="12"/>
  <c r="E4" i="12"/>
  <c r="E15" i="12"/>
  <c r="E2" i="13" s="1"/>
  <c r="F59" i="14"/>
  <c r="F51" i="14"/>
  <c r="F60" i="14"/>
  <c r="F52" i="14"/>
  <c r="F44" i="14"/>
  <c r="F61" i="14"/>
  <c r="F53" i="14"/>
  <c r="F45" i="14"/>
  <c r="F55" i="14"/>
  <c r="F47" i="14"/>
  <c r="F57" i="14"/>
  <c r="F49" i="14"/>
  <c r="F41" i="14"/>
  <c r="F50" i="14"/>
  <c r="F38" i="14"/>
  <c r="F30" i="14"/>
  <c r="F54" i="14"/>
  <c r="F39" i="14"/>
  <c r="F31" i="14"/>
  <c r="F56" i="14"/>
  <c r="F40" i="14"/>
  <c r="F32" i="14"/>
  <c r="F58" i="14"/>
  <c r="F33" i="14"/>
  <c r="F42" i="14"/>
  <c r="F34" i="14"/>
  <c r="F29" i="14"/>
  <c r="F22" i="14"/>
  <c r="F23" i="14"/>
  <c r="F15" i="14"/>
  <c r="F35" i="14"/>
  <c r="F24" i="14"/>
  <c r="F16" i="14"/>
  <c r="F48" i="14"/>
  <c r="F46" i="14"/>
  <c r="F25" i="14"/>
  <c r="F17" i="14"/>
  <c r="F43" i="14"/>
  <c r="F37" i="14"/>
  <c r="F26" i="14"/>
  <c r="F36" i="14"/>
  <c r="F14" i="14"/>
  <c r="F6" i="14"/>
  <c r="F7" i="14"/>
  <c r="F18" i="14"/>
  <c r="F8" i="14"/>
  <c r="F28" i="14"/>
  <c r="F21" i="14"/>
  <c r="F19" i="14"/>
  <c r="F9" i="14"/>
  <c r="F27" i="14"/>
  <c r="F10" i="14"/>
  <c r="F2" i="14"/>
  <c r="F12" i="14"/>
  <c r="F3" i="14"/>
  <c r="F5" i="14"/>
  <c r="F11" i="14"/>
  <c r="F20" i="14"/>
  <c r="F4" i="14"/>
  <c r="F13" i="14"/>
  <c r="N59" i="14"/>
  <c r="N51" i="14"/>
  <c r="N60" i="14"/>
  <c r="N52" i="14"/>
  <c r="N44" i="14"/>
  <c r="N61" i="14"/>
  <c r="N53" i="14"/>
  <c r="N45" i="14"/>
  <c r="N55" i="14"/>
  <c r="N47" i="14"/>
  <c r="N57" i="14"/>
  <c r="N49" i="14"/>
  <c r="N41" i="14"/>
  <c r="N58" i="14"/>
  <c r="N42" i="14"/>
  <c r="N38" i="14"/>
  <c r="N30" i="14"/>
  <c r="N43" i="14"/>
  <c r="N39" i="14"/>
  <c r="N31" i="14"/>
  <c r="N32" i="14"/>
  <c r="N46" i="14"/>
  <c r="N33" i="14"/>
  <c r="N48" i="14"/>
  <c r="N40" i="14"/>
  <c r="N34" i="14"/>
  <c r="N50" i="14"/>
  <c r="N22" i="14"/>
  <c r="N37" i="14"/>
  <c r="N23" i="14"/>
  <c r="N15" i="14"/>
  <c r="N24" i="14"/>
  <c r="N16" i="14"/>
  <c r="N29" i="14"/>
  <c r="N25" i="14"/>
  <c r="N17" i="14"/>
  <c r="N36" i="14"/>
  <c r="N26" i="14"/>
  <c r="N56" i="14"/>
  <c r="N21" i="14"/>
  <c r="N14" i="14"/>
  <c r="N6" i="14"/>
  <c r="N7" i="14"/>
  <c r="N28" i="14"/>
  <c r="N27" i="14"/>
  <c r="N8" i="14"/>
  <c r="N54" i="14"/>
  <c r="N35" i="14"/>
  <c r="N20" i="14"/>
  <c r="N9" i="14"/>
  <c r="N10" i="14"/>
  <c r="N2" i="14"/>
  <c r="N5" i="14"/>
  <c r="N19" i="14"/>
  <c r="N11" i="14"/>
  <c r="N13" i="14"/>
  <c r="N4" i="14"/>
  <c r="N18" i="14"/>
  <c r="N3" i="14"/>
  <c r="N12" i="14"/>
  <c r="V59" i="14"/>
  <c r="V51" i="14"/>
  <c r="V60" i="14"/>
  <c r="V52" i="14"/>
  <c r="V44" i="14"/>
  <c r="V61" i="14"/>
  <c r="V53" i="14"/>
  <c r="V45" i="14"/>
  <c r="V55" i="14"/>
  <c r="V47" i="14"/>
  <c r="V57" i="14"/>
  <c r="V49" i="14"/>
  <c r="V41" i="14"/>
  <c r="V46" i="14"/>
  <c r="V38" i="14"/>
  <c r="V30" i="14"/>
  <c r="V48" i="14"/>
  <c r="V39" i="14"/>
  <c r="V31" i="14"/>
  <c r="V50" i="14"/>
  <c r="V32" i="14"/>
  <c r="V54" i="14"/>
  <c r="V33" i="14"/>
  <c r="V56" i="14"/>
  <c r="V42" i="14"/>
  <c r="V34" i="14"/>
  <c r="V27" i="14"/>
  <c r="V22" i="14"/>
  <c r="V14" i="14"/>
  <c r="V43" i="14"/>
  <c r="V36" i="14"/>
  <c r="V28" i="14"/>
  <c r="V23" i="14"/>
  <c r="V15" i="14"/>
  <c r="V24" i="14"/>
  <c r="V16" i="14"/>
  <c r="V25" i="14"/>
  <c r="V17" i="14"/>
  <c r="V58" i="14"/>
  <c r="V40" i="14"/>
  <c r="V35" i="14"/>
  <c r="V26" i="14"/>
  <c r="V20" i="14"/>
  <c r="V6" i="14"/>
  <c r="V37" i="14"/>
  <c r="V29" i="14"/>
  <c r="V7" i="14"/>
  <c r="V18" i="14"/>
  <c r="V8" i="14"/>
  <c r="V19" i="14"/>
  <c r="V9" i="14"/>
  <c r="V10" i="14"/>
  <c r="V2" i="14"/>
  <c r="V13" i="14"/>
  <c r="V4" i="14"/>
  <c r="V12" i="14"/>
  <c r="V3" i="14"/>
  <c r="V11" i="14"/>
  <c r="V5" i="14"/>
  <c r="V21" i="14"/>
  <c r="AD59" i="14"/>
  <c r="AD51" i="14"/>
  <c r="AD60" i="14"/>
  <c r="AD52" i="14"/>
  <c r="AD44" i="14"/>
  <c r="AD61" i="14"/>
  <c r="AD53" i="14"/>
  <c r="AD45" i="14"/>
  <c r="AD55" i="14"/>
  <c r="AD47" i="14"/>
  <c r="AD57" i="14"/>
  <c r="AD49" i="14"/>
  <c r="AD41" i="14"/>
  <c r="AD54" i="14"/>
  <c r="AD42" i="14"/>
  <c r="AD38" i="14"/>
  <c r="AD30" i="14"/>
  <c r="AD56" i="14"/>
  <c r="AD43" i="14"/>
  <c r="AD40" i="14"/>
  <c r="AD39" i="14"/>
  <c r="AD31" i="14"/>
  <c r="AD58" i="14"/>
  <c r="AD32" i="14"/>
  <c r="AD33" i="14"/>
  <c r="AD34" i="14"/>
  <c r="AD22" i="14"/>
  <c r="AD14" i="14"/>
  <c r="AD35" i="14"/>
  <c r="AD23" i="14"/>
  <c r="AD15" i="14"/>
  <c r="AD27" i="14"/>
  <c r="AD24" i="14"/>
  <c r="AD16" i="14"/>
  <c r="AD37" i="14"/>
  <c r="AD29" i="14"/>
  <c r="AD25" i="14"/>
  <c r="AD17" i="14"/>
  <c r="AD28" i="14"/>
  <c r="AD26" i="14"/>
  <c r="AD19" i="14"/>
  <c r="AD6" i="14"/>
  <c r="AD50" i="14"/>
  <c r="AD7" i="14"/>
  <c r="AD21" i="14"/>
  <c r="AD8" i="14"/>
  <c r="AD9" i="14"/>
  <c r="AD48" i="14"/>
  <c r="AD36" i="14"/>
  <c r="AD10" i="14"/>
  <c r="AD2" i="14"/>
  <c r="AD46" i="14"/>
  <c r="AD12" i="14"/>
  <c r="AD3" i="14"/>
  <c r="AD20" i="14"/>
  <c r="AD5" i="14"/>
  <c r="AD18" i="14"/>
  <c r="AD11" i="14"/>
  <c r="AD13" i="14"/>
  <c r="AD4" i="14"/>
  <c r="C54" i="6"/>
  <c r="C46" i="6"/>
  <c r="C38" i="6"/>
  <c r="C30" i="6"/>
  <c r="C55" i="6"/>
  <c r="C47" i="6"/>
  <c r="C31" i="6"/>
  <c r="C56" i="6"/>
  <c r="C48" i="6"/>
  <c r="C40" i="6"/>
  <c r="C24" i="6"/>
  <c r="C57" i="6"/>
  <c r="C41" i="6"/>
  <c r="C33" i="6"/>
  <c r="C25" i="6"/>
  <c r="C58" i="6"/>
  <c r="C50" i="6"/>
  <c r="C42" i="6"/>
  <c r="C26" i="6"/>
  <c r="C59" i="6"/>
  <c r="C51" i="6"/>
  <c r="C43" i="6"/>
  <c r="C35" i="6"/>
  <c r="C27" i="6"/>
  <c r="C60" i="6"/>
  <c r="C52" i="6"/>
  <c r="C44" i="6"/>
  <c r="C36" i="6"/>
  <c r="C28" i="6"/>
  <c r="C37" i="6"/>
  <c r="C29" i="6"/>
  <c r="C16" i="6"/>
  <c r="C8" i="6"/>
  <c r="C17" i="6"/>
  <c r="C9" i="6"/>
  <c r="C53" i="6"/>
  <c r="C18" i="6"/>
  <c r="C10" i="6"/>
  <c r="C61" i="6"/>
  <c r="C19" i="6"/>
  <c r="C11" i="6"/>
  <c r="C20" i="6"/>
  <c r="C12" i="6"/>
  <c r="C21" i="6"/>
  <c r="C13" i="6"/>
  <c r="C45" i="6"/>
  <c r="C22" i="6"/>
  <c r="C14" i="6"/>
  <c r="C15" i="6"/>
  <c r="C2" i="7" s="1"/>
  <c r="C4" i="6"/>
  <c r="C7" i="6"/>
  <c r="C5" i="6"/>
  <c r="C2" i="6"/>
  <c r="C3" i="6"/>
  <c r="D60" i="8"/>
  <c r="D52" i="8"/>
  <c r="D44" i="8"/>
  <c r="D36" i="8"/>
  <c r="D53" i="8"/>
  <c r="D48" i="8"/>
  <c r="D55" i="8"/>
  <c r="D54" i="8"/>
  <c r="D51" i="8"/>
  <c r="D41" i="8"/>
  <c r="D33" i="8"/>
  <c r="D25" i="8"/>
  <c r="D17" i="8"/>
  <c r="D9" i="8"/>
  <c r="D58" i="8"/>
  <c r="D57" i="8"/>
  <c r="D56" i="8"/>
  <c r="D38" i="8"/>
  <c r="D34" i="8"/>
  <c r="D26" i="8"/>
  <c r="D18" i="8"/>
  <c r="D10" i="8"/>
  <c r="D2" i="8"/>
  <c r="D43" i="8"/>
  <c r="D27" i="8"/>
  <c r="D19" i="8"/>
  <c r="D61" i="8"/>
  <c r="D40" i="8"/>
  <c r="D35" i="8"/>
  <c r="D28" i="8"/>
  <c r="D20" i="8"/>
  <c r="D59" i="8"/>
  <c r="D24" i="8"/>
  <c r="D4" i="8"/>
  <c r="D37" i="8"/>
  <c r="D29" i="8"/>
  <c r="D16" i="8"/>
  <c r="D5" i="8"/>
  <c r="D30" i="8"/>
  <c r="D13" i="8"/>
  <c r="D6" i="8"/>
  <c r="D50" i="8"/>
  <c r="D46" i="8"/>
  <c r="D31" i="8"/>
  <c r="D7" i="8"/>
  <c r="D49" i="8"/>
  <c r="D32" i="8"/>
  <c r="D15" i="8"/>
  <c r="D2" i="9" s="1"/>
  <c r="D21" i="8"/>
  <c r="D11" i="8"/>
  <c r="D45" i="8"/>
  <c r="D42" i="8"/>
  <c r="D22" i="8"/>
  <c r="D8" i="8"/>
  <c r="D3" i="8"/>
  <c r="D47" i="8"/>
  <c r="D14" i="8"/>
  <c r="D12" i="8"/>
  <c r="D23" i="8"/>
  <c r="D39" i="8"/>
  <c r="L60" i="8"/>
  <c r="L52" i="8"/>
  <c r="L44" i="8"/>
  <c r="L36" i="8"/>
  <c r="L61" i="8"/>
  <c r="L56" i="8"/>
  <c r="L51" i="8"/>
  <c r="L48" i="8"/>
  <c r="L47" i="8"/>
  <c r="L46" i="8"/>
  <c r="L33" i="8"/>
  <c r="L25" i="8"/>
  <c r="L17" i="8"/>
  <c r="L9" i="8"/>
  <c r="L53" i="8"/>
  <c r="L50" i="8"/>
  <c r="L49" i="8"/>
  <c r="L41" i="8"/>
  <c r="L34" i="8"/>
  <c r="L26" i="8"/>
  <c r="L18" i="8"/>
  <c r="L10" i="8"/>
  <c r="L2" i="8"/>
  <c r="L55" i="8"/>
  <c r="L54" i="8"/>
  <c r="L38" i="8"/>
  <c r="L27" i="8"/>
  <c r="L19" i="8"/>
  <c r="L58" i="8"/>
  <c r="L57" i="8"/>
  <c r="L43" i="8"/>
  <c r="L28" i="8"/>
  <c r="L20" i="8"/>
  <c r="L32" i="8"/>
  <c r="L12" i="8"/>
  <c r="L35" i="8"/>
  <c r="L21" i="8"/>
  <c r="L3" i="8"/>
  <c r="L59" i="8"/>
  <c r="L22" i="8"/>
  <c r="L14" i="8"/>
  <c r="L4" i="8"/>
  <c r="L42" i="8"/>
  <c r="L23" i="8"/>
  <c r="L5" i="8"/>
  <c r="L45" i="8"/>
  <c r="L39" i="8"/>
  <c r="L24" i="8"/>
  <c r="L16" i="8"/>
  <c r="L40" i="8"/>
  <c r="L29" i="8"/>
  <c r="L13" i="8"/>
  <c r="L7" i="8"/>
  <c r="L37" i="8"/>
  <c r="L30" i="8"/>
  <c r="L11" i="8"/>
  <c r="L31" i="8"/>
  <c r="L15" i="8"/>
  <c r="L2" i="9" s="1"/>
  <c r="L8" i="8"/>
  <c r="L6" i="8"/>
  <c r="T60" i="8"/>
  <c r="T52" i="8"/>
  <c r="T44" i="8"/>
  <c r="T36" i="8"/>
  <c r="T59" i="8"/>
  <c r="T46" i="8"/>
  <c r="T58" i="8"/>
  <c r="T61" i="8"/>
  <c r="T39" i="8"/>
  <c r="T33" i="8"/>
  <c r="T25" i="8"/>
  <c r="T17" i="8"/>
  <c r="T9" i="8"/>
  <c r="T45" i="8"/>
  <c r="T34" i="8"/>
  <c r="T26" i="8"/>
  <c r="T18" i="8"/>
  <c r="T10" i="8"/>
  <c r="T2" i="8"/>
  <c r="T48" i="8"/>
  <c r="T47" i="8"/>
  <c r="T41" i="8"/>
  <c r="T27" i="8"/>
  <c r="T19" i="8"/>
  <c r="T53" i="8"/>
  <c r="T51" i="8"/>
  <c r="T50" i="8"/>
  <c r="T49" i="8"/>
  <c r="T38" i="8"/>
  <c r="T28" i="8"/>
  <c r="T20" i="8"/>
  <c r="T56" i="8"/>
  <c r="T55" i="8"/>
  <c r="T54" i="8"/>
  <c r="T57" i="8"/>
  <c r="T42" i="8"/>
  <c r="T24" i="8"/>
  <c r="T13" i="8"/>
  <c r="T8" i="8"/>
  <c r="T43" i="8"/>
  <c r="T29" i="8"/>
  <c r="T11" i="8"/>
  <c r="T40" i="8"/>
  <c r="T30" i="8"/>
  <c r="T15" i="8"/>
  <c r="T2" i="9" s="1"/>
  <c r="T37" i="8"/>
  <c r="T31" i="8"/>
  <c r="T12" i="8"/>
  <c r="T3" i="8"/>
  <c r="T32" i="8"/>
  <c r="T21" i="8"/>
  <c r="T14" i="8"/>
  <c r="T5" i="8"/>
  <c r="T35" i="8"/>
  <c r="T22" i="8"/>
  <c r="T16" i="8"/>
  <c r="T23" i="8"/>
  <c r="T7" i="8"/>
  <c r="T6" i="8"/>
  <c r="T4" i="8"/>
  <c r="AB60" i="8"/>
  <c r="AB52" i="8"/>
  <c r="AB44" i="8"/>
  <c r="AB36" i="8"/>
  <c r="AB54" i="8"/>
  <c r="AB49" i="8"/>
  <c r="AB58" i="8"/>
  <c r="AB42" i="8"/>
  <c r="AB33" i="8"/>
  <c r="AB25" i="8"/>
  <c r="AB17" i="8"/>
  <c r="AB9" i="8"/>
  <c r="AB39" i="8"/>
  <c r="AB34" i="8"/>
  <c r="AB26" i="8"/>
  <c r="AB18" i="8"/>
  <c r="AB10" i="8"/>
  <c r="AB2" i="8"/>
  <c r="AB27" i="8"/>
  <c r="AB19" i="8"/>
  <c r="AB61" i="8"/>
  <c r="AB46" i="8"/>
  <c r="AB45" i="8"/>
  <c r="AB41" i="8"/>
  <c r="AB28" i="8"/>
  <c r="AB20" i="8"/>
  <c r="AB59" i="8"/>
  <c r="AB48" i="8"/>
  <c r="AB47" i="8"/>
  <c r="AB53" i="8"/>
  <c r="AB51" i="8"/>
  <c r="AB37" i="8"/>
  <c r="AB32" i="8"/>
  <c r="AB14" i="8"/>
  <c r="AB6" i="8"/>
  <c r="AB38" i="8"/>
  <c r="AB21" i="8"/>
  <c r="AB7" i="8"/>
  <c r="AB57" i="8"/>
  <c r="AB22" i="8"/>
  <c r="AB16" i="8"/>
  <c r="AB8" i="8"/>
  <c r="AB50" i="8"/>
  <c r="AB35" i="8"/>
  <c r="AB23" i="8"/>
  <c r="AB13" i="8"/>
  <c r="AB11" i="8"/>
  <c r="AB24" i="8"/>
  <c r="AB55" i="8"/>
  <c r="AB29" i="8"/>
  <c r="AB15" i="8"/>
  <c r="AB2" i="9" s="1"/>
  <c r="AB43" i="8"/>
  <c r="AB30" i="8"/>
  <c r="AB56" i="8"/>
  <c r="AB40" i="8"/>
  <c r="AB31" i="8"/>
  <c r="AB5" i="8"/>
  <c r="AB4" i="8"/>
  <c r="AB3" i="8"/>
  <c r="AB12" i="8"/>
  <c r="E59" i="10"/>
  <c r="E51" i="10"/>
  <c r="E60" i="10"/>
  <c r="E52" i="10"/>
  <c r="E61" i="10"/>
  <c r="E53" i="10"/>
  <c r="E54" i="10"/>
  <c r="E46" i="10"/>
  <c r="E55" i="10"/>
  <c r="E47" i="10"/>
  <c r="E38" i="10"/>
  <c r="E31" i="10"/>
  <c r="E15" i="10"/>
  <c r="E2" i="11" s="1"/>
  <c r="E57" i="10"/>
  <c r="E40" i="10"/>
  <c r="E24" i="10"/>
  <c r="E16" i="10"/>
  <c r="E8" i="10"/>
  <c r="E41" i="10"/>
  <c r="E33" i="10"/>
  <c r="E25" i="10"/>
  <c r="E17" i="10"/>
  <c r="E9" i="10"/>
  <c r="E50" i="10"/>
  <c r="E48" i="10"/>
  <c r="E42" i="10"/>
  <c r="E26" i="10"/>
  <c r="E37" i="10"/>
  <c r="E27" i="10"/>
  <c r="E19" i="10"/>
  <c r="E14" i="10"/>
  <c r="E2" i="10"/>
  <c r="E28" i="10"/>
  <c r="E56" i="10"/>
  <c r="E44" i="10"/>
  <c r="E29" i="10"/>
  <c r="E21" i="10"/>
  <c r="E36" i="10"/>
  <c r="E30" i="10"/>
  <c r="E22" i="10"/>
  <c r="E13" i="10"/>
  <c r="E58" i="10"/>
  <c r="E43" i="10"/>
  <c r="E11" i="10"/>
  <c r="E4" i="10"/>
  <c r="E12" i="10"/>
  <c r="E7" i="10"/>
  <c r="E45" i="10"/>
  <c r="E35" i="10"/>
  <c r="E5" i="10"/>
  <c r="E3" i="10"/>
  <c r="E20" i="10"/>
  <c r="E18" i="10"/>
  <c r="E10" i="10"/>
  <c r="G60" i="14"/>
  <c r="G52" i="14"/>
  <c r="G61" i="14"/>
  <c r="G53" i="14"/>
  <c r="G45" i="14"/>
  <c r="G54" i="14"/>
  <c r="G46" i="14"/>
  <c r="G56" i="14"/>
  <c r="G48" i="14"/>
  <c r="G40" i="14"/>
  <c r="G58" i="14"/>
  <c r="G50" i="14"/>
  <c r="G42" i="14"/>
  <c r="G39" i="14"/>
  <c r="G31" i="14"/>
  <c r="G32" i="14"/>
  <c r="G47" i="14"/>
  <c r="G33" i="14"/>
  <c r="G49" i="14"/>
  <c r="G34" i="14"/>
  <c r="G51" i="14"/>
  <c r="G43" i="14"/>
  <c r="G41" i="14"/>
  <c r="G35" i="14"/>
  <c r="G38" i="14"/>
  <c r="G23" i="14"/>
  <c r="G15" i="14"/>
  <c r="G24" i="14"/>
  <c r="G16" i="14"/>
  <c r="G25" i="14"/>
  <c r="G17" i="14"/>
  <c r="G59" i="14"/>
  <c r="G57" i="14"/>
  <c r="G55" i="14"/>
  <c r="G37" i="14"/>
  <c r="G26" i="14"/>
  <c r="G18" i="14"/>
  <c r="G28" i="14"/>
  <c r="G27" i="14"/>
  <c r="G7" i="14"/>
  <c r="G8" i="14"/>
  <c r="G21" i="14"/>
  <c r="G19" i="14"/>
  <c r="G9" i="14"/>
  <c r="G10" i="14"/>
  <c r="G2" i="14"/>
  <c r="G44" i="14"/>
  <c r="G29" i="14"/>
  <c r="G11" i="14"/>
  <c r="G3" i="14"/>
  <c r="G6" i="14"/>
  <c r="G12" i="14"/>
  <c r="G14" i="14"/>
  <c r="G5" i="14"/>
  <c r="G36" i="14"/>
  <c r="G20" i="14"/>
  <c r="G4" i="14"/>
  <c r="G13" i="14"/>
  <c r="G30" i="14"/>
  <c r="G22" i="14"/>
  <c r="O60" i="14"/>
  <c r="O52" i="14"/>
  <c r="O61" i="14"/>
  <c r="O53" i="14"/>
  <c r="O45" i="14"/>
  <c r="O54" i="14"/>
  <c r="O46" i="14"/>
  <c r="O56" i="14"/>
  <c r="O48" i="14"/>
  <c r="O40" i="14"/>
  <c r="O58" i="14"/>
  <c r="O50" i="14"/>
  <c r="O42" i="14"/>
  <c r="O49" i="14"/>
  <c r="O43" i="14"/>
  <c r="O39" i="14"/>
  <c r="O31" i="14"/>
  <c r="O51" i="14"/>
  <c r="O44" i="14"/>
  <c r="O32" i="14"/>
  <c r="O55" i="14"/>
  <c r="O33" i="14"/>
  <c r="O57" i="14"/>
  <c r="O34" i="14"/>
  <c r="O59" i="14"/>
  <c r="O35" i="14"/>
  <c r="O37" i="14"/>
  <c r="O23" i="14"/>
  <c r="O15" i="14"/>
  <c r="O24" i="14"/>
  <c r="O16" i="14"/>
  <c r="O29" i="14"/>
  <c r="O25" i="14"/>
  <c r="O17" i="14"/>
  <c r="O36" i="14"/>
  <c r="O30" i="14"/>
  <c r="O26" i="14"/>
  <c r="O18" i="14"/>
  <c r="O7" i="14"/>
  <c r="O28" i="14"/>
  <c r="O27" i="14"/>
  <c r="O8" i="14"/>
  <c r="O20" i="14"/>
  <c r="O9" i="14"/>
  <c r="O41" i="14"/>
  <c r="O10" i="14"/>
  <c r="O2" i="14"/>
  <c r="O22" i="14"/>
  <c r="O11" i="14"/>
  <c r="O3" i="14"/>
  <c r="O14" i="14"/>
  <c r="O5" i="14"/>
  <c r="O21" i="14"/>
  <c r="O19" i="14"/>
  <c r="O13" i="14"/>
  <c r="O4" i="14"/>
  <c r="O47" i="14"/>
  <c r="O38" i="14"/>
  <c r="O12" i="14"/>
  <c r="O6" i="14"/>
  <c r="W60" i="14"/>
  <c r="W52" i="14"/>
  <c r="W61" i="14"/>
  <c r="W53" i="14"/>
  <c r="W45" i="14"/>
  <c r="W54" i="14"/>
  <c r="W46" i="14"/>
  <c r="W56" i="14"/>
  <c r="W48" i="14"/>
  <c r="W40" i="14"/>
  <c r="W58" i="14"/>
  <c r="W50" i="14"/>
  <c r="W42" i="14"/>
  <c r="W57" i="14"/>
  <c r="W39" i="14"/>
  <c r="W31" i="14"/>
  <c r="W59" i="14"/>
  <c r="W32" i="14"/>
  <c r="W33" i="14"/>
  <c r="W41" i="14"/>
  <c r="W34" i="14"/>
  <c r="W47" i="14"/>
  <c r="W43" i="14"/>
  <c r="W35" i="14"/>
  <c r="W36" i="14"/>
  <c r="W28" i="14"/>
  <c r="W23" i="14"/>
  <c r="W15" i="14"/>
  <c r="W24" i="14"/>
  <c r="W16" i="14"/>
  <c r="W55" i="14"/>
  <c r="W38" i="14"/>
  <c r="W25" i="14"/>
  <c r="W17" i="14"/>
  <c r="W51" i="14"/>
  <c r="W49" i="14"/>
  <c r="W44" i="14"/>
  <c r="W26" i="14"/>
  <c r="W18" i="14"/>
  <c r="W19" i="14"/>
  <c r="W37" i="14"/>
  <c r="W29" i="14"/>
  <c r="W27" i="14"/>
  <c r="W7" i="14"/>
  <c r="W22" i="14"/>
  <c r="W14" i="14"/>
  <c r="W8" i="14"/>
  <c r="W9" i="14"/>
  <c r="W30" i="14"/>
  <c r="W10" i="14"/>
  <c r="W2" i="14"/>
  <c r="W21" i="14"/>
  <c r="W11" i="14"/>
  <c r="W3" i="14"/>
  <c r="W13" i="14"/>
  <c r="W4" i="14"/>
  <c r="W6" i="14"/>
  <c r="W12" i="14"/>
  <c r="W20" i="14"/>
  <c r="W5" i="14"/>
  <c r="AE60" i="14"/>
  <c r="AE52" i="14"/>
  <c r="AE61" i="14"/>
  <c r="AE53" i="14"/>
  <c r="AE45" i="14"/>
  <c r="AE54" i="14"/>
  <c r="AE46" i="14"/>
  <c r="AE56" i="14"/>
  <c r="AE48" i="14"/>
  <c r="AE40" i="14"/>
  <c r="AE58" i="14"/>
  <c r="AE50" i="14"/>
  <c r="AE42" i="14"/>
  <c r="AE43" i="14"/>
  <c r="AE39" i="14"/>
  <c r="AE31" i="14"/>
  <c r="AE47" i="14"/>
  <c r="AE44" i="14"/>
  <c r="AE32" i="14"/>
  <c r="AE49" i="14"/>
  <c r="AE33" i="14"/>
  <c r="AE51" i="14"/>
  <c r="AE34" i="14"/>
  <c r="AE55" i="14"/>
  <c r="AE35" i="14"/>
  <c r="AE23" i="14"/>
  <c r="AE15" i="14"/>
  <c r="AE27" i="14"/>
  <c r="AE24" i="14"/>
  <c r="AE16" i="14"/>
  <c r="AE37" i="14"/>
  <c r="AE29" i="14"/>
  <c r="AE25" i="14"/>
  <c r="AE17" i="14"/>
  <c r="AE30" i="14"/>
  <c r="AE28" i="14"/>
  <c r="AE26" i="14"/>
  <c r="AE18" i="14"/>
  <c r="AE41" i="14"/>
  <c r="AE19" i="14"/>
  <c r="AE7" i="14"/>
  <c r="AE21" i="14"/>
  <c r="AE8" i="14"/>
  <c r="AE59" i="14"/>
  <c r="AE9" i="14"/>
  <c r="AE36" i="14"/>
  <c r="AE10" i="14"/>
  <c r="AE2" i="14"/>
  <c r="AE38" i="14"/>
  <c r="AE20" i="14"/>
  <c r="AE11" i="14"/>
  <c r="AE3" i="14"/>
  <c r="AE57" i="14"/>
  <c r="AE12" i="14"/>
  <c r="AE22" i="14"/>
  <c r="AE5" i="14"/>
  <c r="AE14" i="14"/>
  <c r="AE13" i="14"/>
  <c r="AE4" i="14"/>
  <c r="AE6" i="14"/>
  <c r="K69" i="2" l="1"/>
  <c r="L6" i="3" s="1"/>
  <c r="J69" i="2"/>
  <c r="K6" i="3" s="1"/>
  <c r="Q69" i="2"/>
  <c r="R6" i="3" s="1"/>
  <c r="I69" i="2"/>
  <c r="J6" i="3" s="1"/>
  <c r="P69" i="2"/>
  <c r="Q6" i="3" s="1"/>
  <c r="H69" i="2"/>
  <c r="I6" i="3" s="1"/>
  <c r="O69" i="2"/>
  <c r="P6" i="3" s="1"/>
  <c r="G69" i="2"/>
  <c r="H6" i="3" s="1"/>
  <c r="N69" i="2"/>
  <c r="O6" i="3" s="1"/>
  <c r="F69" i="2"/>
  <c r="G6" i="3" s="1"/>
  <c r="M69" i="2"/>
  <c r="N6" i="3" s="1"/>
  <c r="L69" i="2"/>
  <c r="M6" i="3" s="1"/>
  <c r="R69" i="2"/>
  <c r="S6" i="3" s="1"/>
  <c r="U69" i="2"/>
  <c r="V6" i="3" s="1"/>
  <c r="S69" i="2"/>
  <c r="T6" i="3" s="1"/>
  <c r="T69" i="2"/>
  <c r="U6" i="3" s="1"/>
  <c r="S65" i="2"/>
  <c r="T2" i="3" s="1"/>
  <c r="T16" i="2"/>
  <c r="L34" i="2"/>
  <c r="G35" i="2"/>
  <c r="L35" i="2" s="1"/>
  <c r="W18" i="2"/>
  <c r="S54" i="6"/>
  <c r="S46" i="6"/>
  <c r="S38" i="6"/>
  <c r="S30" i="6"/>
  <c r="S55" i="6"/>
  <c r="S47" i="6"/>
  <c r="S39" i="6"/>
  <c r="S31" i="6"/>
  <c r="S56" i="6"/>
  <c r="S48" i="6"/>
  <c r="S40" i="6"/>
  <c r="S32" i="6"/>
  <c r="S24" i="6"/>
  <c r="S57" i="6"/>
  <c r="S49" i="6"/>
  <c r="S41" i="6"/>
  <c r="S33" i="6"/>
  <c r="S25" i="6"/>
  <c r="S58" i="6"/>
  <c r="S50" i="6"/>
  <c r="S42" i="6"/>
  <c r="S34" i="6"/>
  <c r="S26" i="6"/>
  <c r="S59" i="6"/>
  <c r="S51" i="6"/>
  <c r="S43" i="6"/>
  <c r="S35" i="6"/>
  <c r="S27" i="6"/>
  <c r="S60" i="6"/>
  <c r="S52" i="6"/>
  <c r="S44" i="6"/>
  <c r="S36" i="6"/>
  <c r="S28" i="6"/>
  <c r="S53" i="6"/>
  <c r="S16" i="6"/>
  <c r="S8" i="6"/>
  <c r="S61" i="6"/>
  <c r="S17" i="6"/>
  <c r="S9" i="6"/>
  <c r="S18" i="6"/>
  <c r="S10" i="6"/>
  <c r="S19" i="6"/>
  <c r="S11" i="6"/>
  <c r="S45" i="6"/>
  <c r="S20" i="6"/>
  <c r="S12" i="6"/>
  <c r="S21" i="6"/>
  <c r="S13" i="6"/>
  <c r="S37" i="6"/>
  <c r="S29" i="6"/>
  <c r="S22" i="6"/>
  <c r="S14" i="6"/>
  <c r="S23" i="6"/>
  <c r="S15" i="6"/>
  <c r="S2" i="7" s="1"/>
  <c r="S7" i="6"/>
  <c r="S4" i="6"/>
  <c r="S5" i="6"/>
  <c r="S6" i="6"/>
  <c r="S2" i="6"/>
  <c r="S3" i="6"/>
  <c r="U19" i="2"/>
  <c r="T67" i="2"/>
  <c r="U4" i="3" s="1"/>
  <c r="T70" i="2"/>
  <c r="U7" i="3" s="1"/>
  <c r="R61" i="6"/>
  <c r="R53" i="6"/>
  <c r="R45" i="6"/>
  <c r="R37" i="6"/>
  <c r="R29" i="6"/>
  <c r="R54" i="6"/>
  <c r="R46" i="6"/>
  <c r="R38" i="6"/>
  <c r="R30" i="6"/>
  <c r="R55" i="6"/>
  <c r="R47" i="6"/>
  <c r="R39" i="6"/>
  <c r="R31" i="6"/>
  <c r="R56" i="6"/>
  <c r="R48" i="6"/>
  <c r="R40" i="6"/>
  <c r="R32" i="6"/>
  <c r="R24" i="6"/>
  <c r="R57" i="6"/>
  <c r="R49" i="6"/>
  <c r="R41" i="6"/>
  <c r="R33" i="6"/>
  <c r="R25" i="6"/>
  <c r="R58" i="6"/>
  <c r="R50" i="6"/>
  <c r="R42" i="6"/>
  <c r="R34" i="6"/>
  <c r="R26" i="6"/>
  <c r="R59" i="6"/>
  <c r="R51" i="6"/>
  <c r="R43" i="6"/>
  <c r="R35" i="6"/>
  <c r="R27" i="6"/>
  <c r="R44" i="6"/>
  <c r="R23" i="6"/>
  <c r="R15" i="6"/>
  <c r="R2" i="7" s="1"/>
  <c r="R7" i="6"/>
  <c r="R16" i="6"/>
  <c r="R8" i="6"/>
  <c r="R36" i="6"/>
  <c r="R28" i="6"/>
  <c r="R17" i="6"/>
  <c r="R9" i="6"/>
  <c r="R18" i="6"/>
  <c r="R10" i="6"/>
  <c r="R52" i="6"/>
  <c r="R19" i="6"/>
  <c r="R11" i="6"/>
  <c r="R60" i="6"/>
  <c r="R20" i="6"/>
  <c r="R12" i="6"/>
  <c r="R21" i="6"/>
  <c r="R13" i="6"/>
  <c r="R22" i="6"/>
  <c r="R14" i="6"/>
  <c r="R3" i="6"/>
  <c r="R4" i="6"/>
  <c r="R5" i="6"/>
  <c r="R6" i="6"/>
  <c r="R2" i="6"/>
  <c r="T66" i="2"/>
  <c r="U3" i="3" s="1"/>
  <c r="T6" i="4" s="1"/>
  <c r="U17" i="2"/>
  <c r="T58" i="10" l="1"/>
  <c r="T50" i="10"/>
  <c r="T59" i="10"/>
  <c r="T51" i="10"/>
  <c r="T60" i="10"/>
  <c r="T52" i="10"/>
  <c r="T61" i="10"/>
  <c r="T53" i="10"/>
  <c r="T54" i="10"/>
  <c r="T46" i="10"/>
  <c r="T56" i="10"/>
  <c r="T45" i="10"/>
  <c r="T37" i="10"/>
  <c r="T38" i="10"/>
  <c r="T30" i="10"/>
  <c r="T22" i="10"/>
  <c r="T14" i="10"/>
  <c r="T49" i="10"/>
  <c r="T47" i="10"/>
  <c r="T39" i="10"/>
  <c r="T31" i="10"/>
  <c r="T23" i="10"/>
  <c r="T15" i="10"/>
  <c r="T2" i="11" s="1"/>
  <c r="T7" i="10"/>
  <c r="T55" i="10"/>
  <c r="T40" i="10"/>
  <c r="T32" i="10"/>
  <c r="T24" i="10"/>
  <c r="T16" i="10"/>
  <c r="T8" i="10"/>
  <c r="T41" i="10"/>
  <c r="T33" i="10"/>
  <c r="T25" i="10"/>
  <c r="T43" i="10"/>
  <c r="T26" i="10"/>
  <c r="T18" i="10"/>
  <c r="T11" i="10"/>
  <c r="T3" i="10"/>
  <c r="T35" i="10"/>
  <c r="T27" i="10"/>
  <c r="T48" i="10"/>
  <c r="T28" i="10"/>
  <c r="T20" i="10"/>
  <c r="T13" i="10"/>
  <c r="T42" i="10"/>
  <c r="T29" i="10"/>
  <c r="T21" i="10"/>
  <c r="T17" i="10"/>
  <c r="T10" i="10"/>
  <c r="T2" i="10"/>
  <c r="T44" i="10"/>
  <c r="T57" i="10"/>
  <c r="T19" i="10"/>
  <c r="T5" i="10"/>
  <c r="T12" i="10"/>
  <c r="T6" i="10"/>
  <c r="T4" i="10"/>
  <c r="T36" i="10"/>
  <c r="T34" i="10"/>
  <c r="T9" i="10"/>
  <c r="G61" i="10"/>
  <c r="G53" i="10"/>
  <c r="G54" i="10"/>
  <c r="G46" i="10"/>
  <c r="G55" i="10"/>
  <c r="G47" i="10"/>
  <c r="G56" i="10"/>
  <c r="G48" i="10"/>
  <c r="G57" i="10"/>
  <c r="G49" i="10"/>
  <c r="G40" i="10"/>
  <c r="G41" i="10"/>
  <c r="G33" i="10"/>
  <c r="G25" i="10"/>
  <c r="G17" i="10"/>
  <c r="G59" i="10"/>
  <c r="G50" i="10"/>
  <c r="G42" i="10"/>
  <c r="G34" i="10"/>
  <c r="G26" i="10"/>
  <c r="G18" i="10"/>
  <c r="G10" i="10"/>
  <c r="G2" i="10"/>
  <c r="G43" i="10"/>
  <c r="G35" i="10"/>
  <c r="G27" i="10"/>
  <c r="G19" i="10"/>
  <c r="G11" i="10"/>
  <c r="G52" i="10"/>
  <c r="G44" i="10"/>
  <c r="G36" i="10"/>
  <c r="G28" i="10"/>
  <c r="G20" i="10"/>
  <c r="G29" i="10"/>
  <c r="G21" i="10"/>
  <c r="G16" i="10"/>
  <c r="G8" i="10"/>
  <c r="G4" i="10"/>
  <c r="G30" i="10"/>
  <c r="G22" i="10"/>
  <c r="G31" i="10"/>
  <c r="G51" i="10"/>
  <c r="G38" i="10"/>
  <c r="G15" i="10"/>
  <c r="G2" i="11" s="1"/>
  <c r="G3" i="10"/>
  <c r="G58" i="10"/>
  <c r="G39" i="10"/>
  <c r="G45" i="10"/>
  <c r="G60" i="10"/>
  <c r="G12" i="10"/>
  <c r="G32" i="10"/>
  <c r="G7" i="10"/>
  <c r="G13" i="10"/>
  <c r="G5" i="10"/>
  <c r="G23" i="10"/>
  <c r="G37" i="10"/>
  <c r="G6" i="10"/>
  <c r="G24" i="10"/>
  <c r="G14" i="10"/>
  <c r="G9" i="10"/>
  <c r="S57" i="10"/>
  <c r="S49" i="10"/>
  <c r="S58" i="10"/>
  <c r="S50" i="10"/>
  <c r="S59" i="10"/>
  <c r="S51" i="10"/>
  <c r="S60" i="10"/>
  <c r="S52" i="10"/>
  <c r="S61" i="10"/>
  <c r="S53" i="10"/>
  <c r="S48" i="10"/>
  <c r="S44" i="10"/>
  <c r="S36" i="10"/>
  <c r="S56" i="10"/>
  <c r="S45" i="10"/>
  <c r="S37" i="10"/>
  <c r="S29" i="10"/>
  <c r="S21" i="10"/>
  <c r="S13" i="10"/>
  <c r="S38" i="10"/>
  <c r="S30" i="10"/>
  <c r="S22" i="10"/>
  <c r="S14" i="10"/>
  <c r="S6" i="10"/>
  <c r="S47" i="10"/>
  <c r="S39" i="10"/>
  <c r="S31" i="10"/>
  <c r="S23" i="10"/>
  <c r="S15" i="10"/>
  <c r="S2" i="11" s="1"/>
  <c r="S7" i="10"/>
  <c r="S55" i="10"/>
  <c r="S40" i="10"/>
  <c r="S32" i="10"/>
  <c r="S24" i="10"/>
  <c r="S33" i="10"/>
  <c r="S25" i="10"/>
  <c r="S43" i="10"/>
  <c r="S26" i="10"/>
  <c r="S46" i="10"/>
  <c r="S35" i="10"/>
  <c r="S27" i="10"/>
  <c r="S19" i="10"/>
  <c r="S28" i="10"/>
  <c r="S20" i="10"/>
  <c r="S5" i="10"/>
  <c r="S42" i="10"/>
  <c r="S34" i="10"/>
  <c r="S9" i="10"/>
  <c r="S4" i="10"/>
  <c r="S2" i="10"/>
  <c r="S10" i="10"/>
  <c r="S8" i="10"/>
  <c r="S18" i="10"/>
  <c r="S16" i="10"/>
  <c r="S11" i="10"/>
  <c r="S3" i="10"/>
  <c r="S54" i="10"/>
  <c r="S17" i="10"/>
  <c r="S12" i="10"/>
  <c r="S41" i="10"/>
  <c r="O61" i="10"/>
  <c r="O53" i="10"/>
  <c r="O54" i="10"/>
  <c r="O46" i="10"/>
  <c r="O55" i="10"/>
  <c r="O47" i="10"/>
  <c r="O56" i="10"/>
  <c r="O48" i="10"/>
  <c r="O57" i="10"/>
  <c r="O49" i="10"/>
  <c r="O40" i="10"/>
  <c r="O52" i="10"/>
  <c r="O41" i="10"/>
  <c r="O33" i="10"/>
  <c r="O25" i="10"/>
  <c r="O17" i="10"/>
  <c r="O58" i="10"/>
  <c r="O42" i="10"/>
  <c r="O34" i="10"/>
  <c r="O26" i="10"/>
  <c r="O18" i="10"/>
  <c r="O10" i="10"/>
  <c r="O2" i="10"/>
  <c r="O43" i="10"/>
  <c r="O35" i="10"/>
  <c r="O27" i="10"/>
  <c r="O19" i="10"/>
  <c r="O11" i="10"/>
  <c r="O60" i="10"/>
  <c r="O51" i="10"/>
  <c r="O44" i="10"/>
  <c r="O36" i="10"/>
  <c r="O28" i="10"/>
  <c r="O20" i="10"/>
  <c r="O38" i="10"/>
  <c r="O59" i="10"/>
  <c r="O39" i="10"/>
  <c r="O45" i="10"/>
  <c r="O23" i="10"/>
  <c r="O37" i="10"/>
  <c r="O32" i="10"/>
  <c r="O24" i="10"/>
  <c r="O16" i="10"/>
  <c r="O9" i="10"/>
  <c r="O29" i="10"/>
  <c r="O21" i="10"/>
  <c r="O50" i="10"/>
  <c r="O15" i="10"/>
  <c r="O2" i="11" s="1"/>
  <c r="O6" i="10"/>
  <c r="O30" i="10"/>
  <c r="O4" i="10"/>
  <c r="O31" i="10"/>
  <c r="O14" i="10"/>
  <c r="O8" i="10"/>
  <c r="O22" i="10"/>
  <c r="O7" i="10"/>
  <c r="O12" i="10"/>
  <c r="O5" i="10"/>
  <c r="O3" i="10"/>
  <c r="O13" i="10"/>
  <c r="U59" i="10"/>
  <c r="U51" i="10"/>
  <c r="U60" i="10"/>
  <c r="U52" i="10"/>
  <c r="U61" i="10"/>
  <c r="U53" i="10"/>
  <c r="U54" i="10"/>
  <c r="U46" i="10"/>
  <c r="U55" i="10"/>
  <c r="U47" i="10"/>
  <c r="U38" i="10"/>
  <c r="U58" i="10"/>
  <c r="U49" i="10"/>
  <c r="U39" i="10"/>
  <c r="U31" i="10"/>
  <c r="U23" i="10"/>
  <c r="U15" i="10"/>
  <c r="U2" i="11" s="1"/>
  <c r="U40" i="10"/>
  <c r="U32" i="10"/>
  <c r="U24" i="10"/>
  <c r="U16" i="10"/>
  <c r="U8" i="10"/>
  <c r="U41" i="10"/>
  <c r="U33" i="10"/>
  <c r="U25" i="10"/>
  <c r="U17" i="10"/>
  <c r="U9" i="10"/>
  <c r="U57" i="10"/>
  <c r="U42" i="10"/>
  <c r="U34" i="10"/>
  <c r="U26" i="10"/>
  <c r="U18" i="10"/>
  <c r="U35" i="10"/>
  <c r="U27" i="10"/>
  <c r="U19" i="10"/>
  <c r="U56" i="10"/>
  <c r="U48" i="10"/>
  <c r="U45" i="10"/>
  <c r="U28" i="10"/>
  <c r="U37" i="10"/>
  <c r="U29" i="10"/>
  <c r="U21" i="10"/>
  <c r="U30" i="10"/>
  <c r="U22" i="10"/>
  <c r="U44" i="10"/>
  <c r="U50" i="10"/>
  <c r="U36" i="10"/>
  <c r="U43" i="10"/>
  <c r="U10" i="10"/>
  <c r="U20" i="10"/>
  <c r="U14" i="10"/>
  <c r="U11" i="10"/>
  <c r="U7" i="10"/>
  <c r="U5" i="10"/>
  <c r="U12" i="10"/>
  <c r="U3" i="10"/>
  <c r="U6" i="10"/>
  <c r="U13" i="10"/>
  <c r="U4" i="10"/>
  <c r="U2" i="10"/>
  <c r="T57" i="12"/>
  <c r="T49" i="12"/>
  <c r="T41" i="12"/>
  <c r="T58" i="12"/>
  <c r="T50" i="12"/>
  <c r="T42" i="12"/>
  <c r="T59" i="12"/>
  <c r="T51" i="12"/>
  <c r="T43" i="12"/>
  <c r="T60" i="12"/>
  <c r="T52" i="12"/>
  <c r="T44" i="12"/>
  <c r="T61" i="12"/>
  <c r="T53" i="12"/>
  <c r="T45" i="12"/>
  <c r="T33" i="12"/>
  <c r="T25" i="12"/>
  <c r="T17" i="12"/>
  <c r="T54" i="12"/>
  <c r="T46" i="12"/>
  <c r="T34" i="12"/>
  <c r="T26" i="12"/>
  <c r="T18" i="12"/>
  <c r="T35" i="12"/>
  <c r="T27" i="12"/>
  <c r="T19" i="12"/>
  <c r="T56" i="12"/>
  <c r="T48" i="12"/>
  <c r="T36" i="12"/>
  <c r="T28" i="12"/>
  <c r="T20" i="12"/>
  <c r="T37" i="12"/>
  <c r="T29" i="12"/>
  <c r="T21" i="12"/>
  <c r="T23" i="12"/>
  <c r="T15" i="12"/>
  <c r="T2" i="13" s="1"/>
  <c r="T5" i="12"/>
  <c r="T6" i="12"/>
  <c r="T55" i="12"/>
  <c r="T47" i="12"/>
  <c r="T7" i="12"/>
  <c r="T38" i="12"/>
  <c r="T31" i="12"/>
  <c r="T8" i="12"/>
  <c r="T40" i="12"/>
  <c r="T16" i="12"/>
  <c r="T9" i="12"/>
  <c r="T14" i="12"/>
  <c r="T4" i="12"/>
  <c r="T32" i="12"/>
  <c r="T22" i="12"/>
  <c r="T11" i="12"/>
  <c r="T39" i="12"/>
  <c r="T3" i="12"/>
  <c r="T30" i="12"/>
  <c r="T2" i="12"/>
  <c r="T13" i="12"/>
  <c r="T10" i="12"/>
  <c r="T24" i="12"/>
  <c r="T12" i="12"/>
  <c r="R56" i="10"/>
  <c r="R48" i="10"/>
  <c r="R57" i="10"/>
  <c r="R49" i="10"/>
  <c r="R58" i="10"/>
  <c r="R50" i="10"/>
  <c r="R59" i="10"/>
  <c r="R51" i="10"/>
  <c r="R60" i="10"/>
  <c r="R52" i="10"/>
  <c r="R54" i="10"/>
  <c r="R43" i="10"/>
  <c r="R35" i="10"/>
  <c r="R44" i="10"/>
  <c r="R36" i="10"/>
  <c r="R28" i="10"/>
  <c r="R20" i="10"/>
  <c r="R12" i="10"/>
  <c r="R45" i="10"/>
  <c r="R37" i="10"/>
  <c r="R29" i="10"/>
  <c r="R21" i="10"/>
  <c r="R13" i="10"/>
  <c r="R5" i="10"/>
  <c r="R53" i="10"/>
  <c r="R38" i="10"/>
  <c r="R30" i="10"/>
  <c r="R22" i="10"/>
  <c r="R14" i="10"/>
  <c r="R47" i="10"/>
  <c r="R39" i="10"/>
  <c r="R31" i="10"/>
  <c r="R23" i="10"/>
  <c r="R61" i="10"/>
  <c r="R41" i="10"/>
  <c r="R34" i="10"/>
  <c r="R32" i="10"/>
  <c r="R24" i="10"/>
  <c r="R16" i="10"/>
  <c r="R9" i="10"/>
  <c r="R33" i="10"/>
  <c r="R25" i="10"/>
  <c r="R26" i="10"/>
  <c r="R18" i="10"/>
  <c r="R46" i="10"/>
  <c r="R40" i="10"/>
  <c r="R27" i="10"/>
  <c r="R19" i="10"/>
  <c r="R15" i="10"/>
  <c r="R2" i="11" s="1"/>
  <c r="R55" i="10"/>
  <c r="R42" i="10"/>
  <c r="R4" i="10"/>
  <c r="R2" i="10"/>
  <c r="R10" i="10"/>
  <c r="R8" i="10"/>
  <c r="R7" i="10"/>
  <c r="R11" i="10"/>
  <c r="R3" i="10"/>
  <c r="R17" i="10"/>
  <c r="R6" i="10"/>
  <c r="P54" i="10"/>
  <c r="P46" i="10"/>
  <c r="P55" i="10"/>
  <c r="P47" i="10"/>
  <c r="P56" i="10"/>
  <c r="P48" i="10"/>
  <c r="P57" i="10"/>
  <c r="P49" i="10"/>
  <c r="P58" i="10"/>
  <c r="P50" i="10"/>
  <c r="P61" i="10"/>
  <c r="P52" i="10"/>
  <c r="P41" i="10"/>
  <c r="P42" i="10"/>
  <c r="P34" i="10"/>
  <c r="P26" i="10"/>
  <c r="P18" i="10"/>
  <c r="P10" i="10"/>
  <c r="P43" i="10"/>
  <c r="P35" i="10"/>
  <c r="P27" i="10"/>
  <c r="P19" i="10"/>
  <c r="P11" i="10"/>
  <c r="P3" i="10"/>
  <c r="P60" i="10"/>
  <c r="P51" i="10"/>
  <c r="P44" i="10"/>
  <c r="P36" i="10"/>
  <c r="P28" i="10"/>
  <c r="P20" i="10"/>
  <c r="P12" i="10"/>
  <c r="P45" i="10"/>
  <c r="P37" i="10"/>
  <c r="P29" i="10"/>
  <c r="P21" i="10"/>
  <c r="P59" i="10"/>
  <c r="P39" i="10"/>
  <c r="P14" i="10"/>
  <c r="P7" i="10"/>
  <c r="P4" i="10"/>
  <c r="P23" i="10"/>
  <c r="P53" i="10"/>
  <c r="P32" i="10"/>
  <c r="P24" i="10"/>
  <c r="P16" i="10"/>
  <c r="P33" i="10"/>
  <c r="P25" i="10"/>
  <c r="P13" i="10"/>
  <c r="P30" i="10"/>
  <c r="P22" i="10"/>
  <c r="P40" i="10"/>
  <c r="P17" i="10"/>
  <c r="P38" i="10"/>
  <c r="P9" i="10"/>
  <c r="P31" i="10"/>
  <c r="P8" i="10"/>
  <c r="P2" i="10"/>
  <c r="P5" i="10"/>
  <c r="P15" i="10"/>
  <c r="P2" i="11" s="1"/>
  <c r="P6" i="10"/>
  <c r="T55" i="6"/>
  <c r="T47" i="6"/>
  <c r="T39" i="6"/>
  <c r="T31" i="6"/>
  <c r="T56" i="6"/>
  <c r="T48" i="6"/>
  <c r="T40" i="6"/>
  <c r="T32" i="6"/>
  <c r="T24" i="6"/>
  <c r="T57" i="6"/>
  <c r="T49" i="6"/>
  <c r="T41" i="6"/>
  <c r="T33" i="6"/>
  <c r="T25" i="6"/>
  <c r="T58" i="6"/>
  <c r="T50" i="6"/>
  <c r="T42" i="6"/>
  <c r="T34" i="6"/>
  <c r="T26" i="6"/>
  <c r="T59" i="6"/>
  <c r="T51" i="6"/>
  <c r="T43" i="6"/>
  <c r="T35" i="6"/>
  <c r="T27" i="6"/>
  <c r="T60" i="6"/>
  <c r="T52" i="6"/>
  <c r="T44" i="6"/>
  <c r="T36" i="6"/>
  <c r="T28" i="6"/>
  <c r="T61" i="6"/>
  <c r="T53" i="6"/>
  <c r="T45" i="6"/>
  <c r="T37" i="6"/>
  <c r="T29" i="6"/>
  <c r="T46" i="6"/>
  <c r="T17" i="6"/>
  <c r="T9" i="6"/>
  <c r="T18" i="6"/>
  <c r="T10" i="6"/>
  <c r="T38" i="6"/>
  <c r="T30" i="6"/>
  <c r="T19" i="6"/>
  <c r="T11" i="6"/>
  <c r="T20" i="6"/>
  <c r="T12" i="6"/>
  <c r="T54" i="6"/>
  <c r="T21" i="6"/>
  <c r="T13" i="6"/>
  <c r="T22" i="6"/>
  <c r="T14" i="6"/>
  <c r="T6" i="6"/>
  <c r="T23" i="6"/>
  <c r="T15" i="6"/>
  <c r="T2" i="7" s="1"/>
  <c r="T7" i="6"/>
  <c r="T16" i="6"/>
  <c r="T8" i="6"/>
  <c r="T5" i="6"/>
  <c r="T2" i="6"/>
  <c r="T3" i="6"/>
  <c r="T4" i="6"/>
  <c r="P70" i="2"/>
  <c r="Q7" i="3" s="1"/>
  <c r="H70" i="2"/>
  <c r="I7" i="3" s="1"/>
  <c r="O70" i="2"/>
  <c r="P7" i="3" s="1"/>
  <c r="G70" i="2"/>
  <c r="H7" i="3" s="1"/>
  <c r="N70" i="2"/>
  <c r="O7" i="3" s="1"/>
  <c r="F70" i="2"/>
  <c r="G7" i="3" s="1"/>
  <c r="M70" i="2"/>
  <c r="N7" i="3" s="1"/>
  <c r="L70" i="2"/>
  <c r="M7" i="3" s="1"/>
  <c r="K70" i="2"/>
  <c r="L7" i="3" s="1"/>
  <c r="J70" i="2"/>
  <c r="K7" i="3" s="1"/>
  <c r="Q70" i="2"/>
  <c r="R7" i="3" s="1"/>
  <c r="I70" i="2"/>
  <c r="J7" i="3" s="1"/>
  <c r="R70" i="2"/>
  <c r="S7" i="3" s="1"/>
  <c r="S70" i="2"/>
  <c r="T7" i="3" s="1"/>
  <c r="L58" i="10"/>
  <c r="L50" i="10"/>
  <c r="L59" i="10"/>
  <c r="L51" i="10"/>
  <c r="L60" i="10"/>
  <c r="L52" i="10"/>
  <c r="L61" i="10"/>
  <c r="L53" i="10"/>
  <c r="L54" i="10"/>
  <c r="L46" i="10"/>
  <c r="L57" i="10"/>
  <c r="L45" i="10"/>
  <c r="L37" i="10"/>
  <c r="L38" i="10"/>
  <c r="L30" i="10"/>
  <c r="L22" i="10"/>
  <c r="L14" i="10"/>
  <c r="L48" i="10"/>
  <c r="L39" i="10"/>
  <c r="L31" i="10"/>
  <c r="L23" i="10"/>
  <c r="L15" i="10"/>
  <c r="L2" i="11" s="1"/>
  <c r="L7" i="10"/>
  <c r="L56" i="10"/>
  <c r="L40" i="10"/>
  <c r="L32" i="10"/>
  <c r="L24" i="10"/>
  <c r="L16" i="10"/>
  <c r="L8" i="10"/>
  <c r="L41" i="10"/>
  <c r="L33" i="10"/>
  <c r="L25" i="10"/>
  <c r="L55" i="10"/>
  <c r="L44" i="10"/>
  <c r="L17" i="10"/>
  <c r="L10" i="10"/>
  <c r="L36" i="10"/>
  <c r="L49" i="10"/>
  <c r="L34" i="10"/>
  <c r="L43" i="10"/>
  <c r="L35" i="10"/>
  <c r="L26" i="10"/>
  <c r="L12" i="10"/>
  <c r="L5" i="10"/>
  <c r="L29" i="10"/>
  <c r="L3" i="10"/>
  <c r="L13" i="10"/>
  <c r="L6" i="10"/>
  <c r="L42" i="10"/>
  <c r="L27" i="10"/>
  <c r="L19" i="10"/>
  <c r="L9" i="10"/>
  <c r="L20" i="10"/>
  <c r="L18" i="10"/>
  <c r="L4" i="10"/>
  <c r="L21" i="10"/>
  <c r="L2" i="10"/>
  <c r="L28" i="10"/>
  <c r="L11" i="10"/>
  <c r="L47" i="10"/>
  <c r="I55" i="10"/>
  <c r="I47" i="10"/>
  <c r="I56" i="10"/>
  <c r="I48" i="10"/>
  <c r="I57" i="10"/>
  <c r="I49" i="10"/>
  <c r="I58" i="10"/>
  <c r="I50" i="10"/>
  <c r="I59" i="10"/>
  <c r="I51" i="10"/>
  <c r="I42" i="10"/>
  <c r="I43" i="10"/>
  <c r="I35" i="10"/>
  <c r="I27" i="10"/>
  <c r="I19" i="10"/>
  <c r="I11" i="10"/>
  <c r="I61" i="10"/>
  <c r="I52" i="10"/>
  <c r="I44" i="10"/>
  <c r="I36" i="10"/>
  <c r="I28" i="10"/>
  <c r="I20" i="10"/>
  <c r="I12" i="10"/>
  <c r="I4" i="10"/>
  <c r="I46" i="10"/>
  <c r="I45" i="10"/>
  <c r="I37" i="10"/>
  <c r="I29" i="10"/>
  <c r="I21" i="10"/>
  <c r="I13" i="10"/>
  <c r="I54" i="10"/>
  <c r="I38" i="10"/>
  <c r="I30" i="10"/>
  <c r="I22" i="10"/>
  <c r="I31" i="10"/>
  <c r="I18" i="10"/>
  <c r="I39" i="10"/>
  <c r="I53" i="10"/>
  <c r="I17" i="10"/>
  <c r="I10" i="10"/>
  <c r="I5" i="10"/>
  <c r="I41" i="10"/>
  <c r="I23" i="10"/>
  <c r="I60" i="10"/>
  <c r="I32" i="10"/>
  <c r="I25" i="10"/>
  <c r="I7" i="10"/>
  <c r="I34" i="10"/>
  <c r="I40" i="10"/>
  <c r="I15" i="10"/>
  <c r="I2" i="11" s="1"/>
  <c r="I33" i="10"/>
  <c r="I26" i="10"/>
  <c r="I3" i="10"/>
  <c r="I6" i="10"/>
  <c r="I24" i="10"/>
  <c r="I14" i="10"/>
  <c r="I16" i="10"/>
  <c r="I9" i="10"/>
  <c r="I8" i="10"/>
  <c r="I2" i="10"/>
  <c r="U66" i="2"/>
  <c r="V3" i="3" s="1"/>
  <c r="U6" i="4" s="1"/>
  <c r="V17" i="2"/>
  <c r="V19" i="2"/>
  <c r="U67" i="2"/>
  <c r="V4" i="3" s="1"/>
  <c r="U70" i="2"/>
  <c r="V7" i="3" s="1"/>
  <c r="M59" i="10"/>
  <c r="M51" i="10"/>
  <c r="M60" i="10"/>
  <c r="M52" i="10"/>
  <c r="M61" i="10"/>
  <c r="M53" i="10"/>
  <c r="M54" i="10"/>
  <c r="M46" i="10"/>
  <c r="M55" i="10"/>
  <c r="M47" i="10"/>
  <c r="M38" i="10"/>
  <c r="M50" i="10"/>
  <c r="M48" i="10"/>
  <c r="M39" i="10"/>
  <c r="M31" i="10"/>
  <c r="M23" i="10"/>
  <c r="M15" i="10"/>
  <c r="M2" i="11" s="1"/>
  <c r="M56" i="10"/>
  <c r="M40" i="10"/>
  <c r="M32" i="10"/>
  <c r="M24" i="10"/>
  <c r="M16" i="10"/>
  <c r="M8" i="10"/>
  <c r="M41" i="10"/>
  <c r="M33" i="10"/>
  <c r="M25" i="10"/>
  <c r="M17" i="10"/>
  <c r="M9" i="10"/>
  <c r="M58" i="10"/>
  <c r="M49" i="10"/>
  <c r="M42" i="10"/>
  <c r="M34" i="10"/>
  <c r="M26" i="10"/>
  <c r="M36" i="10"/>
  <c r="M5" i="10"/>
  <c r="M43" i="10"/>
  <c r="M35" i="10"/>
  <c r="M14" i="10"/>
  <c r="M7" i="10"/>
  <c r="M4" i="10"/>
  <c r="M45" i="10"/>
  <c r="M27" i="10"/>
  <c r="M19" i="10"/>
  <c r="M37" i="10"/>
  <c r="M29" i="10"/>
  <c r="M3" i="10"/>
  <c r="M13" i="10"/>
  <c r="M6" i="10"/>
  <c r="M57" i="10"/>
  <c r="M30" i="10"/>
  <c r="M20" i="10"/>
  <c r="M18" i="10"/>
  <c r="M21" i="10"/>
  <c r="M10" i="10"/>
  <c r="M2" i="10"/>
  <c r="M28" i="10"/>
  <c r="M11" i="10"/>
  <c r="M44" i="10"/>
  <c r="M12" i="10"/>
  <c r="M22" i="10"/>
  <c r="Q55" i="10"/>
  <c r="Q47" i="10"/>
  <c r="Q56" i="10"/>
  <c r="Q48" i="10"/>
  <c r="Q57" i="10"/>
  <c r="Q49" i="10"/>
  <c r="Q58" i="10"/>
  <c r="Q50" i="10"/>
  <c r="Q59" i="10"/>
  <c r="Q51" i="10"/>
  <c r="Q46" i="10"/>
  <c r="Q42" i="10"/>
  <c r="Q54" i="10"/>
  <c r="Q43" i="10"/>
  <c r="Q35" i="10"/>
  <c r="Q27" i="10"/>
  <c r="Q19" i="10"/>
  <c r="Q11" i="10"/>
  <c r="Q60" i="10"/>
  <c r="Q44" i="10"/>
  <c r="Q36" i="10"/>
  <c r="Q28" i="10"/>
  <c r="Q20" i="10"/>
  <c r="Q12" i="10"/>
  <c r="Q4" i="10"/>
  <c r="Q45" i="10"/>
  <c r="Q37" i="10"/>
  <c r="Q29" i="10"/>
  <c r="Q21" i="10"/>
  <c r="Q13" i="10"/>
  <c r="Q53" i="10"/>
  <c r="Q38" i="10"/>
  <c r="Q30" i="10"/>
  <c r="Q22" i="10"/>
  <c r="Q23" i="10"/>
  <c r="Q8" i="10"/>
  <c r="Q6" i="10"/>
  <c r="Q41" i="10"/>
  <c r="Q34" i="10"/>
  <c r="Q32" i="10"/>
  <c r="Q24" i="10"/>
  <c r="Q33" i="10"/>
  <c r="Q25" i="10"/>
  <c r="Q61" i="10"/>
  <c r="Q26" i="10"/>
  <c r="Q18" i="10"/>
  <c r="Q3" i="10"/>
  <c r="Q40" i="10"/>
  <c r="Q31" i="10"/>
  <c r="Q52" i="10"/>
  <c r="Q9" i="10"/>
  <c r="Q2" i="10"/>
  <c r="Q16" i="10"/>
  <c r="Q14" i="10"/>
  <c r="Q10" i="10"/>
  <c r="Q39" i="10"/>
  <c r="Q7" i="10"/>
  <c r="Q5" i="10"/>
  <c r="Q15" i="10"/>
  <c r="Q2" i="11" s="1"/>
  <c r="Q17" i="10"/>
  <c r="H54" i="10"/>
  <c r="H46" i="10"/>
  <c r="H55" i="10"/>
  <c r="H47" i="10"/>
  <c r="H56" i="10"/>
  <c r="H48" i="10"/>
  <c r="H57" i="10"/>
  <c r="H49" i="10"/>
  <c r="H58" i="10"/>
  <c r="H50" i="10"/>
  <c r="H53" i="10"/>
  <c r="H41" i="10"/>
  <c r="H59" i="10"/>
  <c r="H42" i="10"/>
  <c r="H34" i="10"/>
  <c r="H26" i="10"/>
  <c r="H18" i="10"/>
  <c r="H10" i="10"/>
  <c r="H43" i="10"/>
  <c r="H35" i="10"/>
  <c r="H27" i="10"/>
  <c r="H19" i="10"/>
  <c r="H11" i="10"/>
  <c r="H3" i="10"/>
  <c r="H61" i="10"/>
  <c r="H52" i="10"/>
  <c r="H44" i="10"/>
  <c r="H36" i="10"/>
  <c r="H28" i="10"/>
  <c r="H20" i="10"/>
  <c r="H12" i="10"/>
  <c r="H45" i="10"/>
  <c r="H37" i="10"/>
  <c r="H29" i="10"/>
  <c r="H21" i="10"/>
  <c r="H60" i="10"/>
  <c r="H40" i="10"/>
  <c r="H30" i="10"/>
  <c r="H22" i="10"/>
  <c r="H13" i="10"/>
  <c r="H9" i="10"/>
  <c r="H6" i="10"/>
  <c r="H31" i="10"/>
  <c r="H51" i="10"/>
  <c r="H38" i="10"/>
  <c r="H15" i="10"/>
  <c r="H2" i="11" s="1"/>
  <c r="H39" i="10"/>
  <c r="H8" i="10"/>
  <c r="H2" i="10"/>
  <c r="H32" i="10"/>
  <c r="H25" i="10"/>
  <c r="H7" i="10"/>
  <c r="H17" i="10"/>
  <c r="H5" i="10"/>
  <c r="H23" i="10"/>
  <c r="H33" i="10"/>
  <c r="H24" i="10"/>
  <c r="H14" i="10"/>
  <c r="H16" i="10"/>
  <c r="H4" i="10"/>
  <c r="T65" i="2"/>
  <c r="U2" i="3" s="1"/>
  <c r="U16" i="2"/>
  <c r="F60" i="10"/>
  <c r="F52" i="10"/>
  <c r="F61" i="10"/>
  <c r="F53" i="10"/>
  <c r="F54" i="10"/>
  <c r="F46" i="10"/>
  <c r="F55" i="10"/>
  <c r="F47" i="10"/>
  <c r="F56" i="10"/>
  <c r="F48" i="10"/>
  <c r="F51" i="10"/>
  <c r="F39" i="10"/>
  <c r="F57" i="10"/>
  <c r="F40" i="10"/>
  <c r="F24" i="10"/>
  <c r="F16" i="10"/>
  <c r="F41" i="10"/>
  <c r="F33" i="10"/>
  <c r="F25" i="10"/>
  <c r="F17" i="10"/>
  <c r="F9" i="10"/>
  <c r="F59" i="10"/>
  <c r="F50" i="10"/>
  <c r="F42" i="10"/>
  <c r="F26" i="10"/>
  <c r="F18" i="10"/>
  <c r="F10" i="10"/>
  <c r="F43" i="10"/>
  <c r="F35" i="10"/>
  <c r="F27" i="10"/>
  <c r="F19" i="10"/>
  <c r="F58" i="10"/>
  <c r="F28" i="10"/>
  <c r="F20" i="10"/>
  <c r="F11" i="10"/>
  <c r="F7" i="10"/>
  <c r="F44" i="10"/>
  <c r="F29" i="10"/>
  <c r="F36" i="10"/>
  <c r="F30" i="10"/>
  <c r="F22" i="10"/>
  <c r="F31" i="10"/>
  <c r="F38" i="10"/>
  <c r="F14" i="10"/>
  <c r="F4" i="10"/>
  <c r="F8" i="10"/>
  <c r="F2" i="10"/>
  <c r="F12" i="10"/>
  <c r="F45" i="10"/>
  <c r="F15" i="10"/>
  <c r="F2" i="11" s="1"/>
  <c r="F13" i="10"/>
  <c r="F5" i="10"/>
  <c r="F3" i="10"/>
  <c r="F37" i="10"/>
  <c r="F21" i="10"/>
  <c r="F6" i="10"/>
  <c r="J56" i="10"/>
  <c r="J48" i="10"/>
  <c r="J57" i="10"/>
  <c r="J49" i="10"/>
  <c r="J58" i="10"/>
  <c r="J50" i="10"/>
  <c r="J59" i="10"/>
  <c r="J51" i="10"/>
  <c r="J60" i="10"/>
  <c r="J52" i="10"/>
  <c r="J55" i="10"/>
  <c r="J43" i="10"/>
  <c r="J35" i="10"/>
  <c r="J61" i="10"/>
  <c r="J44" i="10"/>
  <c r="J36" i="10"/>
  <c r="J28" i="10"/>
  <c r="J20" i="10"/>
  <c r="J12" i="10"/>
  <c r="J46" i="10"/>
  <c r="J45" i="10"/>
  <c r="J37" i="10"/>
  <c r="J29" i="10"/>
  <c r="J21" i="10"/>
  <c r="J13" i="10"/>
  <c r="J5" i="10"/>
  <c r="J54" i="10"/>
  <c r="J38" i="10"/>
  <c r="J30" i="10"/>
  <c r="J22" i="10"/>
  <c r="J14" i="10"/>
  <c r="J39" i="10"/>
  <c r="J31" i="10"/>
  <c r="J23" i="10"/>
  <c r="J53" i="10"/>
  <c r="J47" i="10"/>
  <c r="J42" i="10"/>
  <c r="J15" i="10"/>
  <c r="J2" i="11" s="1"/>
  <c r="J17" i="10"/>
  <c r="J41" i="10"/>
  <c r="J34" i="10"/>
  <c r="J32" i="10"/>
  <c r="J24" i="10"/>
  <c r="J11" i="10"/>
  <c r="J40" i="10"/>
  <c r="J33" i="10"/>
  <c r="J26" i="10"/>
  <c r="J3" i="10"/>
  <c r="J6" i="10"/>
  <c r="J27" i="10"/>
  <c r="J19" i="10"/>
  <c r="J16" i="10"/>
  <c r="J9" i="10"/>
  <c r="J18" i="10"/>
  <c r="J10" i="10"/>
  <c r="J8" i="10"/>
  <c r="J7" i="10"/>
  <c r="J4" i="10"/>
  <c r="J25" i="10"/>
  <c r="J2" i="10"/>
  <c r="X18" i="2"/>
  <c r="S57" i="4"/>
  <c r="S49" i="4"/>
  <c r="S41" i="4"/>
  <c r="S33" i="4"/>
  <c r="S25" i="4"/>
  <c r="S58" i="4"/>
  <c r="S50" i="4"/>
  <c r="S42" i="4"/>
  <c r="S34" i="4"/>
  <c r="S26" i="4"/>
  <c r="S59" i="4"/>
  <c r="S51" i="4"/>
  <c r="S43" i="4"/>
  <c r="S35" i="4"/>
  <c r="S27" i="4"/>
  <c r="S60" i="4"/>
  <c r="S52" i="4"/>
  <c r="S44" i="4"/>
  <c r="S36" i="4"/>
  <c r="S28" i="4"/>
  <c r="S61" i="4"/>
  <c r="S53" i="4"/>
  <c r="S45" i="4"/>
  <c r="S37" i="4"/>
  <c r="S29" i="4"/>
  <c r="S54" i="4"/>
  <c r="S46" i="4"/>
  <c r="S38" i="4"/>
  <c r="S30" i="4"/>
  <c r="S22" i="4"/>
  <c r="S55" i="4"/>
  <c r="S47" i="4"/>
  <c r="S39" i="4"/>
  <c r="S31" i="4"/>
  <c r="S23" i="4"/>
  <c r="S56" i="4"/>
  <c r="S48" i="4"/>
  <c r="S40" i="4"/>
  <c r="S32" i="4"/>
  <c r="S24" i="4"/>
  <c r="S17" i="4"/>
  <c r="S9" i="4"/>
  <c r="S18" i="4"/>
  <c r="S10" i="4"/>
  <c r="S2" i="4"/>
  <c r="S19" i="4"/>
  <c r="S11" i="4"/>
  <c r="S3" i="4"/>
  <c r="S20" i="4"/>
  <c r="S12" i="4"/>
  <c r="S4" i="4"/>
  <c r="S21" i="4"/>
  <c r="S13" i="4"/>
  <c r="S5" i="4"/>
  <c r="S14" i="4"/>
  <c r="S15" i="4"/>
  <c r="S2" i="5" s="1"/>
  <c r="S7" i="4"/>
  <c r="S16" i="4"/>
  <c r="S8" i="4"/>
  <c r="N60" i="10"/>
  <c r="N52" i="10"/>
  <c r="N61" i="10"/>
  <c r="N53" i="10"/>
  <c r="N54" i="10"/>
  <c r="N46" i="10"/>
  <c r="N55" i="10"/>
  <c r="N47" i="10"/>
  <c r="N56" i="10"/>
  <c r="N48" i="10"/>
  <c r="N59" i="10"/>
  <c r="N50" i="10"/>
  <c r="N39" i="10"/>
  <c r="N40" i="10"/>
  <c r="N32" i="10"/>
  <c r="N24" i="10"/>
  <c r="N16" i="10"/>
  <c r="N41" i="10"/>
  <c r="N33" i="10"/>
  <c r="N25" i="10"/>
  <c r="N17" i="10"/>
  <c r="N9" i="10"/>
  <c r="N58" i="10"/>
  <c r="N49" i="10"/>
  <c r="N42" i="10"/>
  <c r="N34" i="10"/>
  <c r="N26" i="10"/>
  <c r="N18" i="10"/>
  <c r="N10" i="10"/>
  <c r="N43" i="10"/>
  <c r="N35" i="10"/>
  <c r="N27" i="10"/>
  <c r="N19" i="10"/>
  <c r="N57" i="10"/>
  <c r="N12" i="10"/>
  <c r="N2" i="10"/>
  <c r="N51" i="10"/>
  <c r="N38" i="10"/>
  <c r="N14" i="10"/>
  <c r="N45" i="10"/>
  <c r="N23" i="10"/>
  <c r="N11" i="10"/>
  <c r="N8" i="10"/>
  <c r="N6" i="10"/>
  <c r="N37" i="10"/>
  <c r="N28" i="10"/>
  <c r="N20" i="10"/>
  <c r="N36" i="10"/>
  <c r="N13" i="10"/>
  <c r="N15" i="10"/>
  <c r="N2" i="11" s="1"/>
  <c r="N30" i="10"/>
  <c r="N21" i="10"/>
  <c r="N4" i="10"/>
  <c r="N44" i="10"/>
  <c r="N31" i="10"/>
  <c r="N22" i="10"/>
  <c r="N7" i="10"/>
  <c r="N3" i="10"/>
  <c r="N29" i="10"/>
  <c r="N5" i="10"/>
  <c r="K57" i="10"/>
  <c r="K49" i="10"/>
  <c r="K58" i="10"/>
  <c r="K50" i="10"/>
  <c r="K59" i="10"/>
  <c r="K51" i="10"/>
  <c r="K60" i="10"/>
  <c r="K52" i="10"/>
  <c r="K61" i="10"/>
  <c r="K53" i="10"/>
  <c r="K44" i="10"/>
  <c r="K36" i="10"/>
  <c r="K46" i="10"/>
  <c r="K45" i="10"/>
  <c r="K37" i="10"/>
  <c r="K29" i="10"/>
  <c r="K21" i="10"/>
  <c r="K13" i="10"/>
  <c r="K54" i="10"/>
  <c r="K38" i="10"/>
  <c r="K30" i="10"/>
  <c r="K22" i="10"/>
  <c r="K14" i="10"/>
  <c r="K6" i="10"/>
  <c r="K48" i="10"/>
  <c r="K39" i="10"/>
  <c r="K31" i="10"/>
  <c r="K23" i="10"/>
  <c r="K15" i="10"/>
  <c r="K2" i="11" s="1"/>
  <c r="K7" i="10"/>
  <c r="K56" i="10"/>
  <c r="K40" i="10"/>
  <c r="K32" i="10"/>
  <c r="K24" i="10"/>
  <c r="K3" i="10"/>
  <c r="K41" i="10"/>
  <c r="K34" i="10"/>
  <c r="K12" i="10"/>
  <c r="K2" i="10"/>
  <c r="K43" i="10"/>
  <c r="K33" i="10"/>
  <c r="K25" i="10"/>
  <c r="K55" i="10"/>
  <c r="K47" i="10"/>
  <c r="K26" i="10"/>
  <c r="K17" i="10"/>
  <c r="K5" i="10"/>
  <c r="K35" i="10"/>
  <c r="K42" i="10"/>
  <c r="K27" i="10"/>
  <c r="K19" i="10"/>
  <c r="K16" i="10"/>
  <c r="K9" i="10"/>
  <c r="K20" i="10"/>
  <c r="K18" i="10"/>
  <c r="K10" i="10"/>
  <c r="K8" i="10"/>
  <c r="K4" i="10"/>
  <c r="K28" i="10"/>
  <c r="K11" i="10"/>
  <c r="I54" i="12" l="1"/>
  <c r="I46" i="12"/>
  <c r="I55" i="12"/>
  <c r="I47" i="12"/>
  <c r="I56" i="12"/>
  <c r="I48" i="12"/>
  <c r="I57" i="12"/>
  <c r="I49" i="12"/>
  <c r="I41" i="12"/>
  <c r="I58" i="12"/>
  <c r="I50" i="12"/>
  <c r="I42" i="12"/>
  <c r="I60" i="12"/>
  <c r="I51" i="12"/>
  <c r="I43" i="12"/>
  <c r="I38" i="12"/>
  <c r="I30" i="12"/>
  <c r="I22" i="12"/>
  <c r="I14" i="12"/>
  <c r="I39" i="12"/>
  <c r="I31" i="12"/>
  <c r="I23" i="12"/>
  <c r="I15" i="12"/>
  <c r="I2" i="13" s="1"/>
  <c r="I53" i="12"/>
  <c r="I45" i="12"/>
  <c r="I40" i="12"/>
  <c r="I32" i="12"/>
  <c r="I24" i="12"/>
  <c r="I16" i="12"/>
  <c r="I59" i="12"/>
  <c r="I33" i="12"/>
  <c r="I25" i="12"/>
  <c r="I17" i="12"/>
  <c r="I34" i="12"/>
  <c r="I26" i="12"/>
  <c r="I18" i="12"/>
  <c r="I52" i="12"/>
  <c r="I44" i="12"/>
  <c r="I10" i="12"/>
  <c r="I2" i="12"/>
  <c r="I61" i="12"/>
  <c r="I20" i="12"/>
  <c r="I11" i="12"/>
  <c r="I3" i="12"/>
  <c r="I35" i="12"/>
  <c r="I28" i="12"/>
  <c r="I12" i="12"/>
  <c r="I4" i="12"/>
  <c r="I5" i="12"/>
  <c r="I37" i="12"/>
  <c r="I19" i="12"/>
  <c r="I6" i="12"/>
  <c r="I21" i="12"/>
  <c r="I8" i="12"/>
  <c r="I36" i="12"/>
  <c r="I27" i="12"/>
  <c r="I29" i="12"/>
  <c r="I7" i="12"/>
  <c r="I9" i="12"/>
  <c r="I13" i="12"/>
  <c r="G60" i="12"/>
  <c r="G52" i="12"/>
  <c r="G44" i="12"/>
  <c r="G61" i="12"/>
  <c r="G53" i="12"/>
  <c r="G45" i="12"/>
  <c r="G54" i="12"/>
  <c r="G46" i="12"/>
  <c r="G55" i="12"/>
  <c r="G47" i="12"/>
  <c r="G56" i="12"/>
  <c r="G48" i="12"/>
  <c r="G58" i="12"/>
  <c r="G49" i="12"/>
  <c r="G41" i="12"/>
  <c r="G36" i="12"/>
  <c r="G28" i="12"/>
  <c r="G20" i="12"/>
  <c r="G37" i="12"/>
  <c r="G29" i="12"/>
  <c r="G21" i="12"/>
  <c r="G51" i="12"/>
  <c r="G43" i="12"/>
  <c r="G38" i="12"/>
  <c r="G30" i="12"/>
  <c r="G22" i="12"/>
  <c r="G14" i="12"/>
  <c r="G57" i="12"/>
  <c r="G39" i="12"/>
  <c r="G31" i="12"/>
  <c r="G23" i="12"/>
  <c r="G15" i="12"/>
  <c r="G2" i="13" s="1"/>
  <c r="G40" i="12"/>
  <c r="G32" i="12"/>
  <c r="G24" i="12"/>
  <c r="G16" i="12"/>
  <c r="G8" i="12"/>
  <c r="G50" i="12"/>
  <c r="G42" i="12"/>
  <c r="G18" i="12"/>
  <c r="G9" i="12"/>
  <c r="G59" i="12"/>
  <c r="G26" i="12"/>
  <c r="G10" i="12"/>
  <c r="G2" i="12"/>
  <c r="G11" i="12"/>
  <c r="G3" i="12"/>
  <c r="G35" i="12"/>
  <c r="G17" i="12"/>
  <c r="G12" i="12"/>
  <c r="G4" i="12"/>
  <c r="G5" i="12"/>
  <c r="G13" i="12"/>
  <c r="G6" i="12"/>
  <c r="G19" i="12"/>
  <c r="G34" i="12"/>
  <c r="G25" i="12"/>
  <c r="G27" i="12"/>
  <c r="G33" i="12"/>
  <c r="G7" i="12"/>
  <c r="U58" i="12"/>
  <c r="U50" i="12"/>
  <c r="U42" i="12"/>
  <c r="U59" i="12"/>
  <c r="U51" i="12"/>
  <c r="U43" i="12"/>
  <c r="U60" i="12"/>
  <c r="U52" i="12"/>
  <c r="U44" i="12"/>
  <c r="U61" i="12"/>
  <c r="U53" i="12"/>
  <c r="U45" i="12"/>
  <c r="U54" i="12"/>
  <c r="U46" i="12"/>
  <c r="U34" i="12"/>
  <c r="U26" i="12"/>
  <c r="U18" i="12"/>
  <c r="U35" i="12"/>
  <c r="U27" i="12"/>
  <c r="U19" i="12"/>
  <c r="U56" i="12"/>
  <c r="U48" i="12"/>
  <c r="U36" i="12"/>
  <c r="U28" i="12"/>
  <c r="U20" i="12"/>
  <c r="U37" i="12"/>
  <c r="U29" i="12"/>
  <c r="U21" i="12"/>
  <c r="U13" i="12"/>
  <c r="U49" i="12"/>
  <c r="U41" i="12"/>
  <c r="U38" i="12"/>
  <c r="U30" i="12"/>
  <c r="U22" i="12"/>
  <c r="U17" i="12"/>
  <c r="U6" i="12"/>
  <c r="U55" i="12"/>
  <c r="U47" i="12"/>
  <c r="U25" i="12"/>
  <c r="U7" i="12"/>
  <c r="U57" i="12"/>
  <c r="U33" i="12"/>
  <c r="U31" i="12"/>
  <c r="U8" i="12"/>
  <c r="U40" i="12"/>
  <c r="U16" i="12"/>
  <c r="U9" i="12"/>
  <c r="U24" i="12"/>
  <c r="U10" i="12"/>
  <c r="U2" i="12"/>
  <c r="U32" i="12"/>
  <c r="U11" i="12"/>
  <c r="U39" i="12"/>
  <c r="U15" i="12"/>
  <c r="U2" i="13" s="1"/>
  <c r="U3" i="12"/>
  <c r="U23" i="12"/>
  <c r="U5" i="12"/>
  <c r="U12" i="12"/>
  <c r="U14" i="12"/>
  <c r="U4" i="12"/>
  <c r="Q54" i="12"/>
  <c r="Q46" i="12"/>
  <c r="Q55" i="12"/>
  <c r="Q47" i="12"/>
  <c r="Q56" i="12"/>
  <c r="Q48" i="12"/>
  <c r="Q57" i="12"/>
  <c r="Q49" i="12"/>
  <c r="Q41" i="12"/>
  <c r="Q58" i="12"/>
  <c r="Q50" i="12"/>
  <c r="Q42" i="12"/>
  <c r="Q59" i="12"/>
  <c r="Q38" i="12"/>
  <c r="Q30" i="12"/>
  <c r="Q22" i="12"/>
  <c r="Q14" i="12"/>
  <c r="Q39" i="12"/>
  <c r="Q31" i="12"/>
  <c r="Q23" i="12"/>
  <c r="Q15" i="12"/>
  <c r="Q2" i="13" s="1"/>
  <c r="Q61" i="12"/>
  <c r="Q52" i="12"/>
  <c r="Q44" i="12"/>
  <c r="Q40" i="12"/>
  <c r="Q32" i="12"/>
  <c r="Q24" i="12"/>
  <c r="Q16" i="12"/>
  <c r="Q33" i="12"/>
  <c r="Q25" i="12"/>
  <c r="Q17" i="12"/>
  <c r="Q34" i="12"/>
  <c r="Q26" i="12"/>
  <c r="Q18" i="12"/>
  <c r="Q10" i="12"/>
  <c r="Q2" i="12"/>
  <c r="Q37" i="12"/>
  <c r="Q19" i="12"/>
  <c r="Q13" i="12"/>
  <c r="Q11" i="12"/>
  <c r="Q3" i="12"/>
  <c r="Q27" i="12"/>
  <c r="Q12" i="12"/>
  <c r="Q4" i="12"/>
  <c r="Q51" i="12"/>
  <c r="Q43" i="12"/>
  <c r="Q21" i="12"/>
  <c r="Q5" i="12"/>
  <c r="Q60" i="12"/>
  <c r="Q53" i="12"/>
  <c r="Q45" i="12"/>
  <c r="Q36" i="12"/>
  <c r="Q29" i="12"/>
  <c r="Q6" i="12"/>
  <c r="Q7" i="12"/>
  <c r="Q9" i="12"/>
  <c r="Q20" i="12"/>
  <c r="Q35" i="12"/>
  <c r="Q8" i="12"/>
  <c r="Q28" i="12"/>
  <c r="O60" i="12"/>
  <c r="O52" i="12"/>
  <c r="O44" i="12"/>
  <c r="O61" i="12"/>
  <c r="O53" i="12"/>
  <c r="O45" i="12"/>
  <c r="O54" i="12"/>
  <c r="O46" i="12"/>
  <c r="O55" i="12"/>
  <c r="O47" i="12"/>
  <c r="O56" i="12"/>
  <c r="O48" i="12"/>
  <c r="O57" i="12"/>
  <c r="O36" i="12"/>
  <c r="O28" i="12"/>
  <c r="O20" i="12"/>
  <c r="O37" i="12"/>
  <c r="O29" i="12"/>
  <c r="O21" i="12"/>
  <c r="O13" i="12"/>
  <c r="O59" i="12"/>
  <c r="O50" i="12"/>
  <c r="O42" i="12"/>
  <c r="O38" i="12"/>
  <c r="O30" i="12"/>
  <c r="O22" i="12"/>
  <c r="O14" i="12"/>
  <c r="O39" i="12"/>
  <c r="O31" i="12"/>
  <c r="O23" i="12"/>
  <c r="O15" i="12"/>
  <c r="O2" i="13" s="1"/>
  <c r="O40" i="12"/>
  <c r="O32" i="12"/>
  <c r="O24" i="12"/>
  <c r="O16" i="12"/>
  <c r="O8" i="12"/>
  <c r="O35" i="12"/>
  <c r="O17" i="12"/>
  <c r="O9" i="12"/>
  <c r="O25" i="12"/>
  <c r="O10" i="12"/>
  <c r="O2" i="12"/>
  <c r="O33" i="12"/>
  <c r="O19" i="12"/>
  <c r="O11" i="12"/>
  <c r="O3" i="12"/>
  <c r="O49" i="12"/>
  <c r="O41" i="12"/>
  <c r="O34" i="12"/>
  <c r="O27" i="12"/>
  <c r="O12" i="12"/>
  <c r="O4" i="12"/>
  <c r="O43" i="12"/>
  <c r="O26" i="12"/>
  <c r="O58" i="12"/>
  <c r="O7" i="12"/>
  <c r="O51" i="12"/>
  <c r="O6" i="12"/>
  <c r="O18" i="12"/>
  <c r="O5" i="12"/>
  <c r="U56" i="6"/>
  <c r="U48" i="6"/>
  <c r="U40" i="6"/>
  <c r="U32" i="6"/>
  <c r="U24" i="6"/>
  <c r="U57" i="6"/>
  <c r="U49" i="6"/>
  <c r="U41" i="6"/>
  <c r="U33" i="6"/>
  <c r="U25" i="6"/>
  <c r="U58" i="6"/>
  <c r="U50" i="6"/>
  <c r="U42" i="6"/>
  <c r="U34" i="6"/>
  <c r="U26" i="6"/>
  <c r="U59" i="6"/>
  <c r="U51" i="6"/>
  <c r="U43" i="6"/>
  <c r="U35" i="6"/>
  <c r="U27" i="6"/>
  <c r="U60" i="6"/>
  <c r="U52" i="6"/>
  <c r="U44" i="6"/>
  <c r="U36" i="6"/>
  <c r="U28" i="6"/>
  <c r="U61" i="6"/>
  <c r="U53" i="6"/>
  <c r="U45" i="6"/>
  <c r="U37" i="6"/>
  <c r="U29" i="6"/>
  <c r="U54" i="6"/>
  <c r="U46" i="6"/>
  <c r="U38" i="6"/>
  <c r="U30" i="6"/>
  <c r="U55" i="6"/>
  <c r="U18" i="6"/>
  <c r="U10" i="6"/>
  <c r="U19" i="6"/>
  <c r="U11" i="6"/>
  <c r="U20" i="6"/>
  <c r="U12" i="6"/>
  <c r="U39" i="6"/>
  <c r="U21" i="6"/>
  <c r="U13" i="6"/>
  <c r="U47" i="6"/>
  <c r="U22" i="6"/>
  <c r="U14" i="6"/>
  <c r="U6" i="6"/>
  <c r="U23" i="6"/>
  <c r="U15" i="6"/>
  <c r="U2" i="7" s="1"/>
  <c r="U7" i="6"/>
  <c r="U31" i="6"/>
  <c r="U16" i="6"/>
  <c r="U8" i="6"/>
  <c r="U17" i="6"/>
  <c r="U9" i="6"/>
  <c r="U2" i="6"/>
  <c r="U3" i="6"/>
  <c r="U4" i="6"/>
  <c r="U5" i="6"/>
  <c r="J55" i="12"/>
  <c r="J47" i="12"/>
  <c r="J56" i="12"/>
  <c r="J48" i="12"/>
  <c r="J57" i="12"/>
  <c r="J49" i="12"/>
  <c r="J41" i="12"/>
  <c r="J58" i="12"/>
  <c r="J50" i="12"/>
  <c r="J42" i="12"/>
  <c r="J59" i="12"/>
  <c r="J51" i="12"/>
  <c r="J43" i="12"/>
  <c r="J39" i="12"/>
  <c r="J31" i="12"/>
  <c r="J23" i="12"/>
  <c r="J15" i="12"/>
  <c r="J2" i="13" s="1"/>
  <c r="J53" i="12"/>
  <c r="J45" i="12"/>
  <c r="J40" i="12"/>
  <c r="J32" i="12"/>
  <c r="J24" i="12"/>
  <c r="J16" i="12"/>
  <c r="J33" i="12"/>
  <c r="J25" i="12"/>
  <c r="J17" i="12"/>
  <c r="J34" i="12"/>
  <c r="J26" i="12"/>
  <c r="J18" i="12"/>
  <c r="J61" i="12"/>
  <c r="J52" i="12"/>
  <c r="J44" i="12"/>
  <c r="J35" i="12"/>
  <c r="J27" i="12"/>
  <c r="J19" i="12"/>
  <c r="J54" i="12"/>
  <c r="J46" i="12"/>
  <c r="J38" i="12"/>
  <c r="J20" i="12"/>
  <c r="J11" i="12"/>
  <c r="J3" i="12"/>
  <c r="J28" i="12"/>
  <c r="J12" i="12"/>
  <c r="J4" i="12"/>
  <c r="J22" i="12"/>
  <c r="J5" i="12"/>
  <c r="J37" i="12"/>
  <c r="J30" i="12"/>
  <c r="J6" i="12"/>
  <c r="J13" i="12"/>
  <c r="J7" i="12"/>
  <c r="J21" i="12"/>
  <c r="J8" i="12"/>
  <c r="J14" i="12"/>
  <c r="J36" i="12"/>
  <c r="J10" i="12"/>
  <c r="J29" i="12"/>
  <c r="J2" i="12"/>
  <c r="J60" i="12"/>
  <c r="J9" i="12"/>
  <c r="H61" i="12"/>
  <c r="H53" i="12"/>
  <c r="H45" i="12"/>
  <c r="H54" i="12"/>
  <c r="H46" i="12"/>
  <c r="H55" i="12"/>
  <c r="H47" i="12"/>
  <c r="H56" i="12"/>
  <c r="H48" i="12"/>
  <c r="H57" i="12"/>
  <c r="H49" i="12"/>
  <c r="H41" i="12"/>
  <c r="H37" i="12"/>
  <c r="H29" i="12"/>
  <c r="H21" i="12"/>
  <c r="H60" i="12"/>
  <c r="H51" i="12"/>
  <c r="H43" i="12"/>
  <c r="H38" i="12"/>
  <c r="H30" i="12"/>
  <c r="H22" i="12"/>
  <c r="H14" i="12"/>
  <c r="H39" i="12"/>
  <c r="H31" i="12"/>
  <c r="H23" i="12"/>
  <c r="H15" i="12"/>
  <c r="H2" i="13" s="1"/>
  <c r="H40" i="12"/>
  <c r="H32" i="12"/>
  <c r="H24" i="12"/>
  <c r="H16" i="12"/>
  <c r="H59" i="12"/>
  <c r="H50" i="12"/>
  <c r="H42" i="12"/>
  <c r="H33" i="12"/>
  <c r="H25" i="12"/>
  <c r="H17" i="12"/>
  <c r="H36" i="12"/>
  <c r="H18" i="12"/>
  <c r="H9" i="12"/>
  <c r="H52" i="12"/>
  <c r="H44" i="12"/>
  <c r="H26" i="12"/>
  <c r="H10" i="12"/>
  <c r="H2" i="12"/>
  <c r="H20" i="12"/>
  <c r="H11" i="12"/>
  <c r="H3" i="12"/>
  <c r="H35" i="12"/>
  <c r="H28" i="12"/>
  <c r="H12" i="12"/>
  <c r="H4" i="12"/>
  <c r="H5" i="12"/>
  <c r="H13" i="12"/>
  <c r="H6" i="12"/>
  <c r="H19" i="12"/>
  <c r="H8" i="12"/>
  <c r="H58" i="12"/>
  <c r="H34" i="12"/>
  <c r="H27" i="12"/>
  <c r="H7" i="12"/>
  <c r="U65" i="2"/>
  <c r="V2" i="3" s="1"/>
  <c r="V16" i="2"/>
  <c r="V67" i="2"/>
  <c r="W4" i="3" s="1"/>
  <c r="V70" i="2"/>
  <c r="W7" i="3" s="1"/>
  <c r="W19" i="2"/>
  <c r="V69" i="2"/>
  <c r="W6" i="3" s="1"/>
  <c r="K56" i="12"/>
  <c r="K48" i="12"/>
  <c r="K57" i="12"/>
  <c r="K49" i="12"/>
  <c r="K41" i="12"/>
  <c r="K58" i="12"/>
  <c r="K50" i="12"/>
  <c r="K42" i="12"/>
  <c r="K59" i="12"/>
  <c r="K51" i="12"/>
  <c r="K43" i="12"/>
  <c r="K60" i="12"/>
  <c r="K52" i="12"/>
  <c r="K44" i="12"/>
  <c r="K53" i="12"/>
  <c r="K45" i="12"/>
  <c r="K40" i="12"/>
  <c r="K32" i="12"/>
  <c r="K24" i="12"/>
  <c r="K16" i="12"/>
  <c r="K33" i="12"/>
  <c r="K25" i="12"/>
  <c r="K17" i="12"/>
  <c r="K55" i="12"/>
  <c r="K47" i="12"/>
  <c r="K34" i="12"/>
  <c r="K26" i="12"/>
  <c r="K18" i="12"/>
  <c r="K61" i="12"/>
  <c r="K35" i="12"/>
  <c r="K27" i="12"/>
  <c r="K19" i="12"/>
  <c r="K36" i="12"/>
  <c r="K28" i="12"/>
  <c r="K20" i="12"/>
  <c r="K12" i="12"/>
  <c r="K4" i="12"/>
  <c r="K22" i="12"/>
  <c r="K5" i="12"/>
  <c r="K37" i="12"/>
  <c r="K30" i="12"/>
  <c r="K6" i="12"/>
  <c r="K39" i="12"/>
  <c r="K13" i="12"/>
  <c r="K7" i="12"/>
  <c r="K23" i="12"/>
  <c r="K21" i="12"/>
  <c r="K14" i="12"/>
  <c r="K8" i="12"/>
  <c r="K54" i="12"/>
  <c r="K10" i="12"/>
  <c r="K38" i="12"/>
  <c r="K29" i="12"/>
  <c r="K2" i="12"/>
  <c r="K31" i="12"/>
  <c r="K15" i="12"/>
  <c r="K2" i="13" s="1"/>
  <c r="K46" i="12"/>
  <c r="K9" i="12"/>
  <c r="K11" i="12"/>
  <c r="K3" i="12"/>
  <c r="P61" i="12"/>
  <c r="P53" i="12"/>
  <c r="P45" i="12"/>
  <c r="P54" i="12"/>
  <c r="P46" i="12"/>
  <c r="P55" i="12"/>
  <c r="P47" i="12"/>
  <c r="P56" i="12"/>
  <c r="P48" i="12"/>
  <c r="P57" i="12"/>
  <c r="P49" i="12"/>
  <c r="P41" i="12"/>
  <c r="P37" i="12"/>
  <c r="P29" i="12"/>
  <c r="P21" i="12"/>
  <c r="P13" i="12"/>
  <c r="P59" i="12"/>
  <c r="P50" i="12"/>
  <c r="P42" i="12"/>
  <c r="P38" i="12"/>
  <c r="P30" i="12"/>
  <c r="P22" i="12"/>
  <c r="P14" i="12"/>
  <c r="P39" i="12"/>
  <c r="P31" i="12"/>
  <c r="P23" i="12"/>
  <c r="P15" i="12"/>
  <c r="P2" i="13" s="1"/>
  <c r="P52" i="12"/>
  <c r="P44" i="12"/>
  <c r="P40" i="12"/>
  <c r="P32" i="12"/>
  <c r="P24" i="12"/>
  <c r="P16" i="12"/>
  <c r="P58" i="12"/>
  <c r="P33" i="12"/>
  <c r="P25" i="12"/>
  <c r="P17" i="12"/>
  <c r="P35" i="12"/>
  <c r="P28" i="12"/>
  <c r="P9" i="12"/>
  <c r="P10" i="12"/>
  <c r="P2" i="12"/>
  <c r="P19" i="12"/>
  <c r="P11" i="12"/>
  <c r="P3" i="12"/>
  <c r="P34" i="12"/>
  <c r="P27" i="12"/>
  <c r="P12" i="12"/>
  <c r="P4" i="12"/>
  <c r="P51" i="12"/>
  <c r="P43" i="12"/>
  <c r="P5" i="12"/>
  <c r="P36" i="12"/>
  <c r="P7" i="12"/>
  <c r="P18" i="12"/>
  <c r="P60" i="12"/>
  <c r="P8" i="12"/>
  <c r="P26" i="12"/>
  <c r="P20" i="12"/>
  <c r="P6" i="12"/>
  <c r="T58" i="4"/>
  <c r="T50" i="4"/>
  <c r="T42" i="4"/>
  <c r="T34" i="4"/>
  <c r="T26" i="4"/>
  <c r="T59" i="4"/>
  <c r="T51" i="4"/>
  <c r="T43" i="4"/>
  <c r="T35" i="4"/>
  <c r="T27" i="4"/>
  <c r="T60" i="4"/>
  <c r="T52" i="4"/>
  <c r="T44" i="4"/>
  <c r="T36" i="4"/>
  <c r="T28" i="4"/>
  <c r="T61" i="4"/>
  <c r="T53" i="4"/>
  <c r="T45" i="4"/>
  <c r="T37" i="4"/>
  <c r="T29" i="4"/>
  <c r="T54" i="4"/>
  <c r="T46" i="4"/>
  <c r="T38" i="4"/>
  <c r="T30" i="4"/>
  <c r="T55" i="4"/>
  <c r="T47" i="4"/>
  <c r="T39" i="4"/>
  <c r="T31" i="4"/>
  <c r="T23" i="4"/>
  <c r="T56" i="4"/>
  <c r="T48" i="4"/>
  <c r="T40" i="4"/>
  <c r="T32" i="4"/>
  <c r="T24" i="4"/>
  <c r="T57" i="4"/>
  <c r="T49" i="4"/>
  <c r="T41" i="4"/>
  <c r="T33" i="4"/>
  <c r="T25" i="4"/>
  <c r="T18" i="4"/>
  <c r="T10" i="4"/>
  <c r="T2" i="4"/>
  <c r="T19" i="4"/>
  <c r="T11" i="4"/>
  <c r="T3" i="4"/>
  <c r="T20" i="4"/>
  <c r="T12" i="4"/>
  <c r="T4" i="4"/>
  <c r="T21" i="4"/>
  <c r="T13" i="4"/>
  <c r="T5" i="4"/>
  <c r="T14" i="4"/>
  <c r="T15" i="4"/>
  <c r="T2" i="5" s="1"/>
  <c r="T7" i="4"/>
  <c r="T22" i="4"/>
  <c r="T16" i="4"/>
  <c r="T8" i="4"/>
  <c r="T17" i="4"/>
  <c r="T9" i="4"/>
  <c r="V66" i="2"/>
  <c r="W3" i="3" s="1"/>
  <c r="V6" i="4" s="1"/>
  <c r="W17" i="2"/>
  <c r="L57" i="12"/>
  <c r="L49" i="12"/>
  <c r="L41" i="12"/>
  <c r="L58" i="12"/>
  <c r="L50" i="12"/>
  <c r="L42" i="12"/>
  <c r="L59" i="12"/>
  <c r="L51" i="12"/>
  <c r="L43" i="12"/>
  <c r="L60" i="12"/>
  <c r="L52" i="12"/>
  <c r="L44" i="12"/>
  <c r="L61" i="12"/>
  <c r="L53" i="12"/>
  <c r="L45" i="12"/>
  <c r="L33" i="12"/>
  <c r="L25" i="12"/>
  <c r="L17" i="12"/>
  <c r="L55" i="12"/>
  <c r="L47" i="12"/>
  <c r="L34" i="12"/>
  <c r="L26" i="12"/>
  <c r="L18" i="12"/>
  <c r="L35" i="12"/>
  <c r="L27" i="12"/>
  <c r="L19" i="12"/>
  <c r="L36" i="12"/>
  <c r="L28" i="12"/>
  <c r="L20" i="12"/>
  <c r="L54" i="12"/>
  <c r="L46" i="12"/>
  <c r="L37" i="12"/>
  <c r="L29" i="12"/>
  <c r="L21" i="12"/>
  <c r="L24" i="12"/>
  <c r="L22" i="12"/>
  <c r="L5" i="12"/>
  <c r="L32" i="12"/>
  <c r="L30" i="12"/>
  <c r="L6" i="12"/>
  <c r="L39" i="12"/>
  <c r="L13" i="12"/>
  <c r="L7" i="12"/>
  <c r="L23" i="12"/>
  <c r="L14" i="12"/>
  <c r="L8" i="12"/>
  <c r="L15" i="12"/>
  <c r="L2" i="13" s="1"/>
  <c r="L9" i="12"/>
  <c r="L40" i="12"/>
  <c r="L10" i="12"/>
  <c r="L48" i="12"/>
  <c r="L38" i="12"/>
  <c r="L2" i="12"/>
  <c r="L31" i="12"/>
  <c r="L12" i="12"/>
  <c r="L4" i="12"/>
  <c r="L56" i="12"/>
  <c r="L3" i="12"/>
  <c r="L16" i="12"/>
  <c r="L11" i="12"/>
  <c r="Y18" i="2"/>
  <c r="M58" i="12"/>
  <c r="M50" i="12"/>
  <c r="M42" i="12"/>
  <c r="M59" i="12"/>
  <c r="M51" i="12"/>
  <c r="M43" i="12"/>
  <c r="M60" i="12"/>
  <c r="M52" i="12"/>
  <c r="M44" i="12"/>
  <c r="M61" i="12"/>
  <c r="M53" i="12"/>
  <c r="M45" i="12"/>
  <c r="M54" i="12"/>
  <c r="M46" i="12"/>
  <c r="M55" i="12"/>
  <c r="M47" i="12"/>
  <c r="M34" i="12"/>
  <c r="M26" i="12"/>
  <c r="M18" i="12"/>
  <c r="M35" i="12"/>
  <c r="M27" i="12"/>
  <c r="M19" i="12"/>
  <c r="M57" i="12"/>
  <c r="M36" i="12"/>
  <c r="M28" i="12"/>
  <c r="M20" i="12"/>
  <c r="M37" i="12"/>
  <c r="M29" i="12"/>
  <c r="M21" i="12"/>
  <c r="M13" i="12"/>
  <c r="M38" i="12"/>
  <c r="M30" i="12"/>
  <c r="M22" i="12"/>
  <c r="M32" i="12"/>
  <c r="M6" i="12"/>
  <c r="M39" i="12"/>
  <c r="M7" i="12"/>
  <c r="M23" i="12"/>
  <c r="M14" i="12"/>
  <c r="M8" i="12"/>
  <c r="M17" i="12"/>
  <c r="M15" i="12"/>
  <c r="M2" i="13" s="1"/>
  <c r="M9" i="12"/>
  <c r="M25" i="12"/>
  <c r="M10" i="12"/>
  <c r="M2" i="12"/>
  <c r="M48" i="12"/>
  <c r="M49" i="12"/>
  <c r="M31" i="12"/>
  <c r="M24" i="12"/>
  <c r="M12" i="12"/>
  <c r="M4" i="12"/>
  <c r="M41" i="12"/>
  <c r="M11" i="12"/>
  <c r="M56" i="12"/>
  <c r="M33" i="12"/>
  <c r="M16" i="12"/>
  <c r="M3" i="12"/>
  <c r="M40" i="12"/>
  <c r="M5" i="12"/>
  <c r="S56" i="12"/>
  <c r="S48" i="12"/>
  <c r="S57" i="12"/>
  <c r="S49" i="12"/>
  <c r="S41" i="12"/>
  <c r="S58" i="12"/>
  <c r="S50" i="12"/>
  <c r="S42" i="12"/>
  <c r="S59" i="12"/>
  <c r="S51" i="12"/>
  <c r="S43" i="12"/>
  <c r="S60" i="12"/>
  <c r="S52" i="12"/>
  <c r="S44" i="12"/>
  <c r="S61" i="12"/>
  <c r="S40" i="12"/>
  <c r="S32" i="12"/>
  <c r="S24" i="12"/>
  <c r="S16" i="12"/>
  <c r="S33" i="12"/>
  <c r="S25" i="12"/>
  <c r="S17" i="12"/>
  <c r="S54" i="12"/>
  <c r="S46" i="12"/>
  <c r="S34" i="12"/>
  <c r="S26" i="12"/>
  <c r="S18" i="12"/>
  <c r="S35" i="12"/>
  <c r="S27" i="12"/>
  <c r="S19" i="12"/>
  <c r="S36" i="12"/>
  <c r="S28" i="12"/>
  <c r="S20" i="12"/>
  <c r="S39" i="12"/>
  <c r="S14" i="12"/>
  <c r="S12" i="12"/>
  <c r="S4" i="12"/>
  <c r="S23" i="12"/>
  <c r="S21" i="12"/>
  <c r="S15" i="12"/>
  <c r="S2" i="13" s="1"/>
  <c r="S5" i="12"/>
  <c r="S53" i="12"/>
  <c r="S45" i="12"/>
  <c r="S29" i="12"/>
  <c r="S6" i="12"/>
  <c r="S55" i="12"/>
  <c r="S47" i="12"/>
  <c r="S7" i="12"/>
  <c r="S38" i="12"/>
  <c r="S31" i="12"/>
  <c r="S8" i="12"/>
  <c r="S9" i="12"/>
  <c r="S22" i="12"/>
  <c r="S11" i="12"/>
  <c r="S3" i="12"/>
  <c r="S37" i="12"/>
  <c r="S30" i="12"/>
  <c r="S13" i="12"/>
  <c r="S10" i="12"/>
  <c r="S2" i="12"/>
  <c r="F59" i="12"/>
  <c r="F51" i="12"/>
  <c r="F43" i="12"/>
  <c r="F60" i="12"/>
  <c r="F52" i="12"/>
  <c r="F44" i="12"/>
  <c r="F61" i="12"/>
  <c r="F53" i="12"/>
  <c r="F45" i="12"/>
  <c r="F54" i="12"/>
  <c r="F46" i="12"/>
  <c r="F55" i="12"/>
  <c r="F47" i="12"/>
  <c r="F35" i="12"/>
  <c r="F27" i="12"/>
  <c r="F19" i="12"/>
  <c r="F58" i="12"/>
  <c r="F41" i="12"/>
  <c r="F36" i="12"/>
  <c r="F28" i="12"/>
  <c r="F20" i="12"/>
  <c r="F37" i="12"/>
  <c r="F29" i="12"/>
  <c r="F21" i="12"/>
  <c r="F13" i="12"/>
  <c r="F38" i="12"/>
  <c r="F30" i="12"/>
  <c r="F22" i="12"/>
  <c r="F14" i="12"/>
  <c r="F57" i="12"/>
  <c r="F39" i="12"/>
  <c r="F31" i="12"/>
  <c r="F56" i="12"/>
  <c r="F48" i="12"/>
  <c r="F40" i="12"/>
  <c r="F16" i="12"/>
  <c r="F7" i="12"/>
  <c r="F24" i="12"/>
  <c r="F8" i="12"/>
  <c r="F50" i="12"/>
  <c r="F42" i="12"/>
  <c r="F18" i="12"/>
  <c r="F9" i="12"/>
  <c r="F26" i="12"/>
  <c r="F10" i="12"/>
  <c r="F2" i="12"/>
  <c r="F11" i="12"/>
  <c r="F3" i="12"/>
  <c r="F5" i="12"/>
  <c r="F17" i="12"/>
  <c r="F6" i="12"/>
  <c r="F12" i="12"/>
  <c r="F15" i="12"/>
  <c r="F2" i="13" s="1"/>
  <c r="F4" i="12"/>
  <c r="F25" i="12"/>
  <c r="F33" i="12"/>
  <c r="R55" i="12"/>
  <c r="R47" i="12"/>
  <c r="R56" i="12"/>
  <c r="R48" i="12"/>
  <c r="R57" i="12"/>
  <c r="R49" i="12"/>
  <c r="R41" i="12"/>
  <c r="R58" i="12"/>
  <c r="R50" i="12"/>
  <c r="R42" i="12"/>
  <c r="R59" i="12"/>
  <c r="R51" i="12"/>
  <c r="R43" i="12"/>
  <c r="R39" i="12"/>
  <c r="R31" i="12"/>
  <c r="R23" i="12"/>
  <c r="R15" i="12"/>
  <c r="R2" i="13" s="1"/>
  <c r="R61" i="12"/>
  <c r="R52" i="12"/>
  <c r="R44" i="12"/>
  <c r="R40" i="12"/>
  <c r="R32" i="12"/>
  <c r="R24" i="12"/>
  <c r="R16" i="12"/>
  <c r="R33" i="12"/>
  <c r="R25" i="12"/>
  <c r="R17" i="12"/>
  <c r="R54" i="12"/>
  <c r="R46" i="12"/>
  <c r="R34" i="12"/>
  <c r="R26" i="12"/>
  <c r="R18" i="12"/>
  <c r="R60" i="12"/>
  <c r="R35" i="12"/>
  <c r="R27" i="12"/>
  <c r="R19" i="12"/>
  <c r="R37" i="12"/>
  <c r="R30" i="12"/>
  <c r="R13" i="12"/>
  <c r="R11" i="12"/>
  <c r="R3" i="12"/>
  <c r="R14" i="12"/>
  <c r="R12" i="12"/>
  <c r="R4" i="12"/>
  <c r="R21" i="12"/>
  <c r="R5" i="12"/>
  <c r="R53" i="12"/>
  <c r="R45" i="12"/>
  <c r="R36" i="12"/>
  <c r="R29" i="12"/>
  <c r="R6" i="12"/>
  <c r="R7" i="12"/>
  <c r="R38" i="12"/>
  <c r="R2" i="12"/>
  <c r="R9" i="12"/>
  <c r="R20" i="12"/>
  <c r="R22" i="12"/>
  <c r="R28" i="12"/>
  <c r="R10" i="12"/>
  <c r="R8" i="12"/>
  <c r="N59" i="12"/>
  <c r="N51" i="12"/>
  <c r="N43" i="12"/>
  <c r="N60" i="12"/>
  <c r="N52" i="12"/>
  <c r="N44" i="12"/>
  <c r="N61" i="12"/>
  <c r="N53" i="12"/>
  <c r="N45" i="12"/>
  <c r="N54" i="12"/>
  <c r="N46" i="12"/>
  <c r="N55" i="12"/>
  <c r="N47" i="12"/>
  <c r="N35" i="12"/>
  <c r="N27" i="12"/>
  <c r="N19" i="12"/>
  <c r="N57" i="12"/>
  <c r="N36" i="12"/>
  <c r="N28" i="12"/>
  <c r="N20" i="12"/>
  <c r="N37" i="12"/>
  <c r="N29" i="12"/>
  <c r="N21" i="12"/>
  <c r="N13" i="12"/>
  <c r="N50" i="12"/>
  <c r="N42" i="12"/>
  <c r="N38" i="12"/>
  <c r="N30" i="12"/>
  <c r="N22" i="12"/>
  <c r="N14" i="12"/>
  <c r="N56" i="12"/>
  <c r="N48" i="12"/>
  <c r="N39" i="12"/>
  <c r="N31" i="12"/>
  <c r="N23" i="12"/>
  <c r="N26" i="12"/>
  <c r="N7" i="12"/>
  <c r="N8" i="12"/>
  <c r="N17" i="12"/>
  <c r="N15" i="12"/>
  <c r="N2" i="13" s="1"/>
  <c r="N9" i="12"/>
  <c r="N25" i="12"/>
  <c r="N10" i="12"/>
  <c r="N2" i="12"/>
  <c r="N33" i="12"/>
  <c r="N11" i="12"/>
  <c r="N3" i="12"/>
  <c r="N49" i="12"/>
  <c r="N24" i="12"/>
  <c r="N12" i="12"/>
  <c r="N4" i="12"/>
  <c r="N58" i="12"/>
  <c r="N34" i="12"/>
  <c r="N32" i="12"/>
  <c r="N41" i="12"/>
  <c r="N40" i="12"/>
  <c r="N18" i="12"/>
  <c r="N5" i="12"/>
  <c r="N16" i="12"/>
  <c r="N6" i="12"/>
  <c r="V60" i="10" l="1"/>
  <c r="V52" i="10"/>
  <c r="V61" i="10"/>
  <c r="V53" i="10"/>
  <c r="V54" i="10"/>
  <c r="V46" i="10"/>
  <c r="V55" i="10"/>
  <c r="V47" i="10"/>
  <c r="V56" i="10"/>
  <c r="V48" i="10"/>
  <c r="V58" i="10"/>
  <c r="V49" i="10"/>
  <c r="V39" i="10"/>
  <c r="V40" i="10"/>
  <c r="V32" i="10"/>
  <c r="V24" i="10"/>
  <c r="V16" i="10"/>
  <c r="V51" i="10"/>
  <c r="V41" i="10"/>
  <c r="V33" i="10"/>
  <c r="V25" i="10"/>
  <c r="V17" i="10"/>
  <c r="V9" i="10"/>
  <c r="V57" i="10"/>
  <c r="V42" i="10"/>
  <c r="V34" i="10"/>
  <c r="V26" i="10"/>
  <c r="V18" i="10"/>
  <c r="V10" i="10"/>
  <c r="V43" i="10"/>
  <c r="V35" i="10"/>
  <c r="V27" i="10"/>
  <c r="V19" i="10"/>
  <c r="V59" i="10"/>
  <c r="V45" i="10"/>
  <c r="V28" i="10"/>
  <c r="V20" i="10"/>
  <c r="V13" i="10"/>
  <c r="V5" i="10"/>
  <c r="V37" i="10"/>
  <c r="V29" i="10"/>
  <c r="V21" i="10"/>
  <c r="V30" i="10"/>
  <c r="V22" i="10"/>
  <c r="V15" i="10"/>
  <c r="V2" i="11" s="1"/>
  <c r="V44" i="10"/>
  <c r="V31" i="10"/>
  <c r="V12" i="10"/>
  <c r="V4" i="10"/>
  <c r="V50" i="10"/>
  <c r="V36" i="10"/>
  <c r="V8" i="10"/>
  <c r="V38" i="10"/>
  <c r="V14" i="10"/>
  <c r="V11" i="10"/>
  <c r="V7" i="10"/>
  <c r="V23" i="10"/>
  <c r="V3" i="10"/>
  <c r="V6" i="10"/>
  <c r="V2" i="10"/>
  <c r="W70" i="2"/>
  <c r="X7" i="3" s="1"/>
  <c r="X19" i="2"/>
  <c r="W67" i="2"/>
  <c r="X4" i="3" s="1"/>
  <c r="W69" i="2"/>
  <c r="X6" i="3" s="1"/>
  <c r="V59" i="12"/>
  <c r="V51" i="12"/>
  <c r="V43" i="12"/>
  <c r="V60" i="12"/>
  <c r="V52" i="12"/>
  <c r="V44" i="12"/>
  <c r="V61" i="12"/>
  <c r="V53" i="12"/>
  <c r="V45" i="12"/>
  <c r="V54" i="12"/>
  <c r="V46" i="12"/>
  <c r="V55" i="12"/>
  <c r="V47" i="12"/>
  <c r="V50" i="12"/>
  <c r="V42" i="12"/>
  <c r="V35" i="12"/>
  <c r="V27" i="12"/>
  <c r="V19" i="12"/>
  <c r="V56" i="12"/>
  <c r="V48" i="12"/>
  <c r="V36" i="12"/>
  <c r="V28" i="12"/>
  <c r="V20" i="12"/>
  <c r="V37" i="12"/>
  <c r="V29" i="12"/>
  <c r="V21" i="12"/>
  <c r="V13" i="12"/>
  <c r="V58" i="12"/>
  <c r="V49" i="12"/>
  <c r="V41" i="12"/>
  <c r="V38" i="12"/>
  <c r="V30" i="12"/>
  <c r="V22" i="12"/>
  <c r="V14" i="12"/>
  <c r="V39" i="12"/>
  <c r="V31" i="12"/>
  <c r="V23" i="12"/>
  <c r="V25" i="12"/>
  <c r="V7" i="12"/>
  <c r="V57" i="12"/>
  <c r="V33" i="12"/>
  <c r="V8" i="12"/>
  <c r="V40" i="12"/>
  <c r="V34" i="12"/>
  <c r="V16" i="12"/>
  <c r="V9" i="12"/>
  <c r="V24" i="12"/>
  <c r="V10" i="12"/>
  <c r="V2" i="12"/>
  <c r="V32" i="12"/>
  <c r="V18" i="12"/>
  <c r="V11" i="12"/>
  <c r="V3" i="12"/>
  <c r="V17" i="12"/>
  <c r="V15" i="12"/>
  <c r="V2" i="13" s="1"/>
  <c r="V5" i="12"/>
  <c r="V6" i="12"/>
  <c r="V26" i="12"/>
  <c r="V4" i="12"/>
  <c r="V12" i="12"/>
  <c r="W66" i="2"/>
  <c r="X3" i="3" s="1"/>
  <c r="W6" i="4" s="1"/>
  <c r="X17" i="2"/>
  <c r="V57" i="6"/>
  <c r="V49" i="6"/>
  <c r="V41" i="6"/>
  <c r="V33" i="6"/>
  <c r="V25" i="6"/>
  <c r="V58" i="6"/>
  <c r="V50" i="6"/>
  <c r="V42" i="6"/>
  <c r="V34" i="6"/>
  <c r="V26" i="6"/>
  <c r="V59" i="6"/>
  <c r="V51" i="6"/>
  <c r="V43" i="6"/>
  <c r="V35" i="6"/>
  <c r="V27" i="6"/>
  <c r="V60" i="6"/>
  <c r="V52" i="6"/>
  <c r="V44" i="6"/>
  <c r="V36" i="6"/>
  <c r="V28" i="6"/>
  <c r="V61" i="6"/>
  <c r="V53" i="6"/>
  <c r="V45" i="6"/>
  <c r="V37" i="6"/>
  <c r="V29" i="6"/>
  <c r="V54" i="6"/>
  <c r="V46" i="6"/>
  <c r="V38" i="6"/>
  <c r="V30" i="6"/>
  <c r="V55" i="6"/>
  <c r="V47" i="6"/>
  <c r="V39" i="6"/>
  <c r="V31" i="6"/>
  <c r="V48" i="6"/>
  <c r="V19" i="6"/>
  <c r="V11" i="6"/>
  <c r="V24" i="6"/>
  <c r="V20" i="6"/>
  <c r="V12" i="6"/>
  <c r="V21" i="6"/>
  <c r="V13" i="6"/>
  <c r="V22" i="6"/>
  <c r="V14" i="6"/>
  <c r="V6" i="6"/>
  <c r="V56" i="6"/>
  <c r="V23" i="6"/>
  <c r="V15" i="6"/>
  <c r="V2" i="7" s="1"/>
  <c r="V7" i="6"/>
  <c r="V16" i="6"/>
  <c r="V8" i="6"/>
  <c r="V32" i="6"/>
  <c r="V17" i="6"/>
  <c r="V9" i="6"/>
  <c r="V40" i="6"/>
  <c r="V18" i="6"/>
  <c r="V10" i="6"/>
  <c r="V2" i="6"/>
  <c r="V3" i="6"/>
  <c r="V4" i="6"/>
  <c r="V5" i="6"/>
  <c r="V65" i="2"/>
  <c r="W2" i="3" s="1"/>
  <c r="W16" i="2"/>
  <c r="Z18" i="2"/>
  <c r="U59" i="4"/>
  <c r="U51" i="4"/>
  <c r="U43" i="4"/>
  <c r="U35" i="4"/>
  <c r="U27" i="4"/>
  <c r="U60" i="4"/>
  <c r="U52" i="4"/>
  <c r="U44" i="4"/>
  <c r="U36" i="4"/>
  <c r="U28" i="4"/>
  <c r="U61" i="4"/>
  <c r="U53" i="4"/>
  <c r="U45" i="4"/>
  <c r="U37" i="4"/>
  <c r="U29" i="4"/>
  <c r="U54" i="4"/>
  <c r="U46" i="4"/>
  <c r="U38" i="4"/>
  <c r="U30" i="4"/>
  <c r="U55" i="4"/>
  <c r="U47" i="4"/>
  <c r="U39" i="4"/>
  <c r="U31" i="4"/>
  <c r="U56" i="4"/>
  <c r="U48" i="4"/>
  <c r="U40" i="4"/>
  <c r="U32" i="4"/>
  <c r="U24" i="4"/>
  <c r="U57" i="4"/>
  <c r="U49" i="4"/>
  <c r="U41" i="4"/>
  <c r="U33" i="4"/>
  <c r="U25" i="4"/>
  <c r="U58" i="4"/>
  <c r="U50" i="4"/>
  <c r="U42" i="4"/>
  <c r="U34" i="4"/>
  <c r="U26" i="4"/>
  <c r="U19" i="4"/>
  <c r="U11" i="4"/>
  <c r="U3" i="4"/>
  <c r="U20" i="4"/>
  <c r="U12" i="4"/>
  <c r="U4" i="4"/>
  <c r="U21" i="4"/>
  <c r="U13" i="4"/>
  <c r="U5" i="4"/>
  <c r="U14" i="4"/>
  <c r="U15" i="4"/>
  <c r="U2" i="5" s="1"/>
  <c r="U7" i="4"/>
  <c r="U22" i="4"/>
  <c r="U16" i="4"/>
  <c r="U8" i="4"/>
  <c r="U23" i="4"/>
  <c r="U17" i="4"/>
  <c r="U9" i="4"/>
  <c r="U18" i="4"/>
  <c r="U10" i="4"/>
  <c r="U2" i="4"/>
  <c r="AA18" i="2" l="1"/>
  <c r="X70" i="2"/>
  <c r="Y7" i="3" s="1"/>
  <c r="Y19" i="2"/>
  <c r="X67" i="2"/>
  <c r="Y4" i="3" s="1"/>
  <c r="X69" i="2"/>
  <c r="Y6" i="3" s="1"/>
  <c r="W61" i="10"/>
  <c r="W53" i="10"/>
  <c r="W54" i="10"/>
  <c r="W46" i="10"/>
  <c r="W55" i="10"/>
  <c r="W47" i="10"/>
  <c r="W56" i="10"/>
  <c r="W48" i="10"/>
  <c r="W57" i="10"/>
  <c r="W49" i="10"/>
  <c r="W40" i="10"/>
  <c r="W60" i="10"/>
  <c r="W51" i="10"/>
  <c r="W41" i="10"/>
  <c r="W33" i="10"/>
  <c r="W25" i="10"/>
  <c r="W17" i="10"/>
  <c r="W9" i="10"/>
  <c r="W42" i="10"/>
  <c r="W34" i="10"/>
  <c r="W26" i="10"/>
  <c r="W18" i="10"/>
  <c r="W10" i="10"/>
  <c r="W2" i="10"/>
  <c r="W43" i="10"/>
  <c r="W35" i="10"/>
  <c r="W27" i="10"/>
  <c r="W19" i="10"/>
  <c r="W11" i="10"/>
  <c r="W59" i="10"/>
  <c r="W50" i="10"/>
  <c r="W44" i="10"/>
  <c r="W36" i="10"/>
  <c r="W28" i="10"/>
  <c r="W20" i="10"/>
  <c r="W52" i="10"/>
  <c r="W37" i="10"/>
  <c r="W29" i="10"/>
  <c r="W21" i="10"/>
  <c r="W30" i="10"/>
  <c r="W22" i="10"/>
  <c r="W31" i="10"/>
  <c r="W58" i="10"/>
  <c r="W7" i="10"/>
  <c r="W6" i="10"/>
  <c r="W38" i="10"/>
  <c r="W14" i="10"/>
  <c r="W23" i="10"/>
  <c r="W16" i="10"/>
  <c r="W5" i="10"/>
  <c r="W3" i="10"/>
  <c r="W45" i="10"/>
  <c r="W12" i="10"/>
  <c r="W39" i="10"/>
  <c r="W24" i="10"/>
  <c r="W15" i="10"/>
  <c r="W2" i="11" s="1"/>
  <c r="W13" i="10"/>
  <c r="W4" i="10"/>
  <c r="W8" i="10"/>
  <c r="W32" i="10"/>
  <c r="W58" i="6"/>
  <c r="W50" i="6"/>
  <c r="W42" i="6"/>
  <c r="W34" i="6"/>
  <c r="W26" i="6"/>
  <c r="W59" i="6"/>
  <c r="W51" i="6"/>
  <c r="W43" i="6"/>
  <c r="W35" i="6"/>
  <c r="W27" i="6"/>
  <c r="W60" i="6"/>
  <c r="W52" i="6"/>
  <c r="W44" i="6"/>
  <c r="W36" i="6"/>
  <c r="W28" i="6"/>
  <c r="W61" i="6"/>
  <c r="W53" i="6"/>
  <c r="W45" i="6"/>
  <c r="W37" i="6"/>
  <c r="W29" i="6"/>
  <c r="W54" i="6"/>
  <c r="W46" i="6"/>
  <c r="W38" i="6"/>
  <c r="W30" i="6"/>
  <c r="W55" i="6"/>
  <c r="W47" i="6"/>
  <c r="W39" i="6"/>
  <c r="W31" i="6"/>
  <c r="W56" i="6"/>
  <c r="W48" i="6"/>
  <c r="W40" i="6"/>
  <c r="W32" i="6"/>
  <c r="W24" i="6"/>
  <c r="W57" i="6"/>
  <c r="W20" i="6"/>
  <c r="W12" i="6"/>
  <c r="W21" i="6"/>
  <c r="W13" i="6"/>
  <c r="W33" i="6"/>
  <c r="W22" i="6"/>
  <c r="W14" i="6"/>
  <c r="W6" i="6"/>
  <c r="W41" i="6"/>
  <c r="W23" i="6"/>
  <c r="W15" i="6"/>
  <c r="W2" i="7" s="1"/>
  <c r="W7" i="6"/>
  <c r="W16" i="6"/>
  <c r="W8" i="6"/>
  <c r="W25" i="6"/>
  <c r="W17" i="6"/>
  <c r="W9" i="6"/>
  <c r="W18" i="6"/>
  <c r="W10" i="6"/>
  <c r="W49" i="6"/>
  <c r="W19" i="6"/>
  <c r="W11" i="6"/>
  <c r="W2" i="6"/>
  <c r="W3" i="6"/>
  <c r="W4" i="6"/>
  <c r="W5" i="6"/>
  <c r="W60" i="12"/>
  <c r="W52" i="12"/>
  <c r="W44" i="12"/>
  <c r="W61" i="12"/>
  <c r="W53" i="12"/>
  <c r="W45" i="12"/>
  <c r="W54" i="12"/>
  <c r="W46" i="12"/>
  <c r="W55" i="12"/>
  <c r="W47" i="12"/>
  <c r="W56" i="12"/>
  <c r="W48" i="12"/>
  <c r="W40" i="12"/>
  <c r="W36" i="12"/>
  <c r="W28" i="12"/>
  <c r="W20" i="12"/>
  <c r="W37" i="12"/>
  <c r="W29" i="12"/>
  <c r="W21" i="12"/>
  <c r="W13" i="12"/>
  <c r="W58" i="12"/>
  <c r="W49" i="12"/>
  <c r="W41" i="12"/>
  <c r="W38" i="12"/>
  <c r="W30" i="12"/>
  <c r="W22" i="12"/>
  <c r="W14" i="12"/>
  <c r="W39" i="12"/>
  <c r="W31" i="12"/>
  <c r="W23" i="12"/>
  <c r="W15" i="12"/>
  <c r="W2" i="13" s="1"/>
  <c r="W51" i="12"/>
  <c r="W43" i="12"/>
  <c r="W32" i="12"/>
  <c r="W24" i="12"/>
  <c r="W16" i="12"/>
  <c r="W57" i="12"/>
  <c r="W50" i="12"/>
  <c r="W42" i="12"/>
  <c r="W33" i="12"/>
  <c r="W19" i="12"/>
  <c r="W8" i="12"/>
  <c r="W59" i="12"/>
  <c r="W34" i="12"/>
  <c r="W27" i="12"/>
  <c r="W9" i="12"/>
  <c r="W10" i="12"/>
  <c r="W2" i="12"/>
  <c r="W18" i="12"/>
  <c r="W11" i="12"/>
  <c r="W3" i="12"/>
  <c r="W26" i="12"/>
  <c r="W12" i="12"/>
  <c r="W4" i="12"/>
  <c r="W17" i="12"/>
  <c r="W7" i="12"/>
  <c r="W5" i="12"/>
  <c r="W25" i="12"/>
  <c r="W6" i="12"/>
  <c r="W35" i="12"/>
  <c r="X66" i="2"/>
  <c r="Y3" i="3" s="1"/>
  <c r="X6" i="4" s="1"/>
  <c r="Y17" i="2"/>
  <c r="X16" i="2"/>
  <c r="W65" i="2"/>
  <c r="X2" i="3" s="1"/>
  <c r="V60" i="4"/>
  <c r="V52" i="4"/>
  <c r="V44" i="4"/>
  <c r="V36" i="4"/>
  <c r="V28" i="4"/>
  <c r="V61" i="4"/>
  <c r="V53" i="4"/>
  <c r="V45" i="4"/>
  <c r="V37" i="4"/>
  <c r="V29" i="4"/>
  <c r="V54" i="4"/>
  <c r="V46" i="4"/>
  <c r="V38" i="4"/>
  <c r="V30" i="4"/>
  <c r="V55" i="4"/>
  <c r="V47" i="4"/>
  <c r="V39" i="4"/>
  <c r="V31" i="4"/>
  <c r="V23" i="4"/>
  <c r="V56" i="4"/>
  <c r="V48" i="4"/>
  <c r="V40" i="4"/>
  <c r="V32" i="4"/>
  <c r="V24" i="4"/>
  <c r="V57" i="4"/>
  <c r="V49" i="4"/>
  <c r="V41" i="4"/>
  <c r="V33" i="4"/>
  <c r="V25" i="4"/>
  <c r="V58" i="4"/>
  <c r="V50" i="4"/>
  <c r="V42" i="4"/>
  <c r="V34" i="4"/>
  <c r="V26" i="4"/>
  <c r="V59" i="4"/>
  <c r="V51" i="4"/>
  <c r="V43" i="4"/>
  <c r="V35" i="4"/>
  <c r="V27" i="4"/>
  <c r="V20" i="4"/>
  <c r="V12" i="4"/>
  <c r="V4" i="4"/>
  <c r="V21" i="4"/>
  <c r="V13" i="4"/>
  <c r="V5" i="4"/>
  <c r="V14" i="4"/>
  <c r="V15" i="4"/>
  <c r="V2" i="5" s="1"/>
  <c r="V7" i="4"/>
  <c r="V22" i="4"/>
  <c r="V16" i="4"/>
  <c r="V8" i="4"/>
  <c r="V17" i="4"/>
  <c r="V9" i="4"/>
  <c r="V18" i="4"/>
  <c r="V10" i="4"/>
  <c r="V2" i="4"/>
  <c r="V19" i="4"/>
  <c r="V11" i="4"/>
  <c r="V3" i="4"/>
  <c r="W61" i="4" l="1"/>
  <c r="W53" i="4"/>
  <c r="W45" i="4"/>
  <c r="W37" i="4"/>
  <c r="W29" i="4"/>
  <c r="W54" i="4"/>
  <c r="W46" i="4"/>
  <c r="W38" i="4"/>
  <c r="W30" i="4"/>
  <c r="W55" i="4"/>
  <c r="W47" i="4"/>
  <c r="W39" i="4"/>
  <c r="W31" i="4"/>
  <c r="W23" i="4"/>
  <c r="W56" i="4"/>
  <c r="W48" i="4"/>
  <c r="W40" i="4"/>
  <c r="W32" i="4"/>
  <c r="W24" i="4"/>
  <c r="W57" i="4"/>
  <c r="W49" i="4"/>
  <c r="W41" i="4"/>
  <c r="W33" i="4"/>
  <c r="W25" i="4"/>
  <c r="W58" i="4"/>
  <c r="W50" i="4"/>
  <c r="W42" i="4"/>
  <c r="W34" i="4"/>
  <c r="W26" i="4"/>
  <c r="W59" i="4"/>
  <c r="W51" i="4"/>
  <c r="W43" i="4"/>
  <c r="W35" i="4"/>
  <c r="W27" i="4"/>
  <c r="W60" i="4"/>
  <c r="W52" i="4"/>
  <c r="W44" i="4"/>
  <c r="W36" i="4"/>
  <c r="W28" i="4"/>
  <c r="W21" i="4"/>
  <c r="W13" i="4"/>
  <c r="W5" i="4"/>
  <c r="W14" i="4"/>
  <c r="W15" i="4"/>
  <c r="W2" i="5" s="1"/>
  <c r="W7" i="4"/>
  <c r="W22" i="4"/>
  <c r="W16" i="4"/>
  <c r="W8" i="4"/>
  <c r="W17" i="4"/>
  <c r="W9" i="4"/>
  <c r="W18" i="4"/>
  <c r="W10" i="4"/>
  <c r="W2" i="4"/>
  <c r="W19" i="4"/>
  <c r="W11" i="4"/>
  <c r="W3" i="4"/>
  <c r="W20" i="4"/>
  <c r="W12" i="4"/>
  <c r="W4" i="4"/>
  <c r="X65" i="2"/>
  <c r="Y2" i="3" s="1"/>
  <c r="Y16" i="2"/>
  <c r="X59" i="6"/>
  <c r="X51" i="6"/>
  <c r="X43" i="6"/>
  <c r="X35" i="6"/>
  <c r="X27" i="6"/>
  <c r="X60" i="6"/>
  <c r="X52" i="6"/>
  <c r="X44" i="6"/>
  <c r="X36" i="6"/>
  <c r="X28" i="6"/>
  <c r="X61" i="6"/>
  <c r="X53" i="6"/>
  <c r="X45" i="6"/>
  <c r="X37" i="6"/>
  <c r="X29" i="6"/>
  <c r="X54" i="6"/>
  <c r="X46" i="6"/>
  <c r="X38" i="6"/>
  <c r="X30" i="6"/>
  <c r="X55" i="6"/>
  <c r="X47" i="6"/>
  <c r="X39" i="6"/>
  <c r="X31" i="6"/>
  <c r="X56" i="6"/>
  <c r="X48" i="6"/>
  <c r="X40" i="6"/>
  <c r="X32" i="6"/>
  <c r="X24" i="6"/>
  <c r="X57" i="6"/>
  <c r="X49" i="6"/>
  <c r="X41" i="6"/>
  <c r="X33" i="6"/>
  <c r="X25" i="6"/>
  <c r="X21" i="6"/>
  <c r="X13" i="6"/>
  <c r="X34" i="6"/>
  <c r="X26" i="6"/>
  <c r="X22" i="6"/>
  <c r="X14" i="6"/>
  <c r="X23" i="6"/>
  <c r="X15" i="6"/>
  <c r="X2" i="7" s="1"/>
  <c r="X7" i="6"/>
  <c r="X50" i="6"/>
  <c r="X16" i="6"/>
  <c r="X8" i="6"/>
  <c r="X58" i="6"/>
  <c r="X17" i="6"/>
  <c r="X9" i="6"/>
  <c r="X18" i="6"/>
  <c r="X10" i="6"/>
  <c r="X19" i="6"/>
  <c r="X11" i="6"/>
  <c r="X42" i="6"/>
  <c r="X20" i="6"/>
  <c r="X12" i="6"/>
  <c r="X2" i="6"/>
  <c r="X3" i="6"/>
  <c r="X4" i="6"/>
  <c r="X5" i="6"/>
  <c r="X6" i="6"/>
  <c r="Y66" i="2"/>
  <c r="Z3" i="3" s="1"/>
  <c r="Y6" i="4" s="1"/>
  <c r="Z17" i="2"/>
  <c r="Z19" i="2"/>
  <c r="Y67" i="2"/>
  <c r="Z4" i="3" s="1"/>
  <c r="Y70" i="2"/>
  <c r="Z7" i="3" s="1"/>
  <c r="Y69" i="2"/>
  <c r="Z6" i="3" s="1"/>
  <c r="X61" i="12"/>
  <c r="X53" i="12"/>
  <c r="X45" i="12"/>
  <c r="X54" i="12"/>
  <c r="X46" i="12"/>
  <c r="X55" i="12"/>
  <c r="X47" i="12"/>
  <c r="X56" i="12"/>
  <c r="X48" i="12"/>
  <c r="X57" i="12"/>
  <c r="X49" i="12"/>
  <c r="X41" i="12"/>
  <c r="X52" i="12"/>
  <c r="X44" i="12"/>
  <c r="X37" i="12"/>
  <c r="X29" i="12"/>
  <c r="X21" i="12"/>
  <c r="X13" i="12"/>
  <c r="X58" i="12"/>
  <c r="X38" i="12"/>
  <c r="X30" i="12"/>
  <c r="X22" i="12"/>
  <c r="X14" i="12"/>
  <c r="X39" i="12"/>
  <c r="X31" i="12"/>
  <c r="X23" i="12"/>
  <c r="X15" i="12"/>
  <c r="X2" i="13" s="1"/>
  <c r="X60" i="12"/>
  <c r="X51" i="12"/>
  <c r="X43" i="12"/>
  <c r="X32" i="12"/>
  <c r="X24" i="12"/>
  <c r="X16" i="12"/>
  <c r="X40" i="12"/>
  <c r="X33" i="12"/>
  <c r="X25" i="12"/>
  <c r="X17" i="12"/>
  <c r="X59" i="12"/>
  <c r="X34" i="12"/>
  <c r="X27" i="12"/>
  <c r="X9" i="12"/>
  <c r="X10" i="12"/>
  <c r="X2" i="12"/>
  <c r="X36" i="12"/>
  <c r="X18" i="12"/>
  <c r="X11" i="12"/>
  <c r="X3" i="12"/>
  <c r="X26" i="12"/>
  <c r="X12" i="12"/>
  <c r="X4" i="12"/>
  <c r="X20" i="12"/>
  <c r="X5" i="12"/>
  <c r="X19" i="12"/>
  <c r="X42" i="12"/>
  <c r="X6" i="12"/>
  <c r="X35" i="12"/>
  <c r="X8" i="12"/>
  <c r="X28" i="12"/>
  <c r="X7" i="12"/>
  <c r="X50" i="12"/>
  <c r="AB18" i="2"/>
  <c r="X54" i="10"/>
  <c r="X46" i="10"/>
  <c r="X55" i="10"/>
  <c r="X47" i="10"/>
  <c r="X56" i="10"/>
  <c r="X48" i="10"/>
  <c r="X57" i="10"/>
  <c r="X49" i="10"/>
  <c r="X58" i="10"/>
  <c r="X50" i="10"/>
  <c r="X60" i="10"/>
  <c r="X51" i="10"/>
  <c r="X41" i="10"/>
  <c r="X42" i="10"/>
  <c r="X34" i="10"/>
  <c r="X26" i="10"/>
  <c r="X18" i="10"/>
  <c r="X10" i="10"/>
  <c r="X53" i="10"/>
  <c r="X43" i="10"/>
  <c r="X35" i="10"/>
  <c r="X27" i="10"/>
  <c r="X19" i="10"/>
  <c r="X11" i="10"/>
  <c r="X3" i="10"/>
  <c r="X59" i="10"/>
  <c r="X44" i="10"/>
  <c r="X36" i="10"/>
  <c r="X28" i="10"/>
  <c r="X20" i="10"/>
  <c r="X12" i="10"/>
  <c r="X45" i="10"/>
  <c r="X37" i="10"/>
  <c r="X29" i="10"/>
  <c r="X21" i="10"/>
  <c r="X30" i="10"/>
  <c r="X22" i="10"/>
  <c r="X15" i="10"/>
  <c r="X2" i="11" s="1"/>
  <c r="X2" i="10"/>
  <c r="X31" i="10"/>
  <c r="X61" i="10"/>
  <c r="X40" i="10"/>
  <c r="X17" i="10"/>
  <c r="X14" i="10"/>
  <c r="X8" i="10"/>
  <c r="X52" i="10"/>
  <c r="X38" i="10"/>
  <c r="X39" i="10"/>
  <c r="X23" i="10"/>
  <c r="X16" i="10"/>
  <c r="X7" i="10"/>
  <c r="X5" i="10"/>
  <c r="X33" i="10"/>
  <c r="X6" i="10"/>
  <c r="X24" i="10"/>
  <c r="X13" i="10"/>
  <c r="X4" i="10"/>
  <c r="X32" i="10"/>
  <c r="X25" i="10"/>
  <c r="X9" i="10"/>
  <c r="Y55" i="10" l="1"/>
  <c r="Y47" i="10"/>
  <c r="Y56" i="10"/>
  <c r="Y48" i="10"/>
  <c r="Y57" i="10"/>
  <c r="Y49" i="10"/>
  <c r="Y58" i="10"/>
  <c r="Y50" i="10"/>
  <c r="Y59" i="10"/>
  <c r="Y51" i="10"/>
  <c r="Y42" i="10"/>
  <c r="Y53" i="10"/>
  <c r="Y43" i="10"/>
  <c r="Y35" i="10"/>
  <c r="Y27" i="10"/>
  <c r="Y19" i="10"/>
  <c r="Y11" i="10"/>
  <c r="Y44" i="10"/>
  <c r="Y36" i="10"/>
  <c r="Y28" i="10"/>
  <c r="Y20" i="10"/>
  <c r="Y12" i="10"/>
  <c r="Y4" i="10"/>
  <c r="Y45" i="10"/>
  <c r="Y37" i="10"/>
  <c r="Y29" i="10"/>
  <c r="Y21" i="10"/>
  <c r="Y13" i="10"/>
  <c r="Y61" i="10"/>
  <c r="Y52" i="10"/>
  <c r="Y38" i="10"/>
  <c r="Y30" i="10"/>
  <c r="Y22" i="10"/>
  <c r="Y54" i="10"/>
  <c r="Y31" i="10"/>
  <c r="Y46" i="10"/>
  <c r="Y40" i="10"/>
  <c r="Y14" i="10"/>
  <c r="Y39" i="10"/>
  <c r="Y23" i="10"/>
  <c r="Y60" i="10"/>
  <c r="Y33" i="10"/>
  <c r="Y26" i="10"/>
  <c r="Y3" i="10"/>
  <c r="Y18" i="10"/>
  <c r="Y6" i="10"/>
  <c r="Y24" i="10"/>
  <c r="Y17" i="10"/>
  <c r="Y15" i="10"/>
  <c r="Y2" i="11" s="1"/>
  <c r="Y41" i="10"/>
  <c r="Y32" i="10"/>
  <c r="Y25" i="10"/>
  <c r="Y9" i="10"/>
  <c r="Y2" i="10"/>
  <c r="Y34" i="10"/>
  <c r="Y8" i="10"/>
  <c r="Y16" i="10"/>
  <c r="Y7" i="10"/>
  <c r="Y10" i="10"/>
  <c r="Y5" i="10"/>
  <c r="Y54" i="12"/>
  <c r="Y46" i="12"/>
  <c r="Y55" i="12"/>
  <c r="Y47" i="12"/>
  <c r="Y56" i="12"/>
  <c r="Y48" i="12"/>
  <c r="Y57" i="12"/>
  <c r="Y49" i="12"/>
  <c r="Y41" i="12"/>
  <c r="Y58" i="12"/>
  <c r="Y50" i="12"/>
  <c r="Y42" i="12"/>
  <c r="Y38" i="12"/>
  <c r="Y30" i="12"/>
  <c r="Y22" i="12"/>
  <c r="Y14" i="12"/>
  <c r="Y39" i="12"/>
  <c r="Y31" i="12"/>
  <c r="Y23" i="12"/>
  <c r="Y15" i="12"/>
  <c r="Y2" i="13" s="1"/>
  <c r="Y60" i="12"/>
  <c r="Y51" i="12"/>
  <c r="Y43" i="12"/>
  <c r="Y32" i="12"/>
  <c r="Y24" i="12"/>
  <c r="Y16" i="12"/>
  <c r="Y40" i="12"/>
  <c r="Y33" i="12"/>
  <c r="Y25" i="12"/>
  <c r="Y17" i="12"/>
  <c r="Y53" i="12"/>
  <c r="Y45" i="12"/>
  <c r="Y34" i="12"/>
  <c r="Y26" i="12"/>
  <c r="Y18" i="12"/>
  <c r="Y61" i="12"/>
  <c r="Y21" i="12"/>
  <c r="Y10" i="12"/>
  <c r="Y2" i="12"/>
  <c r="Y36" i="12"/>
  <c r="Y29" i="12"/>
  <c r="Y11" i="12"/>
  <c r="Y3" i="12"/>
  <c r="Y12" i="12"/>
  <c r="Y4" i="12"/>
  <c r="Y20" i="12"/>
  <c r="Y5" i="12"/>
  <c r="Y35" i="12"/>
  <c r="Y28" i="12"/>
  <c r="Y6" i="12"/>
  <c r="Y59" i="12"/>
  <c r="Y9" i="12"/>
  <c r="Y27" i="12"/>
  <c r="Y8" i="12"/>
  <c r="Y52" i="12"/>
  <c r="Y37" i="12"/>
  <c r="Y13" i="12"/>
  <c r="Y7" i="12"/>
  <c r="Y19" i="12"/>
  <c r="Y44" i="12"/>
  <c r="AC18" i="2"/>
  <c r="Y60" i="6"/>
  <c r="Y52" i="6"/>
  <c r="Y44" i="6"/>
  <c r="Y36" i="6"/>
  <c r="Y28" i="6"/>
  <c r="Y61" i="6"/>
  <c r="Y53" i="6"/>
  <c r="Y45" i="6"/>
  <c r="Y37" i="6"/>
  <c r="Y29" i="6"/>
  <c r="Y54" i="6"/>
  <c r="Y46" i="6"/>
  <c r="Y38" i="6"/>
  <c r="Y30" i="6"/>
  <c r="Y55" i="6"/>
  <c r="Y47" i="6"/>
  <c r="Y39" i="6"/>
  <c r="Y31" i="6"/>
  <c r="Y56" i="6"/>
  <c r="Y48" i="6"/>
  <c r="Y40" i="6"/>
  <c r="Y32" i="6"/>
  <c r="Y24" i="6"/>
  <c r="Y57" i="6"/>
  <c r="Y49" i="6"/>
  <c r="Y41" i="6"/>
  <c r="Y33" i="6"/>
  <c r="Y25" i="6"/>
  <c r="Y58" i="6"/>
  <c r="Y50" i="6"/>
  <c r="Y42" i="6"/>
  <c r="Y34" i="6"/>
  <c r="Y26" i="6"/>
  <c r="Y59" i="6"/>
  <c r="Y22" i="6"/>
  <c r="Y14" i="6"/>
  <c r="Y6" i="6"/>
  <c r="Y23" i="6"/>
  <c r="Y15" i="6"/>
  <c r="Y2" i="7" s="1"/>
  <c r="Y7" i="6"/>
  <c r="Y16" i="6"/>
  <c r="Y8" i="6"/>
  <c r="Y43" i="6"/>
  <c r="Y17" i="6"/>
  <c r="Y9" i="6"/>
  <c r="Y18" i="6"/>
  <c r="Y10" i="6"/>
  <c r="Y35" i="6"/>
  <c r="Y27" i="6"/>
  <c r="Y19" i="6"/>
  <c r="Y11" i="6"/>
  <c r="Y20" i="6"/>
  <c r="Y12" i="6"/>
  <c r="Y51" i="6"/>
  <c r="Y21" i="6"/>
  <c r="Y13" i="6"/>
  <c r="Y2" i="6"/>
  <c r="Y3" i="6"/>
  <c r="Y4" i="6"/>
  <c r="Y5" i="6"/>
  <c r="Y65" i="2"/>
  <c r="Z2" i="3" s="1"/>
  <c r="Z16" i="2"/>
  <c r="AA19" i="2"/>
  <c r="Z67" i="2"/>
  <c r="AA4" i="3" s="1"/>
  <c r="Z70" i="2"/>
  <c r="AA7" i="3" s="1"/>
  <c r="Z69" i="2"/>
  <c r="AA6" i="3" s="1"/>
  <c r="X54" i="4"/>
  <c r="X46" i="4"/>
  <c r="X38" i="4"/>
  <c r="X30" i="4"/>
  <c r="X22" i="4"/>
  <c r="X55" i="4"/>
  <c r="X47" i="4"/>
  <c r="X39" i="4"/>
  <c r="X31" i="4"/>
  <c r="X23" i="4"/>
  <c r="X56" i="4"/>
  <c r="X48" i="4"/>
  <c r="X40" i="4"/>
  <c r="X32" i="4"/>
  <c r="X24" i="4"/>
  <c r="X57" i="4"/>
  <c r="X49" i="4"/>
  <c r="X41" i="4"/>
  <c r="X33" i="4"/>
  <c r="X25" i="4"/>
  <c r="X58" i="4"/>
  <c r="X50" i="4"/>
  <c r="X42" i="4"/>
  <c r="X34" i="4"/>
  <c r="X26" i="4"/>
  <c r="X59" i="4"/>
  <c r="X51" i="4"/>
  <c r="X43" i="4"/>
  <c r="X35" i="4"/>
  <c r="X27" i="4"/>
  <c r="X60" i="4"/>
  <c r="X52" i="4"/>
  <c r="X44" i="4"/>
  <c r="X36" i="4"/>
  <c r="X28" i="4"/>
  <c r="X61" i="4"/>
  <c r="X53" i="4"/>
  <c r="X45" i="4"/>
  <c r="X37" i="4"/>
  <c r="X29" i="4"/>
  <c r="X14" i="4"/>
  <c r="X15" i="4"/>
  <c r="X2" i="5" s="1"/>
  <c r="X7" i="4"/>
  <c r="X16" i="4"/>
  <c r="X8" i="4"/>
  <c r="X17" i="4"/>
  <c r="X9" i="4"/>
  <c r="X18" i="4"/>
  <c r="X10" i="4"/>
  <c r="X2" i="4"/>
  <c r="X19" i="4"/>
  <c r="X11" i="4"/>
  <c r="X3" i="4"/>
  <c r="X20" i="4"/>
  <c r="X12" i="4"/>
  <c r="X4" i="4"/>
  <c r="X21" i="4"/>
  <c r="X13" i="4"/>
  <c r="X5" i="4"/>
  <c r="AA17" i="2"/>
  <c r="Z66" i="2"/>
  <c r="AA3" i="3" s="1"/>
  <c r="Z6" i="4" s="1"/>
  <c r="AB17" i="2" l="1"/>
  <c r="AA66" i="2"/>
  <c r="AB3" i="3" s="1"/>
  <c r="AA6" i="4" s="1"/>
  <c r="Z65" i="2"/>
  <c r="AA2" i="3" s="1"/>
  <c r="AA16" i="2"/>
  <c r="Y55" i="4"/>
  <c r="Y47" i="4"/>
  <c r="Y39" i="4"/>
  <c r="Y31" i="4"/>
  <c r="Y23" i="4"/>
  <c r="Y56" i="4"/>
  <c r="Y48" i="4"/>
  <c r="Y40" i="4"/>
  <c r="Y32" i="4"/>
  <c r="Y24" i="4"/>
  <c r="Y57" i="4"/>
  <c r="Y49" i="4"/>
  <c r="Y41" i="4"/>
  <c r="Y33" i="4"/>
  <c r="Y25" i="4"/>
  <c r="Y58" i="4"/>
  <c r="Y50" i="4"/>
  <c r="Y42" i="4"/>
  <c r="Y34" i="4"/>
  <c r="Y26" i="4"/>
  <c r="Y59" i="4"/>
  <c r="Y51" i="4"/>
  <c r="Y43" i="4"/>
  <c r="Y35" i="4"/>
  <c r="Y27" i="4"/>
  <c r="Y60" i="4"/>
  <c r="Y52" i="4"/>
  <c r="Y44" i="4"/>
  <c r="Y36" i="4"/>
  <c r="Y28" i="4"/>
  <c r="Y61" i="4"/>
  <c r="Y53" i="4"/>
  <c r="Y45" i="4"/>
  <c r="Y37" i="4"/>
  <c r="Y29" i="4"/>
  <c r="Y54" i="4"/>
  <c r="Y46" i="4"/>
  <c r="Y38" i="4"/>
  <c r="Y30" i="4"/>
  <c r="Y15" i="4"/>
  <c r="Y2" i="5" s="1"/>
  <c r="Y7" i="4"/>
  <c r="Y16" i="4"/>
  <c r="Y8" i="4"/>
  <c r="Y22" i="4"/>
  <c r="Y17" i="4"/>
  <c r="Y9" i="4"/>
  <c r="Y18" i="4"/>
  <c r="Y10" i="4"/>
  <c r="Y2" i="4"/>
  <c r="Y19" i="4"/>
  <c r="Y11" i="4"/>
  <c r="Y3" i="4"/>
  <c r="Y20" i="4"/>
  <c r="Y12" i="4"/>
  <c r="Y4" i="4"/>
  <c r="Y21" i="4"/>
  <c r="Y13" i="4"/>
  <c r="Y5" i="4"/>
  <c r="Y14" i="4"/>
  <c r="Z56" i="10"/>
  <c r="Z48" i="10"/>
  <c r="Z57" i="10"/>
  <c r="Z49" i="10"/>
  <c r="Z58" i="10"/>
  <c r="Z50" i="10"/>
  <c r="Z59" i="10"/>
  <c r="Z51" i="10"/>
  <c r="Z60" i="10"/>
  <c r="Z52" i="10"/>
  <c r="Z53" i="10"/>
  <c r="Z43" i="10"/>
  <c r="Z35" i="10"/>
  <c r="Z47" i="10"/>
  <c r="Z44" i="10"/>
  <c r="Z36" i="10"/>
  <c r="Z28" i="10"/>
  <c r="Z20" i="10"/>
  <c r="Z12" i="10"/>
  <c r="Z55" i="10"/>
  <c r="Z45" i="10"/>
  <c r="Z37" i="10"/>
  <c r="Z29" i="10"/>
  <c r="Z21" i="10"/>
  <c r="Z13" i="10"/>
  <c r="Z5" i="10"/>
  <c r="Z61" i="10"/>
  <c r="Z38" i="10"/>
  <c r="Z30" i="10"/>
  <c r="Z22" i="10"/>
  <c r="Z14" i="10"/>
  <c r="Z46" i="10"/>
  <c r="Z39" i="10"/>
  <c r="Z31" i="10"/>
  <c r="Z23" i="10"/>
  <c r="Z40" i="10"/>
  <c r="Z17" i="10"/>
  <c r="Z10" i="10"/>
  <c r="Z7" i="10"/>
  <c r="Z6" i="10"/>
  <c r="Z4" i="10"/>
  <c r="Z42" i="10"/>
  <c r="Z16" i="10"/>
  <c r="Z9" i="10"/>
  <c r="Z3" i="10"/>
  <c r="Z34" i="10"/>
  <c r="Z32" i="10"/>
  <c r="Z24" i="10"/>
  <c r="Z41" i="10"/>
  <c r="Z18" i="10"/>
  <c r="Z11" i="10"/>
  <c r="Z19" i="10"/>
  <c r="Z27" i="10"/>
  <c r="Z15" i="10"/>
  <c r="Z2" i="11" s="1"/>
  <c r="Z54" i="10"/>
  <c r="Z25" i="10"/>
  <c r="Z2" i="10"/>
  <c r="Z8" i="10"/>
  <c r="Z33" i="10"/>
  <c r="Z26" i="10"/>
  <c r="Z55" i="12"/>
  <c r="Z47" i="12"/>
  <c r="Z56" i="12"/>
  <c r="Z48" i="12"/>
  <c r="Z57" i="12"/>
  <c r="Z49" i="12"/>
  <c r="Z41" i="12"/>
  <c r="Z58" i="12"/>
  <c r="Z50" i="12"/>
  <c r="Z42" i="12"/>
  <c r="Z59" i="12"/>
  <c r="Z51" i="12"/>
  <c r="Z43" i="12"/>
  <c r="Z54" i="12"/>
  <c r="Z46" i="12"/>
  <c r="Z39" i="12"/>
  <c r="Z31" i="12"/>
  <c r="Z23" i="12"/>
  <c r="Z15" i="12"/>
  <c r="Z2" i="13" s="1"/>
  <c r="Z60" i="12"/>
  <c r="Z32" i="12"/>
  <c r="Z24" i="12"/>
  <c r="Z16" i="12"/>
  <c r="Z40" i="12"/>
  <c r="Z33" i="12"/>
  <c r="Z25" i="12"/>
  <c r="Z17" i="12"/>
  <c r="Z53" i="12"/>
  <c r="Z45" i="12"/>
  <c r="Z34" i="12"/>
  <c r="Z26" i="12"/>
  <c r="Z18" i="12"/>
  <c r="Z35" i="12"/>
  <c r="Z27" i="12"/>
  <c r="Z19" i="12"/>
  <c r="Z36" i="12"/>
  <c r="Z29" i="12"/>
  <c r="Z11" i="12"/>
  <c r="Z3" i="12"/>
  <c r="Z12" i="12"/>
  <c r="Z4" i="12"/>
  <c r="Z38" i="12"/>
  <c r="Z20" i="12"/>
  <c r="Z5" i="12"/>
  <c r="Z28" i="12"/>
  <c r="Z6" i="12"/>
  <c r="Z22" i="12"/>
  <c r="Z13" i="12"/>
  <c r="Z7" i="12"/>
  <c r="Z8" i="12"/>
  <c r="Z52" i="12"/>
  <c r="Z37" i="12"/>
  <c r="Z30" i="12"/>
  <c r="Z10" i="12"/>
  <c r="Z61" i="12"/>
  <c r="Z44" i="12"/>
  <c r="Z14" i="12"/>
  <c r="Z21" i="12"/>
  <c r="Z9" i="12"/>
  <c r="Z2" i="12"/>
  <c r="Z61" i="6"/>
  <c r="Z53" i="6"/>
  <c r="Z45" i="6"/>
  <c r="Z37" i="6"/>
  <c r="Z29" i="6"/>
  <c r="Z54" i="6"/>
  <c r="Z46" i="6"/>
  <c r="Z38" i="6"/>
  <c r="Z30" i="6"/>
  <c r="Z55" i="6"/>
  <c r="Z47" i="6"/>
  <c r="Z39" i="6"/>
  <c r="Z31" i="6"/>
  <c r="Z56" i="6"/>
  <c r="Z48" i="6"/>
  <c r="Z40" i="6"/>
  <c r="Z32" i="6"/>
  <c r="Z24" i="6"/>
  <c r="Z57" i="6"/>
  <c r="Z49" i="6"/>
  <c r="Z41" i="6"/>
  <c r="Z33" i="6"/>
  <c r="Z25" i="6"/>
  <c r="Z58" i="6"/>
  <c r="Z50" i="6"/>
  <c r="Z42" i="6"/>
  <c r="Z34" i="6"/>
  <c r="Z26" i="6"/>
  <c r="Z59" i="6"/>
  <c r="Z51" i="6"/>
  <c r="Z43" i="6"/>
  <c r="Z35" i="6"/>
  <c r="Z27" i="6"/>
  <c r="Z23" i="6"/>
  <c r="Z15" i="6"/>
  <c r="Z2" i="7" s="1"/>
  <c r="Z7" i="6"/>
  <c r="Z36" i="6"/>
  <c r="Z28" i="6"/>
  <c r="Z16" i="6"/>
  <c r="Z8" i="6"/>
  <c r="Z17" i="6"/>
  <c r="Z9" i="6"/>
  <c r="Z52" i="6"/>
  <c r="Z18" i="6"/>
  <c r="Z10" i="6"/>
  <c r="Z60" i="6"/>
  <c r="Z19" i="6"/>
  <c r="Z11" i="6"/>
  <c r="Z20" i="6"/>
  <c r="Z12" i="6"/>
  <c r="Z21" i="6"/>
  <c r="Z13" i="6"/>
  <c r="Z44" i="6"/>
  <c r="Z22" i="6"/>
  <c r="Z14" i="6"/>
  <c r="Z3" i="6"/>
  <c r="Z4" i="6"/>
  <c r="Z5" i="6"/>
  <c r="Z6" i="6"/>
  <c r="Z2" i="6"/>
  <c r="AB19" i="2"/>
  <c r="AA67" i="2"/>
  <c r="AB4" i="3" s="1"/>
  <c r="AA70" i="2"/>
  <c r="AB7" i="3" s="1"/>
  <c r="AA69" i="2"/>
  <c r="AB6" i="3" s="1"/>
  <c r="AD18" i="2"/>
  <c r="AA57" i="10" l="1"/>
  <c r="AA49" i="10"/>
  <c r="AA58" i="10"/>
  <c r="AA50" i="10"/>
  <c r="AA59" i="10"/>
  <c r="AA51" i="10"/>
  <c r="AA60" i="10"/>
  <c r="AA52" i="10"/>
  <c r="AA61" i="10"/>
  <c r="AA53" i="10"/>
  <c r="AA47" i="10"/>
  <c r="AA44" i="10"/>
  <c r="AA36" i="10"/>
  <c r="AA55" i="10"/>
  <c r="AA45" i="10"/>
  <c r="AA37" i="10"/>
  <c r="AA29" i="10"/>
  <c r="AA21" i="10"/>
  <c r="AA13" i="10"/>
  <c r="AA38" i="10"/>
  <c r="AA30" i="10"/>
  <c r="AA22" i="10"/>
  <c r="AA14" i="10"/>
  <c r="AA6" i="10"/>
  <c r="AA46" i="10"/>
  <c r="AA39" i="10"/>
  <c r="AA31" i="10"/>
  <c r="AA23" i="10"/>
  <c r="AA15" i="10"/>
  <c r="AA2" i="11" s="1"/>
  <c r="AA7" i="10"/>
  <c r="AA54" i="10"/>
  <c r="AA40" i="10"/>
  <c r="AA32" i="10"/>
  <c r="AA24" i="10"/>
  <c r="AA56" i="10"/>
  <c r="AA48" i="10"/>
  <c r="AA8" i="10"/>
  <c r="AA42" i="10"/>
  <c r="AA16" i="10"/>
  <c r="AA34" i="10"/>
  <c r="AA41" i="10"/>
  <c r="AA33" i="10"/>
  <c r="AA25" i="10"/>
  <c r="AA19" i="10"/>
  <c r="AA27" i="10"/>
  <c r="AA20" i="10"/>
  <c r="AA12" i="10"/>
  <c r="AA35" i="10"/>
  <c r="AA17" i="10"/>
  <c r="AA4" i="10"/>
  <c r="AA2" i="10"/>
  <c r="AA28" i="10"/>
  <c r="AA9" i="10"/>
  <c r="AA26" i="10"/>
  <c r="AA10" i="10"/>
  <c r="AA11" i="10"/>
  <c r="AA5" i="10"/>
  <c r="AA43" i="10"/>
  <c r="AA3" i="10"/>
  <c r="AA18" i="10"/>
  <c r="AA56" i="12"/>
  <c r="AA48" i="12"/>
  <c r="AA57" i="12"/>
  <c r="AA49" i="12"/>
  <c r="AA41" i="12"/>
  <c r="AA58" i="12"/>
  <c r="AA50" i="12"/>
  <c r="AA42" i="12"/>
  <c r="AA59" i="12"/>
  <c r="AA51" i="12"/>
  <c r="AA43" i="12"/>
  <c r="AA60" i="12"/>
  <c r="AA52" i="12"/>
  <c r="AA44" i="12"/>
  <c r="AA32" i="12"/>
  <c r="AA24" i="12"/>
  <c r="AA16" i="12"/>
  <c r="AA40" i="12"/>
  <c r="AA33" i="12"/>
  <c r="AA25" i="12"/>
  <c r="AA17" i="12"/>
  <c r="AA53" i="12"/>
  <c r="AA45" i="12"/>
  <c r="AA34" i="12"/>
  <c r="AA26" i="12"/>
  <c r="AA18" i="12"/>
  <c r="AA35" i="12"/>
  <c r="AA27" i="12"/>
  <c r="AA19" i="12"/>
  <c r="AA55" i="12"/>
  <c r="AA47" i="12"/>
  <c r="AA36" i="12"/>
  <c r="AA28" i="12"/>
  <c r="AA20" i="12"/>
  <c r="AA12" i="12"/>
  <c r="AA4" i="12"/>
  <c r="AA38" i="12"/>
  <c r="AA31" i="12"/>
  <c r="AA5" i="12"/>
  <c r="AA6" i="12"/>
  <c r="AA22" i="12"/>
  <c r="AA13" i="12"/>
  <c r="AA7" i="12"/>
  <c r="AA37" i="12"/>
  <c r="AA30" i="12"/>
  <c r="AA14" i="12"/>
  <c r="AA8" i="12"/>
  <c r="AA54" i="12"/>
  <c r="AA15" i="12"/>
  <c r="AA2" i="13" s="1"/>
  <c r="AA11" i="12"/>
  <c r="AA39" i="12"/>
  <c r="AA29" i="12"/>
  <c r="AA3" i="12"/>
  <c r="AA46" i="12"/>
  <c r="AA23" i="12"/>
  <c r="AA10" i="12"/>
  <c r="AA61" i="12"/>
  <c r="AA2" i="12"/>
  <c r="AA21" i="12"/>
  <c r="AA9" i="12"/>
  <c r="AC19" i="2"/>
  <c r="AB67" i="2"/>
  <c r="AC4" i="3" s="1"/>
  <c r="AB70" i="2"/>
  <c r="AC7" i="3" s="1"/>
  <c r="AB69" i="2"/>
  <c r="AC6" i="3" s="1"/>
  <c r="AA65" i="2"/>
  <c r="AB2" i="3" s="1"/>
  <c r="AB16" i="2"/>
  <c r="AA61" i="6"/>
  <c r="AA54" i="6"/>
  <c r="AA46" i="6"/>
  <c r="AA38" i="6"/>
  <c r="AA30" i="6"/>
  <c r="AA55" i="6"/>
  <c r="AA47" i="6"/>
  <c r="AA39" i="6"/>
  <c r="AA31" i="6"/>
  <c r="AA56" i="6"/>
  <c r="AA48" i="6"/>
  <c r="AA40" i="6"/>
  <c r="AA32" i="6"/>
  <c r="AA24" i="6"/>
  <c r="AA57" i="6"/>
  <c r="AA49" i="6"/>
  <c r="AA41" i="6"/>
  <c r="AA33" i="6"/>
  <c r="AA25" i="6"/>
  <c r="AA58" i="6"/>
  <c r="AA50" i="6"/>
  <c r="AA42" i="6"/>
  <c r="AA34" i="6"/>
  <c r="AA26" i="6"/>
  <c r="AA59" i="6"/>
  <c r="AA51" i="6"/>
  <c r="AA43" i="6"/>
  <c r="AA35" i="6"/>
  <c r="AA27" i="6"/>
  <c r="AA60" i="6"/>
  <c r="AA52" i="6"/>
  <c r="AA44" i="6"/>
  <c r="AA36" i="6"/>
  <c r="AA28" i="6"/>
  <c r="AA16" i="6"/>
  <c r="AA8" i="6"/>
  <c r="AA17" i="6"/>
  <c r="AA9" i="6"/>
  <c r="AA18" i="6"/>
  <c r="AA10" i="6"/>
  <c r="AA45" i="6"/>
  <c r="AA19" i="6"/>
  <c r="AA11" i="6"/>
  <c r="AA20" i="6"/>
  <c r="AA12" i="6"/>
  <c r="AA37" i="6"/>
  <c r="AA29" i="6"/>
  <c r="AA21" i="6"/>
  <c r="AA13" i="6"/>
  <c r="AA22" i="6"/>
  <c r="AA14" i="6"/>
  <c r="AA53" i="6"/>
  <c r="AA23" i="6"/>
  <c r="AA15" i="6"/>
  <c r="AA2" i="7" s="1"/>
  <c r="AA7" i="6"/>
  <c r="AA4" i="6"/>
  <c r="AA5" i="6"/>
  <c r="AA6" i="6"/>
  <c r="AA2" i="6"/>
  <c r="AA3" i="6"/>
  <c r="Z56" i="4"/>
  <c r="Z48" i="4"/>
  <c r="Z40" i="4"/>
  <c r="Z32" i="4"/>
  <c r="Z24" i="4"/>
  <c r="Z57" i="4"/>
  <c r="Z49" i="4"/>
  <c r="Z41" i="4"/>
  <c r="Z33" i="4"/>
  <c r="Z25" i="4"/>
  <c r="Z58" i="4"/>
  <c r="Z50" i="4"/>
  <c r="Z42" i="4"/>
  <c r="Z34" i="4"/>
  <c r="Z26" i="4"/>
  <c r="Z59" i="4"/>
  <c r="Z51" i="4"/>
  <c r="Z43" i="4"/>
  <c r="Z35" i="4"/>
  <c r="Z27" i="4"/>
  <c r="Z60" i="4"/>
  <c r="Z52" i="4"/>
  <c r="Z44" i="4"/>
  <c r="Z36" i="4"/>
  <c r="Z28" i="4"/>
  <c r="Z61" i="4"/>
  <c r="Z53" i="4"/>
  <c r="Z45" i="4"/>
  <c r="Z37" i="4"/>
  <c r="Z29" i="4"/>
  <c r="Z54" i="4"/>
  <c r="Z46" i="4"/>
  <c r="Z38" i="4"/>
  <c r="Z30" i="4"/>
  <c r="Z22" i="4"/>
  <c r="Z55" i="4"/>
  <c r="Z47" i="4"/>
  <c r="Z39" i="4"/>
  <c r="Z31" i="4"/>
  <c r="Z23" i="4"/>
  <c r="Z16" i="4"/>
  <c r="Z8" i="4"/>
  <c r="Z17" i="4"/>
  <c r="Z9" i="4"/>
  <c r="Z18" i="4"/>
  <c r="Z10" i="4"/>
  <c r="Z2" i="4"/>
  <c r="Z19" i="4"/>
  <c r="Z11" i="4"/>
  <c r="Z3" i="4"/>
  <c r="Z20" i="4"/>
  <c r="Z12" i="4"/>
  <c r="Z4" i="4"/>
  <c r="Z21" i="4"/>
  <c r="Z13" i="4"/>
  <c r="Z5" i="4"/>
  <c r="Z14" i="4"/>
  <c r="Z15" i="4"/>
  <c r="Z2" i="5" s="1"/>
  <c r="Z7" i="4"/>
  <c r="AE18" i="2"/>
  <c r="AB66" i="2"/>
  <c r="AC3" i="3" s="1"/>
  <c r="AB6" i="4" s="1"/>
  <c r="AC17" i="2"/>
  <c r="AF18" i="2" l="1"/>
  <c r="AB65" i="2"/>
  <c r="AC2" i="3" s="1"/>
  <c r="AC16" i="2"/>
  <c r="AA57" i="4"/>
  <c r="AA49" i="4"/>
  <c r="AA41" i="4"/>
  <c r="AA33" i="4"/>
  <c r="AA25" i="4"/>
  <c r="AA58" i="4"/>
  <c r="AA50" i="4"/>
  <c r="AA42" i="4"/>
  <c r="AA34" i="4"/>
  <c r="AA26" i="4"/>
  <c r="AA59" i="4"/>
  <c r="AA51" i="4"/>
  <c r="AA43" i="4"/>
  <c r="AA35" i="4"/>
  <c r="AA27" i="4"/>
  <c r="AA60" i="4"/>
  <c r="AA52" i="4"/>
  <c r="AA44" i="4"/>
  <c r="AA36" i="4"/>
  <c r="AA28" i="4"/>
  <c r="AA61" i="4"/>
  <c r="AA53" i="4"/>
  <c r="AA45" i="4"/>
  <c r="AA37" i="4"/>
  <c r="AA29" i="4"/>
  <c r="AA54" i="4"/>
  <c r="AA46" i="4"/>
  <c r="AA38" i="4"/>
  <c r="AA30" i="4"/>
  <c r="AA22" i="4"/>
  <c r="AA55" i="4"/>
  <c r="AA47" i="4"/>
  <c r="AA39" i="4"/>
  <c r="AA31" i="4"/>
  <c r="AA23" i="4"/>
  <c r="AA56" i="4"/>
  <c r="AA48" i="4"/>
  <c r="AA40" i="4"/>
  <c r="AA32" i="4"/>
  <c r="AA24" i="4"/>
  <c r="AA17" i="4"/>
  <c r="AA9" i="4"/>
  <c r="AA18" i="4"/>
  <c r="AA10" i="4"/>
  <c r="AA2" i="4"/>
  <c r="AA19" i="4"/>
  <c r="AA11" i="4"/>
  <c r="AA3" i="4"/>
  <c r="AA20" i="4"/>
  <c r="AA12" i="4"/>
  <c r="AA4" i="4"/>
  <c r="AA21" i="4"/>
  <c r="AA13" i="4"/>
  <c r="AA5" i="4"/>
  <c r="AA14" i="4"/>
  <c r="AA15" i="4"/>
  <c r="AA2" i="5" s="1"/>
  <c r="AA7" i="4"/>
  <c r="AA16" i="4"/>
  <c r="AA8" i="4"/>
  <c r="AB58" i="10"/>
  <c r="AB50" i="10"/>
  <c r="AB59" i="10"/>
  <c r="AB51" i="10"/>
  <c r="AB60" i="10"/>
  <c r="AB52" i="10"/>
  <c r="AB61" i="10"/>
  <c r="AB53" i="10"/>
  <c r="AB45" i="10"/>
  <c r="AB54" i="10"/>
  <c r="AB46" i="10"/>
  <c r="AB55" i="10"/>
  <c r="AB37" i="10"/>
  <c r="AB38" i="10"/>
  <c r="AB30" i="10"/>
  <c r="AB22" i="10"/>
  <c r="AB14" i="10"/>
  <c r="AB57" i="10"/>
  <c r="AB39" i="10"/>
  <c r="AB31" i="10"/>
  <c r="AB23" i="10"/>
  <c r="AB15" i="10"/>
  <c r="AB2" i="11" s="1"/>
  <c r="AB7" i="10"/>
  <c r="AB40" i="10"/>
  <c r="AB32" i="10"/>
  <c r="AB24" i="10"/>
  <c r="AB16" i="10"/>
  <c r="AB8" i="10"/>
  <c r="AB48" i="10"/>
  <c r="AB41" i="10"/>
  <c r="AB33" i="10"/>
  <c r="AB25" i="10"/>
  <c r="AB56" i="10"/>
  <c r="AB42" i="10"/>
  <c r="AB12" i="10"/>
  <c r="AB49" i="10"/>
  <c r="AB44" i="10"/>
  <c r="AB34" i="10"/>
  <c r="AB36" i="10"/>
  <c r="AB11" i="10"/>
  <c r="AB5" i="10"/>
  <c r="AB26" i="10"/>
  <c r="AB18" i="10"/>
  <c r="AB47" i="10"/>
  <c r="AB43" i="10"/>
  <c r="AB27" i="10"/>
  <c r="AB20" i="10"/>
  <c r="AB6" i="10"/>
  <c r="AB35" i="10"/>
  <c r="AB21" i="10"/>
  <c r="AB17" i="10"/>
  <c r="AB4" i="10"/>
  <c r="AB2" i="10"/>
  <c r="AB28" i="10"/>
  <c r="AB13" i="10"/>
  <c r="AB9" i="10"/>
  <c r="AB10" i="10"/>
  <c r="AB29" i="10"/>
  <c r="AB3" i="10"/>
  <c r="AB19" i="10"/>
  <c r="AB57" i="12"/>
  <c r="AB49" i="12"/>
  <c r="AB41" i="12"/>
  <c r="AB58" i="12"/>
  <c r="AB50" i="12"/>
  <c r="AB42" i="12"/>
  <c r="AB59" i="12"/>
  <c r="AB51" i="12"/>
  <c r="AB43" i="12"/>
  <c r="AB60" i="12"/>
  <c r="AB52" i="12"/>
  <c r="AB44" i="12"/>
  <c r="AB61" i="12"/>
  <c r="AB53" i="12"/>
  <c r="AB45" i="12"/>
  <c r="AB56" i="12"/>
  <c r="AB48" i="12"/>
  <c r="AB40" i="12"/>
  <c r="AB33" i="12"/>
  <c r="AB25" i="12"/>
  <c r="AB17" i="12"/>
  <c r="AB34" i="12"/>
  <c r="AB26" i="12"/>
  <c r="AB18" i="12"/>
  <c r="AB35" i="12"/>
  <c r="AB27" i="12"/>
  <c r="AB19" i="12"/>
  <c r="AB55" i="12"/>
  <c r="AB47" i="12"/>
  <c r="AB36" i="12"/>
  <c r="AB28" i="12"/>
  <c r="AB20" i="12"/>
  <c r="AB37" i="12"/>
  <c r="AB29" i="12"/>
  <c r="AB21" i="12"/>
  <c r="AB38" i="12"/>
  <c r="AB31" i="12"/>
  <c r="AB5" i="12"/>
  <c r="AB16" i="12"/>
  <c r="AB6" i="12"/>
  <c r="AB24" i="12"/>
  <c r="AB22" i="12"/>
  <c r="AB13" i="12"/>
  <c r="AB7" i="12"/>
  <c r="AB32" i="12"/>
  <c r="AB30" i="12"/>
  <c r="AB14" i="12"/>
  <c r="AB8" i="12"/>
  <c r="AB39" i="12"/>
  <c r="AB15" i="12"/>
  <c r="AB2" i="13" s="1"/>
  <c r="AB9" i="12"/>
  <c r="AB3" i="12"/>
  <c r="AB46" i="12"/>
  <c r="AB23" i="12"/>
  <c r="AB10" i="12"/>
  <c r="AB2" i="12"/>
  <c r="AB12" i="12"/>
  <c r="AB54" i="12"/>
  <c r="AB11" i="12"/>
  <c r="AB4" i="12"/>
  <c r="AB61" i="6"/>
  <c r="AB55" i="6"/>
  <c r="AB47" i="6"/>
  <c r="AB39" i="6"/>
  <c r="AB31" i="6"/>
  <c r="AB56" i="6"/>
  <c r="AB48" i="6"/>
  <c r="AB40" i="6"/>
  <c r="AB32" i="6"/>
  <c r="AB24" i="6"/>
  <c r="AB57" i="6"/>
  <c r="AB49" i="6"/>
  <c r="AB41" i="6"/>
  <c r="AB33" i="6"/>
  <c r="AB25" i="6"/>
  <c r="AB58" i="6"/>
  <c r="AB50" i="6"/>
  <c r="AB42" i="6"/>
  <c r="AB34" i="6"/>
  <c r="AB26" i="6"/>
  <c r="AB59" i="6"/>
  <c r="AB51" i="6"/>
  <c r="AB43" i="6"/>
  <c r="AB35" i="6"/>
  <c r="AB27" i="6"/>
  <c r="AB60" i="6"/>
  <c r="AB52" i="6"/>
  <c r="AB44" i="6"/>
  <c r="AB36" i="6"/>
  <c r="AB28" i="6"/>
  <c r="AB53" i="6"/>
  <c r="AB45" i="6"/>
  <c r="AB37" i="6"/>
  <c r="AB29" i="6"/>
  <c r="AB17" i="6"/>
  <c r="AB9" i="6"/>
  <c r="AB38" i="6"/>
  <c r="AB30" i="6"/>
  <c r="AB18" i="6"/>
  <c r="AB10" i="6"/>
  <c r="AB19" i="6"/>
  <c r="AB11" i="6"/>
  <c r="AB54" i="6"/>
  <c r="AB20" i="6"/>
  <c r="AB12" i="6"/>
  <c r="AB21" i="6"/>
  <c r="AB13" i="6"/>
  <c r="AB22" i="6"/>
  <c r="AB14" i="6"/>
  <c r="AB6" i="6"/>
  <c r="AB23" i="6"/>
  <c r="AB15" i="6"/>
  <c r="AB2" i="7" s="1"/>
  <c r="AB7" i="6"/>
  <c r="AB46" i="6"/>
  <c r="AB16" i="6"/>
  <c r="AB8" i="6"/>
  <c r="AB5" i="6"/>
  <c r="AB2" i="6"/>
  <c r="AB3" i="6"/>
  <c r="AB4" i="6"/>
  <c r="AC66" i="2"/>
  <c r="AD3" i="3" s="1"/>
  <c r="AC6" i="4" s="1"/>
  <c r="AD17" i="2"/>
  <c r="AC67" i="2"/>
  <c r="AD4" i="3" s="1"/>
  <c r="AC70" i="2"/>
  <c r="AD7" i="3" s="1"/>
  <c r="AD19" i="2"/>
  <c r="AC69" i="2"/>
  <c r="AD6" i="3" s="1"/>
  <c r="AD67" i="2" l="1"/>
  <c r="AE4" i="3" s="1"/>
  <c r="AD70" i="2"/>
  <c r="AE7" i="3" s="1"/>
  <c r="AE19" i="2"/>
  <c r="AD69" i="2"/>
  <c r="AE6" i="3" s="1"/>
  <c r="AC58" i="12"/>
  <c r="AC50" i="12"/>
  <c r="AC42" i="12"/>
  <c r="AC59" i="12"/>
  <c r="AC51" i="12"/>
  <c r="AC43" i="12"/>
  <c r="AC60" i="12"/>
  <c r="AC52" i="12"/>
  <c r="AC44" i="12"/>
  <c r="AC61" i="12"/>
  <c r="AC53" i="12"/>
  <c r="AC45" i="12"/>
  <c r="AC54" i="12"/>
  <c r="AC46" i="12"/>
  <c r="AC34" i="12"/>
  <c r="AC26" i="12"/>
  <c r="AC18" i="12"/>
  <c r="AC49" i="12"/>
  <c r="AC41" i="12"/>
  <c r="AC35" i="12"/>
  <c r="AC27" i="12"/>
  <c r="AC19" i="12"/>
  <c r="AC55" i="12"/>
  <c r="AC47" i="12"/>
  <c r="AC36" i="12"/>
  <c r="AC28" i="12"/>
  <c r="AC20" i="12"/>
  <c r="AC37" i="12"/>
  <c r="AC29" i="12"/>
  <c r="AC21" i="12"/>
  <c r="AC13" i="12"/>
  <c r="AC57" i="12"/>
  <c r="AC38" i="12"/>
  <c r="AC30" i="12"/>
  <c r="AC22" i="12"/>
  <c r="AC16" i="12"/>
  <c r="AC6" i="12"/>
  <c r="AC40" i="12"/>
  <c r="AC24" i="12"/>
  <c r="AC7" i="12"/>
  <c r="AC32" i="12"/>
  <c r="AC14" i="12"/>
  <c r="AC8" i="12"/>
  <c r="AC39" i="12"/>
  <c r="AC15" i="12"/>
  <c r="AC2" i="13" s="1"/>
  <c r="AC9" i="12"/>
  <c r="AC23" i="12"/>
  <c r="AC10" i="12"/>
  <c r="AC2" i="12"/>
  <c r="AC31" i="12"/>
  <c r="AC5" i="12"/>
  <c r="AC25" i="12"/>
  <c r="AC12" i="12"/>
  <c r="AC56" i="12"/>
  <c r="AC33" i="12"/>
  <c r="AC4" i="12"/>
  <c r="AC11" i="12"/>
  <c r="AC3" i="12"/>
  <c r="AC48" i="12"/>
  <c r="AC17" i="12"/>
  <c r="AC56" i="6"/>
  <c r="AC48" i="6"/>
  <c r="AC40" i="6"/>
  <c r="AC32" i="6"/>
  <c r="AC24" i="6"/>
  <c r="AC57" i="6"/>
  <c r="AC49" i="6"/>
  <c r="AC41" i="6"/>
  <c r="AC33" i="6"/>
  <c r="AC25" i="6"/>
  <c r="AC58" i="6"/>
  <c r="AC50" i="6"/>
  <c r="AC42" i="6"/>
  <c r="AC34" i="6"/>
  <c r="AC26" i="6"/>
  <c r="AC59" i="6"/>
  <c r="AC51" i="6"/>
  <c r="AC43" i="6"/>
  <c r="AC35" i="6"/>
  <c r="AC27" i="6"/>
  <c r="AC60" i="6"/>
  <c r="AC52" i="6"/>
  <c r="AC44" i="6"/>
  <c r="AC36" i="6"/>
  <c r="AC28" i="6"/>
  <c r="AC53" i="6"/>
  <c r="AC45" i="6"/>
  <c r="AC37" i="6"/>
  <c r="AC29" i="6"/>
  <c r="AC54" i="6"/>
  <c r="AC46" i="6"/>
  <c r="AC38" i="6"/>
  <c r="AC30" i="6"/>
  <c r="AC61" i="6"/>
  <c r="AC18" i="6"/>
  <c r="AC10" i="6"/>
  <c r="AC19" i="6"/>
  <c r="AC11" i="6"/>
  <c r="AC39" i="6"/>
  <c r="AC20" i="6"/>
  <c r="AC12" i="6"/>
  <c r="AC47" i="6"/>
  <c r="AC21" i="6"/>
  <c r="AC13" i="6"/>
  <c r="AC22" i="6"/>
  <c r="AC14" i="6"/>
  <c r="AC6" i="6"/>
  <c r="AC31" i="6"/>
  <c r="AC23" i="6"/>
  <c r="AC15" i="6"/>
  <c r="AC2" i="7" s="1"/>
  <c r="AC7" i="6"/>
  <c r="AC16" i="6"/>
  <c r="AC8" i="6"/>
  <c r="AC55" i="6"/>
  <c r="AC17" i="6"/>
  <c r="AC9" i="6"/>
  <c r="AC2" i="6"/>
  <c r="AC3" i="6"/>
  <c r="AC4" i="6"/>
  <c r="AC5" i="6"/>
  <c r="AC65" i="2"/>
  <c r="AD2" i="3" s="1"/>
  <c r="AD16" i="2"/>
  <c r="AB58" i="4"/>
  <c r="AB50" i="4"/>
  <c r="AB42" i="4"/>
  <c r="AB34" i="4"/>
  <c r="AB26" i="4"/>
  <c r="AB59" i="4"/>
  <c r="AB51" i="4"/>
  <c r="AB43" i="4"/>
  <c r="AB35" i="4"/>
  <c r="AB27" i="4"/>
  <c r="AB60" i="4"/>
  <c r="AB52" i="4"/>
  <c r="AB44" i="4"/>
  <c r="AB36" i="4"/>
  <c r="AB28" i="4"/>
  <c r="AB61" i="4"/>
  <c r="AB53" i="4"/>
  <c r="AB45" i="4"/>
  <c r="AB37" i="4"/>
  <c r="AB29" i="4"/>
  <c r="AB54" i="4"/>
  <c r="AB46" i="4"/>
  <c r="AB38" i="4"/>
  <c r="AB30" i="4"/>
  <c r="AB55" i="4"/>
  <c r="AB47" i="4"/>
  <c r="AB39" i="4"/>
  <c r="AB31" i="4"/>
  <c r="AB23" i="4"/>
  <c r="AB56" i="4"/>
  <c r="AB48" i="4"/>
  <c r="AB40" i="4"/>
  <c r="AB32" i="4"/>
  <c r="AB24" i="4"/>
  <c r="AB57" i="4"/>
  <c r="AB49" i="4"/>
  <c r="AB41" i="4"/>
  <c r="AB33" i="4"/>
  <c r="AB25" i="4"/>
  <c r="AB18" i="4"/>
  <c r="AB10" i="4"/>
  <c r="AB2" i="4"/>
  <c r="AB22" i="4"/>
  <c r="AB19" i="4"/>
  <c r="AB11" i="4"/>
  <c r="AB3" i="4"/>
  <c r="AB20" i="4"/>
  <c r="AB12" i="4"/>
  <c r="AB4" i="4"/>
  <c r="AB21" i="4"/>
  <c r="AB13" i="4"/>
  <c r="AB5" i="4"/>
  <c r="AB14" i="4"/>
  <c r="AB15" i="4"/>
  <c r="AB2" i="5" s="1"/>
  <c r="AB7" i="4"/>
  <c r="AB16" i="4"/>
  <c r="AB8" i="4"/>
  <c r="AB17" i="4"/>
  <c r="AB9" i="4"/>
  <c r="AD66" i="2"/>
  <c r="AE3" i="3" s="1"/>
  <c r="AD6" i="4" s="1"/>
  <c r="AE17" i="2"/>
  <c r="AC59" i="10"/>
  <c r="AC51" i="10"/>
  <c r="AC60" i="10"/>
  <c r="AC52" i="10"/>
  <c r="AC61" i="10"/>
  <c r="AC53" i="10"/>
  <c r="AC45" i="10"/>
  <c r="AC54" i="10"/>
  <c r="AC46" i="10"/>
  <c r="AC55" i="10"/>
  <c r="AC47" i="10"/>
  <c r="AC38" i="10"/>
  <c r="AC57" i="10"/>
  <c r="AC39" i="10"/>
  <c r="AC31" i="10"/>
  <c r="AC23" i="10"/>
  <c r="AC15" i="10"/>
  <c r="AC2" i="11" s="1"/>
  <c r="AC40" i="10"/>
  <c r="AC32" i="10"/>
  <c r="AC24" i="10"/>
  <c r="AC16" i="10"/>
  <c r="AC8" i="10"/>
  <c r="AC50" i="10"/>
  <c r="AC48" i="10"/>
  <c r="AC41" i="10"/>
  <c r="AC33" i="10"/>
  <c r="AC25" i="10"/>
  <c r="AC17" i="10"/>
  <c r="AC9" i="10"/>
  <c r="AC56" i="10"/>
  <c r="AC42" i="10"/>
  <c r="AC34" i="10"/>
  <c r="AC26" i="10"/>
  <c r="AC18" i="10"/>
  <c r="AC58" i="10"/>
  <c r="AC49" i="10"/>
  <c r="AC3" i="10"/>
  <c r="AC44" i="10"/>
  <c r="AC36" i="10"/>
  <c r="AC2" i="10"/>
  <c r="AC43" i="10"/>
  <c r="AC27" i="10"/>
  <c r="AC19" i="10"/>
  <c r="AC35" i="10"/>
  <c r="AC30" i="10"/>
  <c r="AC12" i="10"/>
  <c r="AC21" i="10"/>
  <c r="AC4" i="10"/>
  <c r="AC28" i="10"/>
  <c r="AC13" i="10"/>
  <c r="AC37" i="10"/>
  <c r="AC22" i="10"/>
  <c r="AC10" i="10"/>
  <c r="AC29" i="10"/>
  <c r="AC5" i="10"/>
  <c r="AC11" i="10"/>
  <c r="AC7" i="10"/>
  <c r="AC6" i="10"/>
  <c r="AC20" i="10"/>
  <c r="AC14" i="10"/>
  <c r="AD65" i="2" l="1"/>
  <c r="AE2" i="3" s="1"/>
  <c r="AE16" i="2"/>
  <c r="AC59" i="4"/>
  <c r="AC51" i="4"/>
  <c r="AC43" i="4"/>
  <c r="AC35" i="4"/>
  <c r="AC27" i="4"/>
  <c r="AC60" i="4"/>
  <c r="AC52" i="4"/>
  <c r="AC44" i="4"/>
  <c r="AC36" i="4"/>
  <c r="AC28" i="4"/>
  <c r="AC61" i="4"/>
  <c r="AC53" i="4"/>
  <c r="AC45" i="4"/>
  <c r="AC37" i="4"/>
  <c r="AC29" i="4"/>
  <c r="AC54" i="4"/>
  <c r="AC46" i="4"/>
  <c r="AC38" i="4"/>
  <c r="AC30" i="4"/>
  <c r="AC55" i="4"/>
  <c r="AC47" i="4"/>
  <c r="AC39" i="4"/>
  <c r="AC31" i="4"/>
  <c r="AC23" i="4"/>
  <c r="AC56" i="4"/>
  <c r="AC48" i="4"/>
  <c r="AC40" i="4"/>
  <c r="AC32" i="4"/>
  <c r="AC24" i="4"/>
  <c r="AC57" i="4"/>
  <c r="AC49" i="4"/>
  <c r="AC41" i="4"/>
  <c r="AC33" i="4"/>
  <c r="AC25" i="4"/>
  <c r="AC58" i="4"/>
  <c r="AC50" i="4"/>
  <c r="AC42" i="4"/>
  <c r="AC34" i="4"/>
  <c r="AC26" i="4"/>
  <c r="AC22" i="4"/>
  <c r="AC19" i="4"/>
  <c r="AC11" i="4"/>
  <c r="AC3" i="4"/>
  <c r="AC20" i="4"/>
  <c r="AC12" i="4"/>
  <c r="AC4" i="4"/>
  <c r="AC21" i="4"/>
  <c r="AC13" i="4"/>
  <c r="AC5" i="4"/>
  <c r="AC14" i="4"/>
  <c r="AC15" i="4"/>
  <c r="AC2" i="5" s="1"/>
  <c r="AC7" i="4"/>
  <c r="AC16" i="4"/>
  <c r="AC8" i="4"/>
  <c r="AC17" i="4"/>
  <c r="AC9" i="4"/>
  <c r="AC18" i="4"/>
  <c r="AC10" i="4"/>
  <c r="AC2" i="4"/>
  <c r="AD60" i="10"/>
  <c r="AD52" i="10"/>
  <c r="AD61" i="10"/>
  <c r="AD53" i="10"/>
  <c r="AD45" i="10"/>
  <c r="AD54" i="10"/>
  <c r="AD46" i="10"/>
  <c r="AD55" i="10"/>
  <c r="AD47" i="10"/>
  <c r="AD56" i="10"/>
  <c r="AD48" i="10"/>
  <c r="AD57" i="10"/>
  <c r="AD39" i="10"/>
  <c r="AD40" i="10"/>
  <c r="AD32" i="10"/>
  <c r="AD24" i="10"/>
  <c r="AD16" i="10"/>
  <c r="AD59" i="10"/>
  <c r="AD50" i="10"/>
  <c r="AD41" i="10"/>
  <c r="AD33" i="10"/>
  <c r="AD25" i="10"/>
  <c r="AD17" i="10"/>
  <c r="AD9" i="10"/>
  <c r="AD42" i="10"/>
  <c r="AD34" i="10"/>
  <c r="AD26" i="10"/>
  <c r="AD18" i="10"/>
  <c r="AD10" i="10"/>
  <c r="AD43" i="10"/>
  <c r="AD35" i="10"/>
  <c r="AD27" i="10"/>
  <c r="AD19" i="10"/>
  <c r="AD51" i="10"/>
  <c r="AD44" i="10"/>
  <c r="AD14" i="10"/>
  <c r="AD36" i="10"/>
  <c r="AD58" i="10"/>
  <c r="AD38" i="10"/>
  <c r="AD23" i="10"/>
  <c r="AD13" i="10"/>
  <c r="AD28" i="10"/>
  <c r="AD20" i="10"/>
  <c r="AD21" i="10"/>
  <c r="AD4" i="10"/>
  <c r="AD49" i="10"/>
  <c r="AD2" i="10"/>
  <c r="AD31" i="10"/>
  <c r="AD15" i="10"/>
  <c r="AD2" i="11" s="1"/>
  <c r="AD37" i="10"/>
  <c r="AD22" i="10"/>
  <c r="AD29" i="10"/>
  <c r="AD8" i="10"/>
  <c r="AD5" i="10"/>
  <c r="AD11" i="10"/>
  <c r="AD7" i="10"/>
  <c r="AD3" i="10"/>
  <c r="AD6" i="10"/>
  <c r="AD12" i="10"/>
  <c r="AD30" i="10"/>
  <c r="AE66" i="2"/>
  <c r="AF3" i="3" s="1"/>
  <c r="AE6" i="4" s="1"/>
  <c r="AF17" i="2"/>
  <c r="AF66" i="2" s="1"/>
  <c r="AG3" i="3" s="1"/>
  <c r="AF6" i="4" s="1"/>
  <c r="AE70" i="2"/>
  <c r="AF7" i="3" s="1"/>
  <c r="AF19" i="2"/>
  <c r="AE67" i="2"/>
  <c r="AF4" i="3" s="1"/>
  <c r="AE69" i="2"/>
  <c r="AF6" i="3" s="1"/>
  <c r="AD59" i="12"/>
  <c r="AD51" i="12"/>
  <c r="AD43" i="12"/>
  <c r="AD60" i="12"/>
  <c r="AD52" i="12"/>
  <c r="AD44" i="12"/>
  <c r="AD61" i="12"/>
  <c r="AD53" i="12"/>
  <c r="AD45" i="12"/>
  <c r="AD54" i="12"/>
  <c r="AD46" i="12"/>
  <c r="AD55" i="12"/>
  <c r="AD47" i="12"/>
  <c r="AD58" i="12"/>
  <c r="AD49" i="12"/>
  <c r="AD41" i="12"/>
  <c r="AD35" i="12"/>
  <c r="AD27" i="12"/>
  <c r="AD19" i="12"/>
  <c r="AD36" i="12"/>
  <c r="AD28" i="12"/>
  <c r="AD20" i="12"/>
  <c r="AD37" i="12"/>
  <c r="AD29" i="12"/>
  <c r="AD21" i="12"/>
  <c r="AD13" i="12"/>
  <c r="AD57" i="12"/>
  <c r="AD38" i="12"/>
  <c r="AD30" i="12"/>
  <c r="AD22" i="12"/>
  <c r="AD14" i="12"/>
  <c r="AD39" i="12"/>
  <c r="AD31" i="12"/>
  <c r="AD23" i="12"/>
  <c r="AD15" i="12"/>
  <c r="AD2" i="13" s="1"/>
  <c r="AD40" i="12"/>
  <c r="AD24" i="12"/>
  <c r="AD7" i="12"/>
  <c r="AD32" i="12"/>
  <c r="AD18" i="12"/>
  <c r="AD8" i="12"/>
  <c r="AD26" i="12"/>
  <c r="AD9" i="12"/>
  <c r="AD10" i="12"/>
  <c r="AD2" i="12"/>
  <c r="AD56" i="12"/>
  <c r="AD48" i="12"/>
  <c r="AD17" i="12"/>
  <c r="AD11" i="12"/>
  <c r="AD3" i="12"/>
  <c r="AD5" i="12"/>
  <c r="AD42" i="12"/>
  <c r="AD34" i="12"/>
  <c r="AD25" i="12"/>
  <c r="AD6" i="12"/>
  <c r="AD12" i="12"/>
  <c r="AD33" i="12"/>
  <c r="AD4" i="12"/>
  <c r="AD16" i="12"/>
  <c r="AD50" i="12"/>
  <c r="AD57" i="6"/>
  <c r="AD49" i="6"/>
  <c r="AD41" i="6"/>
  <c r="AD33" i="6"/>
  <c r="AD25" i="6"/>
  <c r="AD58" i="6"/>
  <c r="AD50" i="6"/>
  <c r="AD42" i="6"/>
  <c r="AD34" i="6"/>
  <c r="AD26" i="6"/>
  <c r="AD59" i="6"/>
  <c r="AD51" i="6"/>
  <c r="AD43" i="6"/>
  <c r="AD35" i="6"/>
  <c r="AD27" i="6"/>
  <c r="AD60" i="6"/>
  <c r="AD52" i="6"/>
  <c r="AD44" i="6"/>
  <c r="AD36" i="6"/>
  <c r="AD28" i="6"/>
  <c r="AD53" i="6"/>
  <c r="AD45" i="6"/>
  <c r="AD37" i="6"/>
  <c r="AD29" i="6"/>
  <c r="AD54" i="6"/>
  <c r="AD46" i="6"/>
  <c r="AD38" i="6"/>
  <c r="AD30" i="6"/>
  <c r="AD61" i="6"/>
  <c r="AD55" i="6"/>
  <c r="AD47" i="6"/>
  <c r="AD39" i="6"/>
  <c r="AD31" i="6"/>
  <c r="AD24" i="6"/>
  <c r="AD19" i="6"/>
  <c r="AD11" i="6"/>
  <c r="AD20" i="6"/>
  <c r="AD12" i="6"/>
  <c r="AD21" i="6"/>
  <c r="AD13" i="6"/>
  <c r="AD56" i="6"/>
  <c r="AD22" i="6"/>
  <c r="AD14" i="6"/>
  <c r="AD6" i="6"/>
  <c r="AD23" i="6"/>
  <c r="AD15" i="6"/>
  <c r="AD2" i="7" s="1"/>
  <c r="AD7" i="6"/>
  <c r="AD32" i="6"/>
  <c r="AD16" i="6"/>
  <c r="AD8" i="6"/>
  <c r="AD40" i="6"/>
  <c r="AD17" i="6"/>
  <c r="AD9" i="6"/>
  <c r="AD48" i="6"/>
  <c r="AD18" i="6"/>
  <c r="AD10" i="6"/>
  <c r="AD2" i="6"/>
  <c r="AD3" i="6"/>
  <c r="AD4" i="6"/>
  <c r="AD5" i="6"/>
  <c r="AE58" i="6" l="1"/>
  <c r="AE50" i="6"/>
  <c r="AE42" i="6"/>
  <c r="AE34" i="6"/>
  <c r="AE26" i="6"/>
  <c r="AE59" i="6"/>
  <c r="AE51" i="6"/>
  <c r="AE43" i="6"/>
  <c r="AE35" i="6"/>
  <c r="AE27" i="6"/>
  <c r="AE60" i="6"/>
  <c r="AE52" i="6"/>
  <c r="AE44" i="6"/>
  <c r="AE36" i="6"/>
  <c r="AE28" i="6"/>
  <c r="AE53" i="6"/>
  <c r="AE45" i="6"/>
  <c r="AE37" i="6"/>
  <c r="AE29" i="6"/>
  <c r="AE54" i="6"/>
  <c r="AE46" i="6"/>
  <c r="AE38" i="6"/>
  <c r="AE30" i="6"/>
  <c r="AE61" i="6"/>
  <c r="AE55" i="6"/>
  <c r="AE47" i="6"/>
  <c r="AE39" i="6"/>
  <c r="AE31" i="6"/>
  <c r="AE56" i="6"/>
  <c r="AE48" i="6"/>
  <c r="AE40" i="6"/>
  <c r="AE32" i="6"/>
  <c r="AE24" i="6"/>
  <c r="AE20" i="6"/>
  <c r="AE12" i="6"/>
  <c r="AE33" i="6"/>
  <c r="AE21" i="6"/>
  <c r="AE13" i="6"/>
  <c r="AE41" i="6"/>
  <c r="AE22" i="6"/>
  <c r="AE14" i="6"/>
  <c r="AE6" i="6"/>
  <c r="AE23" i="6"/>
  <c r="AE15" i="6"/>
  <c r="AE2" i="7" s="1"/>
  <c r="AE7" i="6"/>
  <c r="AE25" i="6"/>
  <c r="AE16" i="6"/>
  <c r="AE8" i="6"/>
  <c r="AE17" i="6"/>
  <c r="AE9" i="6"/>
  <c r="AE49" i="6"/>
  <c r="AE18" i="6"/>
  <c r="AE10" i="6"/>
  <c r="AE57" i="6"/>
  <c r="AE19" i="6"/>
  <c r="AE11" i="6"/>
  <c r="AE2" i="6"/>
  <c r="AE3" i="6"/>
  <c r="AE4" i="6"/>
  <c r="AE5" i="6"/>
  <c r="AE61" i="10"/>
  <c r="AE53" i="10"/>
  <c r="AE54" i="10"/>
  <c r="AE46" i="10"/>
  <c r="AE55" i="10"/>
  <c r="AE47" i="10"/>
  <c r="AE56" i="10"/>
  <c r="AE48" i="10"/>
  <c r="AE57" i="10"/>
  <c r="AE49" i="10"/>
  <c r="AE45" i="10"/>
  <c r="AE40" i="10"/>
  <c r="AE59" i="10"/>
  <c r="AE50" i="10"/>
  <c r="AE41" i="10"/>
  <c r="AE33" i="10"/>
  <c r="AE25" i="10"/>
  <c r="AE17" i="10"/>
  <c r="AE9" i="10"/>
  <c r="AE42" i="10"/>
  <c r="AE34" i="10"/>
  <c r="AE26" i="10"/>
  <c r="AE18" i="10"/>
  <c r="AE10" i="10"/>
  <c r="AE2" i="10"/>
  <c r="AE52" i="10"/>
  <c r="AE43" i="10"/>
  <c r="AE35" i="10"/>
  <c r="AE27" i="10"/>
  <c r="AE19" i="10"/>
  <c r="AE11" i="10"/>
  <c r="AE58" i="10"/>
  <c r="AE44" i="10"/>
  <c r="AE36" i="10"/>
  <c r="AE28" i="10"/>
  <c r="AE20" i="10"/>
  <c r="AE60" i="10"/>
  <c r="AE5" i="10"/>
  <c r="AE38" i="10"/>
  <c r="AE23" i="10"/>
  <c r="AE13" i="10"/>
  <c r="AE39" i="10"/>
  <c r="AE32" i="10"/>
  <c r="AE24" i="10"/>
  <c r="AE4" i="10"/>
  <c r="AE29" i="10"/>
  <c r="AE21" i="10"/>
  <c r="AE37" i="10"/>
  <c r="AE31" i="10"/>
  <c r="AE15" i="10"/>
  <c r="AE2" i="11" s="1"/>
  <c r="AE22" i="10"/>
  <c r="AE8" i="10"/>
  <c r="AE7" i="10"/>
  <c r="AE3" i="10"/>
  <c r="AE6" i="10"/>
  <c r="AE30" i="10"/>
  <c r="AE16" i="10"/>
  <c r="AE14" i="10"/>
  <c r="AE12" i="10"/>
  <c r="AE51" i="10"/>
  <c r="AF70" i="2"/>
  <c r="AG7" i="3" s="1"/>
  <c r="AF67" i="2"/>
  <c r="AG4" i="3" s="1"/>
  <c r="AF69" i="2"/>
  <c r="AG6" i="3" s="1"/>
  <c r="AE60" i="12"/>
  <c r="AE52" i="12"/>
  <c r="AE44" i="12"/>
  <c r="AE61" i="12"/>
  <c r="AE53" i="12"/>
  <c r="AE45" i="12"/>
  <c r="AE54" i="12"/>
  <c r="AE46" i="12"/>
  <c r="AE55" i="12"/>
  <c r="AE47" i="12"/>
  <c r="AE56" i="12"/>
  <c r="AE48" i="12"/>
  <c r="AE40" i="12"/>
  <c r="AE36" i="12"/>
  <c r="AE28" i="12"/>
  <c r="AE20" i="12"/>
  <c r="AE51" i="12"/>
  <c r="AE43" i="12"/>
  <c r="AE37" i="12"/>
  <c r="AE29" i="12"/>
  <c r="AE21" i="12"/>
  <c r="AE13" i="12"/>
  <c r="AE57" i="12"/>
  <c r="AE38" i="12"/>
  <c r="AE30" i="12"/>
  <c r="AE22" i="12"/>
  <c r="AE14" i="12"/>
  <c r="AE39" i="12"/>
  <c r="AE31" i="12"/>
  <c r="AE23" i="12"/>
  <c r="AE15" i="12"/>
  <c r="AE2" i="13" s="1"/>
  <c r="AE59" i="12"/>
  <c r="AE50" i="12"/>
  <c r="AE42" i="12"/>
  <c r="AE32" i="12"/>
  <c r="AE24" i="12"/>
  <c r="AE16" i="12"/>
  <c r="AE18" i="12"/>
  <c r="AE8" i="12"/>
  <c r="AE26" i="12"/>
  <c r="AE9" i="12"/>
  <c r="AE10" i="12"/>
  <c r="AE2" i="12"/>
  <c r="AE49" i="12"/>
  <c r="AE41" i="12"/>
  <c r="AE35" i="12"/>
  <c r="AE17" i="12"/>
  <c r="AE11" i="12"/>
  <c r="AE3" i="12"/>
  <c r="AE58" i="12"/>
  <c r="AE25" i="12"/>
  <c r="AE12" i="12"/>
  <c r="AE4" i="12"/>
  <c r="AE34" i="12"/>
  <c r="AE6" i="12"/>
  <c r="AE27" i="12"/>
  <c r="AE33" i="12"/>
  <c r="AE19" i="12"/>
  <c r="AE7" i="12"/>
  <c r="AE5" i="12"/>
  <c r="AE65" i="2"/>
  <c r="AF2" i="3" s="1"/>
  <c r="AF16" i="2"/>
  <c r="AF65" i="2" s="1"/>
  <c r="AG2" i="3" s="1"/>
  <c r="AD60" i="4"/>
  <c r="AD52" i="4"/>
  <c r="AD44" i="4"/>
  <c r="AD36" i="4"/>
  <c r="AD28" i="4"/>
  <c r="AD61" i="4"/>
  <c r="AD53" i="4"/>
  <c r="AD45" i="4"/>
  <c r="AD37" i="4"/>
  <c r="AD29" i="4"/>
  <c r="AD54" i="4"/>
  <c r="AD46" i="4"/>
  <c r="AD38" i="4"/>
  <c r="AD30" i="4"/>
  <c r="AD55" i="4"/>
  <c r="AD47" i="4"/>
  <c r="AD39" i="4"/>
  <c r="AD31" i="4"/>
  <c r="AD23" i="4"/>
  <c r="AD56" i="4"/>
  <c r="AD48" i="4"/>
  <c r="AD40" i="4"/>
  <c r="AD32" i="4"/>
  <c r="AD24" i="4"/>
  <c r="AD57" i="4"/>
  <c r="AD49" i="4"/>
  <c r="AD41" i="4"/>
  <c r="AD33" i="4"/>
  <c r="AD25" i="4"/>
  <c r="AD58" i="4"/>
  <c r="AD50" i="4"/>
  <c r="AD42" i="4"/>
  <c r="AD34" i="4"/>
  <c r="AD26" i="4"/>
  <c r="AD59" i="4"/>
  <c r="AD51" i="4"/>
  <c r="AD43" i="4"/>
  <c r="AD35" i="4"/>
  <c r="AD27" i="4"/>
  <c r="AD20" i="4"/>
  <c r="AD12" i="4"/>
  <c r="AD4" i="4"/>
  <c r="AD21" i="4"/>
  <c r="AD13" i="4"/>
  <c r="AD5" i="4"/>
  <c r="AD14" i="4"/>
  <c r="AD15" i="4"/>
  <c r="AD2" i="5" s="1"/>
  <c r="AD7" i="4"/>
  <c r="AD16" i="4"/>
  <c r="AD8" i="4"/>
  <c r="AD17" i="4"/>
  <c r="AD9" i="4"/>
  <c r="AD18" i="4"/>
  <c r="AD10" i="4"/>
  <c r="AD2" i="4"/>
  <c r="AD22" i="4"/>
  <c r="AD19" i="4"/>
  <c r="AD11" i="4"/>
  <c r="AD3" i="4"/>
  <c r="AE61" i="4" l="1"/>
  <c r="AE53" i="4"/>
  <c r="AE45" i="4"/>
  <c r="AE37" i="4"/>
  <c r="AE29" i="4"/>
  <c r="AE54" i="4"/>
  <c r="AE46" i="4"/>
  <c r="AE38" i="4"/>
  <c r="AE30" i="4"/>
  <c r="AE55" i="4"/>
  <c r="AE47" i="4"/>
  <c r="AE39" i="4"/>
  <c r="AE31" i="4"/>
  <c r="AE23" i="4"/>
  <c r="AE56" i="4"/>
  <c r="AE48" i="4"/>
  <c r="AE40" i="4"/>
  <c r="AE32" i="4"/>
  <c r="AE24" i="4"/>
  <c r="AE57" i="4"/>
  <c r="AE49" i="4"/>
  <c r="AE41" i="4"/>
  <c r="AE33" i="4"/>
  <c r="AE25" i="4"/>
  <c r="AE58" i="4"/>
  <c r="AE50" i="4"/>
  <c r="AE42" i="4"/>
  <c r="AE34" i="4"/>
  <c r="AE26" i="4"/>
  <c r="AE59" i="4"/>
  <c r="AE51" i="4"/>
  <c r="AE43" i="4"/>
  <c r="AE35" i="4"/>
  <c r="AE27" i="4"/>
  <c r="AE60" i="4"/>
  <c r="AE52" i="4"/>
  <c r="AE44" i="4"/>
  <c r="AE36" i="4"/>
  <c r="AE28" i="4"/>
  <c r="AE21" i="4"/>
  <c r="AE13" i="4"/>
  <c r="AE5" i="4"/>
  <c r="AE14" i="4"/>
  <c r="AE15" i="4"/>
  <c r="AE2" i="5" s="1"/>
  <c r="AE7" i="4"/>
  <c r="AE16" i="4"/>
  <c r="AE8" i="4"/>
  <c r="AE17" i="4"/>
  <c r="AE9" i="4"/>
  <c r="AE18" i="4"/>
  <c r="AE10" i="4"/>
  <c r="AE2" i="4"/>
  <c r="AE22" i="4"/>
  <c r="AE19" i="4"/>
  <c r="AE11" i="4"/>
  <c r="AE3" i="4"/>
  <c r="AE20" i="4"/>
  <c r="AE12" i="4"/>
  <c r="AE4" i="4"/>
  <c r="AF54" i="10"/>
  <c r="AF46" i="10"/>
  <c r="AF55" i="10"/>
  <c r="AF47" i="10"/>
  <c r="AF56" i="10"/>
  <c r="AF48" i="10"/>
  <c r="AF57" i="10"/>
  <c r="AF49" i="10"/>
  <c r="AF58" i="10"/>
  <c r="AF50" i="10"/>
  <c r="AF59" i="10"/>
  <c r="AF41" i="10"/>
  <c r="AF42" i="10"/>
  <c r="AF34" i="10"/>
  <c r="AF26" i="10"/>
  <c r="AF18" i="10"/>
  <c r="AF10" i="10"/>
  <c r="AF61" i="10"/>
  <c r="AF52" i="10"/>
  <c r="AF43" i="10"/>
  <c r="AF35" i="10"/>
  <c r="AF27" i="10"/>
  <c r="AF19" i="10"/>
  <c r="AF11" i="10"/>
  <c r="AF3" i="10"/>
  <c r="AF44" i="10"/>
  <c r="AF36" i="10"/>
  <c r="AF28" i="10"/>
  <c r="AF20" i="10"/>
  <c r="AF12" i="10"/>
  <c r="AF37" i="10"/>
  <c r="AF29" i="10"/>
  <c r="AF21" i="10"/>
  <c r="AF16" i="10"/>
  <c r="AF9" i="10"/>
  <c r="AF53" i="10"/>
  <c r="AF38" i="10"/>
  <c r="AF23" i="10"/>
  <c r="AF39" i="10"/>
  <c r="AF32" i="10"/>
  <c r="AF24" i="10"/>
  <c r="AF33" i="10"/>
  <c r="AF25" i="10"/>
  <c r="AF15" i="10"/>
  <c r="AF2" i="11" s="1"/>
  <c r="AF6" i="10"/>
  <c r="AF60" i="10"/>
  <c r="AF30" i="10"/>
  <c r="AF22" i="10"/>
  <c r="AF40" i="10"/>
  <c r="AF31" i="10"/>
  <c r="AF2" i="10"/>
  <c r="AF45" i="10"/>
  <c r="AF17" i="10"/>
  <c r="AF13" i="10"/>
  <c r="AF8" i="10"/>
  <c r="AF7" i="10"/>
  <c r="AF5" i="10"/>
  <c r="AF14" i="10"/>
  <c r="AF51" i="10"/>
  <c r="AF4" i="10"/>
  <c r="AF54" i="4"/>
  <c r="AF46" i="4"/>
  <c r="AF38" i="4"/>
  <c r="AF30" i="4"/>
  <c r="AF22" i="4"/>
  <c r="AF55" i="4"/>
  <c r="AF47" i="4"/>
  <c r="AF39" i="4"/>
  <c r="AF31" i="4"/>
  <c r="AF23" i="4"/>
  <c r="AF56" i="4"/>
  <c r="AF48" i="4"/>
  <c r="AF40" i="4"/>
  <c r="AF32" i="4"/>
  <c r="AF24" i="4"/>
  <c r="AF57" i="4"/>
  <c r="AF49" i="4"/>
  <c r="AF41" i="4"/>
  <c r="AF33" i="4"/>
  <c r="AF25" i="4"/>
  <c r="AF58" i="4"/>
  <c r="AF50" i="4"/>
  <c r="AF42" i="4"/>
  <c r="AF34" i="4"/>
  <c r="AF26" i="4"/>
  <c r="AF59" i="4"/>
  <c r="AF51" i="4"/>
  <c r="AF43" i="4"/>
  <c r="AF35" i="4"/>
  <c r="AF27" i="4"/>
  <c r="AF60" i="4"/>
  <c r="AF52" i="4"/>
  <c r="AF44" i="4"/>
  <c r="AF36" i="4"/>
  <c r="AF28" i="4"/>
  <c r="AF61" i="4"/>
  <c r="AF53" i="4"/>
  <c r="AF45" i="4"/>
  <c r="AF37" i="4"/>
  <c r="AF29" i="4"/>
  <c r="AF14" i="4"/>
  <c r="AF15" i="4"/>
  <c r="AF2" i="5" s="1"/>
  <c r="AF7" i="4"/>
  <c r="AF16" i="4"/>
  <c r="AF8" i="4"/>
  <c r="AF17" i="4"/>
  <c r="AF9" i="4"/>
  <c r="AF18" i="4"/>
  <c r="AF10" i="4"/>
  <c r="AF2" i="4"/>
  <c r="AF19" i="4"/>
  <c r="AF11" i="4"/>
  <c r="AF3" i="4"/>
  <c r="AF20" i="4"/>
  <c r="AF12" i="4"/>
  <c r="AF4" i="4"/>
  <c r="AF21" i="4"/>
  <c r="AF13" i="4"/>
  <c r="AF5" i="4"/>
  <c r="AF61" i="6"/>
  <c r="AF59" i="6"/>
  <c r="AF51" i="6"/>
  <c r="AF43" i="6"/>
  <c r="AF35" i="6"/>
  <c r="AF27" i="6"/>
  <c r="AF60" i="6"/>
  <c r="AF52" i="6"/>
  <c r="AF44" i="6"/>
  <c r="AF36" i="6"/>
  <c r="AF28" i="6"/>
  <c r="AF53" i="6"/>
  <c r="AF45" i="6"/>
  <c r="AF37" i="6"/>
  <c r="AF29" i="6"/>
  <c r="AF54" i="6"/>
  <c r="AF46" i="6"/>
  <c r="AF38" i="6"/>
  <c r="AF30" i="6"/>
  <c r="AF55" i="6"/>
  <c r="AF47" i="6"/>
  <c r="AF39" i="6"/>
  <c r="AF31" i="6"/>
  <c r="AF56" i="6"/>
  <c r="AF48" i="6"/>
  <c r="AF40" i="6"/>
  <c r="AF32" i="6"/>
  <c r="AF24" i="6"/>
  <c r="AF57" i="6"/>
  <c r="AF49" i="6"/>
  <c r="AF41" i="6"/>
  <c r="AF33" i="6"/>
  <c r="AF25" i="6"/>
  <c r="AF34" i="6"/>
  <c r="AF26" i="6"/>
  <c r="AF21" i="6"/>
  <c r="AF13" i="6"/>
  <c r="AF22" i="6"/>
  <c r="AF14" i="6"/>
  <c r="AF50" i="6"/>
  <c r="AF23" i="6"/>
  <c r="AF15" i="6"/>
  <c r="AF2" i="7" s="1"/>
  <c r="AF7" i="6"/>
  <c r="AF58" i="6"/>
  <c r="AF16" i="6"/>
  <c r="AF8" i="6"/>
  <c r="AF17" i="6"/>
  <c r="AF9" i="6"/>
  <c r="AF18" i="6"/>
  <c r="AF10" i="6"/>
  <c r="AF42" i="6"/>
  <c r="AF19" i="6"/>
  <c r="AF11" i="6"/>
  <c r="AF20" i="6"/>
  <c r="AF12" i="6"/>
  <c r="AF2" i="6"/>
  <c r="AF6" i="6"/>
  <c r="AF3" i="6"/>
  <c r="AF4" i="6"/>
  <c r="AF5" i="6"/>
  <c r="AF61" i="12"/>
  <c r="AF53" i="12"/>
  <c r="AF45" i="12"/>
  <c r="AF54" i="12"/>
  <c r="AF46" i="12"/>
  <c r="AF55" i="12"/>
  <c r="AF47" i="12"/>
  <c r="AF56" i="12"/>
  <c r="AF48" i="12"/>
  <c r="AF57" i="12"/>
  <c r="AF49" i="12"/>
  <c r="AF41" i="12"/>
  <c r="AF60" i="12"/>
  <c r="AF51" i="12"/>
  <c r="AF43" i="12"/>
  <c r="AF37" i="12"/>
  <c r="AF29" i="12"/>
  <c r="AF21" i="12"/>
  <c r="AF13" i="12"/>
  <c r="AF38" i="12"/>
  <c r="AF30" i="12"/>
  <c r="AF22" i="12"/>
  <c r="AF14" i="12"/>
  <c r="AF39" i="12"/>
  <c r="AF31" i="12"/>
  <c r="AF23" i="12"/>
  <c r="AF15" i="12"/>
  <c r="AF2" i="13" s="1"/>
  <c r="AF59" i="12"/>
  <c r="AF50" i="12"/>
  <c r="AF42" i="12"/>
  <c r="AF32" i="12"/>
  <c r="AF24" i="12"/>
  <c r="AF16" i="12"/>
  <c r="AF33" i="12"/>
  <c r="AF25" i="12"/>
  <c r="AF17" i="12"/>
  <c r="AF26" i="12"/>
  <c r="AF9" i="12"/>
  <c r="AF20" i="12"/>
  <c r="AF10" i="12"/>
  <c r="AF2" i="12"/>
  <c r="AF35" i="12"/>
  <c r="AF28" i="12"/>
  <c r="AF11" i="12"/>
  <c r="AF3" i="12"/>
  <c r="AF58" i="12"/>
  <c r="AF12" i="12"/>
  <c r="AF4" i="12"/>
  <c r="AF19" i="12"/>
  <c r="AF5" i="12"/>
  <c r="AF36" i="12"/>
  <c r="AF27" i="12"/>
  <c r="AF8" i="12"/>
  <c r="AF52" i="12"/>
  <c r="AF18" i="12"/>
  <c r="AF7" i="12"/>
  <c r="AF44" i="12"/>
  <c r="AF40" i="12"/>
  <c r="AF34" i="12"/>
  <c r="AF6" i="12"/>
</calcChain>
</file>

<file path=xl/sharedStrings.xml><?xml version="1.0" encoding="utf-8"?>
<sst xmlns="http://schemas.openxmlformats.org/spreadsheetml/2006/main" count="1045" uniqueCount="295">
  <si>
    <t>BRZSPbS BAU Required ZEV Sales Percentage by Subregion</t>
  </si>
  <si>
    <t>Illinois</t>
  </si>
  <si>
    <t>Alabama</t>
  </si>
  <si>
    <t>AL</t>
  </si>
  <si>
    <t>Sources:</t>
  </si>
  <si>
    <t>Passenger LDVs</t>
  </si>
  <si>
    <t>Alaska</t>
  </si>
  <si>
    <t>AK</t>
  </si>
  <si>
    <t>California Air Resources Board</t>
  </si>
  <si>
    <t>Arizona</t>
  </si>
  <si>
    <t>AZ</t>
  </si>
  <si>
    <t>Arkansas</t>
  </si>
  <si>
    <t>AR</t>
  </si>
  <si>
    <t>Final Regulation Order, Section 1962.4, Title 13, California Code of Regulations</t>
  </si>
  <si>
    <t>California</t>
  </si>
  <si>
    <t>CA</t>
  </si>
  <si>
    <t>https://ww2.arb.ca.gov/sites/default/files/barcu/regact/2022/accii/acciifro1962.4.pdf</t>
  </si>
  <si>
    <t>Colorado</t>
  </si>
  <si>
    <t>CO</t>
  </si>
  <si>
    <t>Page 4</t>
  </si>
  <si>
    <t>Connecticut</t>
  </si>
  <si>
    <t>CT</t>
  </si>
  <si>
    <t>Delaware</t>
  </si>
  <si>
    <t>DE</t>
  </si>
  <si>
    <t>Freight LDVs and HDVs</t>
  </si>
  <si>
    <t>Florida</t>
  </si>
  <si>
    <t>FL</t>
  </si>
  <si>
    <t>Georgia</t>
  </si>
  <si>
    <t>GA</t>
  </si>
  <si>
    <t>Hawaii</t>
  </si>
  <si>
    <t>HI</t>
  </si>
  <si>
    <t>Final Regulation Order: Advanced Clean Trucks Regulation</t>
  </si>
  <si>
    <t>Idaho</t>
  </si>
  <si>
    <t>ID</t>
  </si>
  <si>
    <t>https://ww2.arb.ca.gov/sites/default/files/barcu/regact/2019/act2019/fro2.pdf</t>
  </si>
  <si>
    <t>IL</t>
  </si>
  <si>
    <t>Page 5, Table A-1</t>
  </si>
  <si>
    <t>Indiana</t>
  </si>
  <si>
    <t>IN</t>
  </si>
  <si>
    <t>Iowa</t>
  </si>
  <si>
    <t>IA</t>
  </si>
  <si>
    <t>Which States Follow California Car Standards?</t>
  </si>
  <si>
    <t>Kansas</t>
  </si>
  <si>
    <t>KS</t>
  </si>
  <si>
    <t>California Air Resources Board + state regs</t>
  </si>
  <si>
    <t>Kentucky</t>
  </si>
  <si>
    <t>KY</t>
  </si>
  <si>
    <t>2019-2022</t>
  </si>
  <si>
    <t>Louisiana</t>
  </si>
  <si>
    <t>LA</t>
  </si>
  <si>
    <t>177 States</t>
  </si>
  <si>
    <t>Maine</t>
  </si>
  <si>
    <t>ME</t>
  </si>
  <si>
    <t>https://ww2.arb.ca.gov/sites/default/files/2019-03/177-states.pdf</t>
  </si>
  <si>
    <t>Maryland</t>
  </si>
  <si>
    <t>MD</t>
  </si>
  <si>
    <t>https://ecology.wa.gov/Regulations-Permits/Laws-rules-rulemaking/Rulemaking/WAC-173-423-400</t>
  </si>
  <si>
    <t xml:space="preserve"> </t>
  </si>
  <si>
    <t>Massachusetts</t>
  </si>
  <si>
    <t>MA</t>
  </si>
  <si>
    <t>https://ndep.nv.gov/uploads/air-ccn-docs/clean_cars_nv_reg.pdf</t>
  </si>
  <si>
    <t>Michigan</t>
  </si>
  <si>
    <t>MI</t>
  </si>
  <si>
    <t>https://cloud.env.nm.gov/air/resources/_translator.php/NoP4Wd1EyorPC~sl~BWz~sl~H2+PXdCQEKefUZ7Ou8Vgq~sl~x2ZYzqa1zexRjaNVbxGMCgU8AVirLkjjLdev8vysjOadSflGgbBfGQtLEpGCtN+kDVh1YPy2q5u9L4gGZ4Ls+vKK.pdf</t>
  </si>
  <si>
    <t>Minnesota</t>
  </si>
  <si>
    <t>MN</t>
  </si>
  <si>
    <t>https://lis.virginia.gov/cgi-bin/legp604.exe?212+ful+HB1965ER</t>
  </si>
  <si>
    <t>Mississippi</t>
  </si>
  <si>
    <t>MS</t>
  </si>
  <si>
    <t>Missouri</t>
  </si>
  <si>
    <t>MO</t>
  </si>
  <si>
    <t>Which States Follow California Truck Standards?</t>
  </si>
  <si>
    <t>Montana</t>
  </si>
  <si>
    <t>MT</t>
  </si>
  <si>
    <t>Electric Trucks Now</t>
  </si>
  <si>
    <t>Nebraska</t>
  </si>
  <si>
    <t>NE</t>
  </si>
  <si>
    <t>Nevada</t>
  </si>
  <si>
    <t>NV</t>
  </si>
  <si>
    <t>States Are Embracing Trucks</t>
  </si>
  <si>
    <t>New Hampshire</t>
  </si>
  <si>
    <t>NH</t>
  </si>
  <si>
    <t>https://www.electrictrucksnow.com/states</t>
  </si>
  <si>
    <t>New Jersey</t>
  </si>
  <si>
    <t>NJ</t>
  </si>
  <si>
    <t>New Mexico</t>
  </si>
  <si>
    <t>NM</t>
  </si>
  <si>
    <t>Transportation Data</t>
  </si>
  <si>
    <t>New York</t>
  </si>
  <si>
    <t>NY</t>
  </si>
  <si>
    <t>Oak Ridge National Laboratory</t>
  </si>
  <si>
    <t>North Carolina</t>
  </si>
  <si>
    <t>NC</t>
  </si>
  <si>
    <t>North Dakota</t>
  </si>
  <si>
    <t>ND</t>
  </si>
  <si>
    <t>Transportation Energy Data Book: Edition 40</t>
  </si>
  <si>
    <t>Ohio</t>
  </si>
  <si>
    <t>OH</t>
  </si>
  <si>
    <t>https://tedb.ornl.gov/data/</t>
  </si>
  <si>
    <t>Oklahoma</t>
  </si>
  <si>
    <t>OK</t>
  </si>
  <si>
    <t>Oregon</t>
  </si>
  <si>
    <t>OR</t>
  </si>
  <si>
    <t>Bus Registration Data</t>
  </si>
  <si>
    <t>Pennsylvania</t>
  </si>
  <si>
    <t>PA</t>
  </si>
  <si>
    <t>U.S. DOT Federal Highway Administration</t>
  </si>
  <si>
    <t>Rhode Island</t>
  </si>
  <si>
    <t>RI</t>
  </si>
  <si>
    <t>South Carolina</t>
  </si>
  <si>
    <t>SC</t>
  </si>
  <si>
    <t>Highway Statistics 2020 - Table MV-10</t>
  </si>
  <si>
    <t>South Dakota</t>
  </si>
  <si>
    <t>SD</t>
  </si>
  <si>
    <t>https://www.fhwa.dot.gov/policyinformation/statistics/2020/mv10.cfm</t>
  </si>
  <si>
    <t>Tennessee</t>
  </si>
  <si>
    <t>TN</t>
  </si>
  <si>
    <t>Texas</t>
  </si>
  <si>
    <t>TX</t>
  </si>
  <si>
    <t>Medium-Duty Truck Data</t>
  </si>
  <si>
    <t>Utah</t>
  </si>
  <si>
    <t>UT</t>
  </si>
  <si>
    <t>Vermont</t>
  </si>
  <si>
    <t>VT</t>
  </si>
  <si>
    <t>Virginia</t>
  </si>
  <si>
    <t>VA</t>
  </si>
  <si>
    <t>Transportation Electrification Beyond Light Duty: Technology and Market Assessment</t>
  </si>
  <si>
    <t>Washington</t>
  </si>
  <si>
    <t>WA</t>
  </si>
  <si>
    <t>https://info.ornl.gov/sites/publications/Files/Pub72938.pdf</t>
  </si>
  <si>
    <t>West Virginia</t>
  </si>
  <si>
    <t>WV</t>
  </si>
  <si>
    <t>Wisconsin</t>
  </si>
  <si>
    <t>WI</t>
  </si>
  <si>
    <t>Notes</t>
  </si>
  <si>
    <t>Wyoming</t>
  </si>
  <si>
    <t>WY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</si>
  <si>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</si>
  <si>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</si>
  <si>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</si>
  <si>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</si>
  <si>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</si>
  <si>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</si>
  <si>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Although manufacturers often begin selling new models before the calendar year begins, the</t>
  </si>
  <si>
    <t>EPS can't impose a ZEV standard for part of a year. Therefore, we assume sales year = model year.</t>
  </si>
  <si>
    <t>U.S. Data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</si>
  <si>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</si>
  <si>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</si>
  <si>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</si>
  <si>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</si>
  <si>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</si>
  <si>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</si>
  <si>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</si>
  <si>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</si>
  <si>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</si>
  <si>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https://www.c2es.org/content/regulating-transportation-sector-carbon-emissions/</t>
  </si>
  <si>
    <t>The ZEV sales standards imposed by a region or subregion may have schedules that</t>
  </si>
  <si>
    <t xml:space="preserve">  do not overlap with EPS classifications. In this sheet, the California Air Resource Board (CARB)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</si>
  <si>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</si>
  <si>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</si>
  <si>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Vehicle Classes</t>
  </si>
  <si>
    <t>Description</t>
  </si>
  <si>
    <t>passenger LDVs</t>
  </si>
  <si>
    <t>Cars</t>
  </si>
  <si>
    <t>most light-duty road vehicles (such as cars and SUVs)</t>
  </si>
  <si>
    <t>passenger HDVs</t>
  </si>
  <si>
    <t>Buses</t>
  </si>
  <si>
    <t>buses (including school, transit, and intercity buses)</t>
  </si>
  <si>
    <t>passenger motorbikes</t>
  </si>
  <si>
    <t>registered motorcycles</t>
  </si>
  <si>
    <t>freight LDVs</t>
  </si>
  <si>
    <t>Class 2b-6</t>
  </si>
  <si>
    <t>light commercial trucks</t>
  </si>
  <si>
    <t>freight HDVs</t>
  </si>
  <si>
    <t>Class 7-8</t>
  </si>
  <si>
    <t>all other heavy road vehicles (mostly freight trucks)</t>
  </si>
  <si>
    <t>freight motorbikes</t>
  </si>
  <si>
    <t>CARB Schedules</t>
  </si>
  <si>
    <t>Year</t>
  </si>
  <si>
    <t>ACC I passenger cars</t>
  </si>
  <si>
    <t>ACC II passenger cars</t>
  </si>
  <si>
    <t>ACT Class 2b-3 pickup trucks and vans</t>
  </si>
  <si>
    <t>ACT Class 4-8 rigid (i.e., non-tractor) trucks</t>
  </si>
  <si>
    <t>ACT Class 7-8 tractor trucks</t>
  </si>
  <si>
    <t>Transportation Energy Data Book: Edition 40 (ORNL), Table 5.03</t>
  </si>
  <si>
    <t>New Retail Truck Sales by Gross Vehicle Weight, 1970–2021</t>
  </si>
  <si>
    <t>Class 1</t>
  </si>
  <si>
    <t>Class 2</t>
  </si>
  <si>
    <t>Class 2b*</t>
  </si>
  <si>
    <t>Class 3</t>
  </si>
  <si>
    <t>Class 4</t>
  </si>
  <si>
    <t>Class 5</t>
  </si>
  <si>
    <t>Class 6</t>
  </si>
  <si>
    <t>Class 7</t>
  </si>
  <si>
    <t>Class 8</t>
  </si>
  <si>
    <t>Split 7-8 by type:</t>
  </si>
  <si>
    <t>Class 7-8 tractors**</t>
  </si>
  <si>
    <t>Class 7-8 rigid</t>
  </si>
  <si>
    <t>Split 2b-6 by GVW:</t>
  </si>
  <si>
    <t>Total Class 2b-3</t>
  </si>
  <si>
    <t>Total Class 4-6</t>
  </si>
  <si>
    <t>Total Class 2b-6</t>
  </si>
  <si>
    <t>Total Class 7-8</t>
  </si>
  <si>
    <t>Total All Classes</t>
  </si>
  <si>
    <t>*from Electrification Beyond Light Duty (ORNL): "about 400,000 class 2b...trucks were 
sold annually between 2012 and 2014"</t>
  </si>
  <si>
    <t>**Class 7-8 trucks are split by type using registration data from Tables 5.01 &amp; 5.02 below</t>
  </si>
  <si>
    <t>Transportation Energy Data Book: Edition 40 (ORNL), Tables 5.01 &amp; 5.02</t>
  </si>
  <si>
    <t>Summary Statistics for Class 3-8 Single-Unit Trucks, 1970–2020 &amp; Summary Statistics for Class 7-8 Combination Trucks, 1970-2020</t>
  </si>
  <si>
    <t>Class 7-8 Truck tractors (Table 5.02)</t>
  </si>
  <si>
    <t>Class 3-8 Single-unit trucks (Table 5.01)</t>
  </si>
  <si>
    <t>Average growth rate</t>
  </si>
  <si>
    <t>Growth rate, Class 7-8 truck tractors</t>
  </si>
  <si>
    <t>Growth rate, Class 3-8 single-unit trucks</t>
  </si>
  <si>
    <t>U.S. DOT Federal Highway Administration, Highway Statistics Table MV-10 - 2020</t>
  </si>
  <si>
    <t>Bus Registrations</t>
  </si>
  <si>
    <t>TOTAL BUSES</t>
  </si>
  <si>
    <t>TOTAL</t>
  </si>
  <si>
    <t>SCHOOL</t>
  </si>
  <si>
    <t>NON-SCHOOL</t>
  </si>
  <si>
    <t>GRAND</t>
  </si>
  <si>
    <t>AND FEDERAL</t>
  </si>
  <si>
    <t>EPS Schedules</t>
  </si>
  <si>
    <t>passenger LDVs  ACC I</t>
  </si>
  <si>
    <t>passenger LDVs  ACC II</t>
  </si>
  <si>
    <t>passenger LDVs ACC II</t>
  </si>
  <si>
    <t>use '1' to indicate that the state follows the rule</t>
  </si>
  <si>
    <t>Does this state follow:</t>
  </si>
  <si>
    <t>What model year does this state begin regulating:</t>
  </si>
  <si>
    <t>trim</t>
  </si>
  <si>
    <t>ACC I</t>
  </si>
  <si>
    <t>ACC II</t>
  </si>
  <si>
    <t>ACT</t>
  </si>
  <si>
    <t>Trucks</t>
  </si>
  <si>
    <t>District of Columbia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</si>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</sst>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4" fillId="0" borderId="0"/>
    <xf numFmtId="0" fontId="7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/>
    <xf numFmtId="3" fontId="5" fillId="0" borderId="6" xfId="2" applyNumberFormat="1" applyFont="1" applyBorder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/>
    <xf numFmtId="9" fontId="0" fillId="0" borderId="13" xfId="2" applyFont="1" applyBorder="1"/>
    <xf numFmtId="0" fontId="6" fillId="0" borderId="0" xfId="0" applyFont="1"/>
    <xf numFmtId="0" fontId="0" fillId="0" borderId="0" xfId="2" applyNumberFormat="1" applyFont="1"/>
    <xf numFmtId="0" fontId="1" fillId="0" borderId="7" xfId="0" applyFont="1" applyBorder="1"/>
    <xf numFmtId="0" fontId="1" fillId="0" borderId="10" xfId="0" applyFont="1" applyBorder="1"/>
    <xf numFmtId="0" fontId="6" fillId="0" borderId="10" xfId="0" applyFont="1" applyBorder="1"/>
    <xf numFmtId="9" fontId="6" fillId="0" borderId="10" xfId="2" applyFont="1" applyBorder="1"/>
    <xf numFmtId="9" fontId="4" fillId="0" borderId="10" xfId="2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5" fillId="0" borderId="15" xfId="0" applyFont="1" applyBorder="1" applyAlignment="1">
      <alignment horizontal="center"/>
    </xf>
    <xf numFmtId="0" fontId="5" fillId="0" borderId="16" xfId="0" applyFont="1" applyBorder="1"/>
    <xf numFmtId="3" fontId="5" fillId="0" borderId="17" xfId="2" applyNumberFormat="1" applyFont="1" applyBorder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8" fillId="0" borderId="0" xfId="0" applyFont="1"/>
    <xf numFmtId="14" fontId="0" fillId="0" borderId="0" xfId="0" applyNumberFormat="1"/>
    <xf numFmtId="0" fontId="0" fillId="4" borderId="0" xfId="0" applyFill="1"/>
    <xf numFmtId="0" fontId="5" fillId="0" borderId="18" xfId="0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0" borderId="19" xfId="0" applyFont="1" applyBorder="1" applyAlignment="1">
      <alignment horizontal="center" wrapText="1"/>
    </xf>
    <xf numFmtId="0" fontId="0" fillId="0" borderId="9" xfId="0" applyBorder="1"/>
    <xf numFmtId="0" fontId="1" fillId="0" borderId="19" xfId="0" applyFont="1" applyBorder="1" applyAlignment="1">
      <alignment horizontal="center"/>
    </xf>
    <xf numFmtId="0" fontId="0" fillId="0" borderId="8" xfId="0" applyBorder="1"/>
  </cellXfs>
  <cellStyles count="4">
    <cellStyle name="Hyperlink" xfId="1" builtinId="8"/>
    <cellStyle name="Normal" xfId="0" builtinId="0"/>
    <cellStyle name="Normal 2" xfId="3" xr:uid="{00000000-0005-0000-0000-000003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 b="65557"/>
        <a:stretch>
          <a:fillRect/>
        </a:stretch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5" t="s">
        <v>1</v>
      </c>
      <c r="C1" s="46">
        <v>45194</v>
      </c>
    </row>
    <row r="2" spans="1:7" x14ac:dyDescent="0.25">
      <c r="B2" s="45" t="str">
        <f>LOOKUP(B1,F2:G51,G2:G51)</f>
        <v>IL</v>
      </c>
      <c r="F2" s="45" t="s">
        <v>2</v>
      </c>
      <c r="G2" s="45" t="s">
        <v>3</v>
      </c>
    </row>
    <row r="3" spans="1:7" x14ac:dyDescent="0.25">
      <c r="A3" s="1" t="s">
        <v>4</v>
      </c>
      <c r="B3" s="3" t="s">
        <v>5</v>
      </c>
      <c r="F3" s="45" t="s">
        <v>6</v>
      </c>
      <c r="G3" s="45" t="s">
        <v>7</v>
      </c>
    </row>
    <row r="4" spans="1:7" x14ac:dyDescent="0.25">
      <c r="B4" t="s">
        <v>8</v>
      </c>
      <c r="F4" s="45" t="s">
        <v>9</v>
      </c>
      <c r="G4" s="45" t="s">
        <v>10</v>
      </c>
    </row>
    <row r="5" spans="1:7" x14ac:dyDescent="0.25">
      <c r="B5" s="4">
        <v>2022</v>
      </c>
      <c r="F5" s="45" t="s">
        <v>11</v>
      </c>
      <c r="G5" s="45" t="s">
        <v>12</v>
      </c>
    </row>
    <row r="6" spans="1:7" x14ac:dyDescent="0.25">
      <c r="B6" t="s">
        <v>13</v>
      </c>
      <c r="F6" s="45" t="s">
        <v>14</v>
      </c>
      <c r="G6" s="45" t="s">
        <v>15</v>
      </c>
    </row>
    <row r="7" spans="1:7" x14ac:dyDescent="0.25">
      <c r="B7" s="5" t="s">
        <v>16</v>
      </c>
      <c r="F7" s="45" t="s">
        <v>17</v>
      </c>
      <c r="G7" s="45" t="s">
        <v>18</v>
      </c>
    </row>
    <row r="8" spans="1:7" x14ac:dyDescent="0.25">
      <c r="B8" t="s">
        <v>19</v>
      </c>
      <c r="F8" s="45" t="s">
        <v>20</v>
      </c>
      <c r="G8" s="45" t="s">
        <v>21</v>
      </c>
    </row>
    <row r="9" spans="1:7" x14ac:dyDescent="0.25">
      <c r="F9" s="45" t="s">
        <v>22</v>
      </c>
      <c r="G9" s="45" t="s">
        <v>23</v>
      </c>
    </row>
    <row r="10" spans="1:7" x14ac:dyDescent="0.25">
      <c r="B10" s="3" t="s">
        <v>24</v>
      </c>
      <c r="F10" s="45" t="s">
        <v>25</v>
      </c>
      <c r="G10" s="45" t="s">
        <v>26</v>
      </c>
    </row>
    <row r="11" spans="1:7" x14ac:dyDescent="0.25">
      <c r="B11" t="s">
        <v>8</v>
      </c>
      <c r="F11" s="45" t="s">
        <v>27</v>
      </c>
      <c r="G11" s="45" t="s">
        <v>28</v>
      </c>
    </row>
    <row r="12" spans="1:7" x14ac:dyDescent="0.25">
      <c r="B12" s="4">
        <v>2022</v>
      </c>
      <c r="F12" s="45" t="s">
        <v>29</v>
      </c>
      <c r="G12" s="45" t="s">
        <v>30</v>
      </c>
    </row>
    <row r="13" spans="1:7" x14ac:dyDescent="0.25">
      <c r="B13" t="s">
        <v>31</v>
      </c>
      <c r="F13" s="45" t="s">
        <v>32</v>
      </c>
      <c r="G13" s="45" t="s">
        <v>33</v>
      </c>
    </row>
    <row r="14" spans="1:7" x14ac:dyDescent="0.25">
      <c r="B14" s="5" t="s">
        <v>34</v>
      </c>
      <c r="F14" s="45" t="s">
        <v>1</v>
      </c>
      <c r="G14" s="45" t="s">
        <v>35</v>
      </c>
    </row>
    <row r="15" spans="1:7" x14ac:dyDescent="0.25">
      <c r="B15" t="s">
        <v>36</v>
      </c>
      <c r="F15" s="45" t="s">
        <v>37</v>
      </c>
      <c r="G15" s="45" t="s">
        <v>38</v>
      </c>
    </row>
    <row r="16" spans="1:7" x14ac:dyDescent="0.25">
      <c r="F16" s="45" t="s">
        <v>39</v>
      </c>
      <c r="G16" s="45" t="s">
        <v>40</v>
      </c>
    </row>
    <row r="17" spans="2:7" x14ac:dyDescent="0.25">
      <c r="B17" s="3" t="s">
        <v>41</v>
      </c>
      <c r="F17" s="45" t="s">
        <v>42</v>
      </c>
      <c r="G17" s="45" t="s">
        <v>43</v>
      </c>
    </row>
    <row r="18" spans="2:7" x14ac:dyDescent="0.25">
      <c r="B18" t="s">
        <v>44</v>
      </c>
      <c r="F18" s="45" t="s">
        <v>45</v>
      </c>
      <c r="G18" s="45" t="s">
        <v>46</v>
      </c>
    </row>
    <row r="19" spans="2:7" x14ac:dyDescent="0.25">
      <c r="B19" s="4" t="s">
        <v>47</v>
      </c>
      <c r="F19" s="45" t="s">
        <v>48</v>
      </c>
      <c r="G19" s="45" t="s">
        <v>49</v>
      </c>
    </row>
    <row r="20" spans="2:7" x14ac:dyDescent="0.25">
      <c r="B20" t="s">
        <v>50</v>
      </c>
      <c r="F20" s="45" t="s">
        <v>51</v>
      </c>
      <c r="G20" s="45" t="s">
        <v>52</v>
      </c>
    </row>
    <row r="21" spans="2:7" x14ac:dyDescent="0.25">
      <c r="B21" s="5" t="s">
        <v>53</v>
      </c>
      <c r="F21" s="45" t="s">
        <v>54</v>
      </c>
      <c r="G21" s="45" t="s">
        <v>55</v>
      </c>
    </row>
    <row r="22" spans="2:7" x14ac:dyDescent="0.25">
      <c r="B22" s="5" t="s">
        <v>56</v>
      </c>
      <c r="C22" t="s">
        <v>57</v>
      </c>
      <c r="F22" s="45" t="s">
        <v>58</v>
      </c>
      <c r="G22" s="45" t="s">
        <v>59</v>
      </c>
    </row>
    <row r="23" spans="2:7" x14ac:dyDescent="0.25">
      <c r="B23" s="5" t="s">
        <v>60</v>
      </c>
      <c r="F23" s="45" t="s">
        <v>61</v>
      </c>
      <c r="G23" s="45" t="s">
        <v>62</v>
      </c>
    </row>
    <row r="24" spans="2:7" x14ac:dyDescent="0.25">
      <c r="B24" s="5" t="s">
        <v>63</v>
      </c>
      <c r="C24" t="s">
        <v>57</v>
      </c>
      <c r="F24" s="45" t="s">
        <v>64</v>
      </c>
      <c r="G24" s="45" t="s">
        <v>65</v>
      </c>
    </row>
    <row r="25" spans="2:7" x14ac:dyDescent="0.25">
      <c r="B25" s="5" t="s">
        <v>66</v>
      </c>
      <c r="F25" s="45" t="s">
        <v>67</v>
      </c>
      <c r="G25" s="45" t="s">
        <v>68</v>
      </c>
    </row>
    <row r="26" spans="2:7" x14ac:dyDescent="0.25">
      <c r="F26" s="45" t="s">
        <v>69</v>
      </c>
      <c r="G26" s="45" t="s">
        <v>70</v>
      </c>
    </row>
    <row r="27" spans="2:7" x14ac:dyDescent="0.25">
      <c r="B27" s="3" t="s">
        <v>71</v>
      </c>
      <c r="F27" s="45" t="s">
        <v>72</v>
      </c>
      <c r="G27" s="45" t="s">
        <v>73</v>
      </c>
    </row>
    <row r="28" spans="2:7" x14ac:dyDescent="0.25">
      <c r="B28" t="s">
        <v>74</v>
      </c>
      <c r="F28" s="45" t="s">
        <v>75</v>
      </c>
      <c r="G28" s="45" t="s">
        <v>76</v>
      </c>
    </row>
    <row r="29" spans="2:7" x14ac:dyDescent="0.25">
      <c r="B29" s="4">
        <v>2022</v>
      </c>
      <c r="F29" s="45" t="s">
        <v>77</v>
      </c>
      <c r="G29" s="45" t="s">
        <v>78</v>
      </c>
    </row>
    <row r="30" spans="2:7" x14ac:dyDescent="0.25">
      <c r="B30" t="s">
        <v>79</v>
      </c>
      <c r="F30" s="45" t="s">
        <v>80</v>
      </c>
      <c r="G30" s="45" t="s">
        <v>81</v>
      </c>
    </row>
    <row r="31" spans="2:7" x14ac:dyDescent="0.25">
      <c r="B31" s="5" t="s">
        <v>82</v>
      </c>
      <c r="F31" s="45" t="s">
        <v>83</v>
      </c>
      <c r="G31" s="45" t="s">
        <v>84</v>
      </c>
    </row>
    <row r="32" spans="2:7" x14ac:dyDescent="0.25">
      <c r="B32" s="5"/>
      <c r="F32" s="45" t="s">
        <v>85</v>
      </c>
      <c r="G32" s="45" t="s">
        <v>86</v>
      </c>
    </row>
    <row r="33" spans="2:7" x14ac:dyDescent="0.25">
      <c r="B33" s="3" t="s">
        <v>87</v>
      </c>
      <c r="F33" s="45" t="s">
        <v>88</v>
      </c>
      <c r="G33" s="45" t="s">
        <v>89</v>
      </c>
    </row>
    <row r="34" spans="2:7" x14ac:dyDescent="0.25">
      <c r="B34" t="s">
        <v>90</v>
      </c>
      <c r="F34" s="45" t="s">
        <v>91</v>
      </c>
      <c r="G34" s="45" t="s">
        <v>92</v>
      </c>
    </row>
    <row r="35" spans="2:7" x14ac:dyDescent="0.25">
      <c r="B35" s="4">
        <v>2022</v>
      </c>
      <c r="F35" s="45" t="s">
        <v>93</v>
      </c>
      <c r="G35" s="45" t="s">
        <v>94</v>
      </c>
    </row>
    <row r="36" spans="2:7" x14ac:dyDescent="0.25">
      <c r="B36" t="s">
        <v>95</v>
      </c>
      <c r="F36" s="45" t="s">
        <v>96</v>
      </c>
      <c r="G36" s="45" t="s">
        <v>97</v>
      </c>
    </row>
    <row r="37" spans="2:7" x14ac:dyDescent="0.25">
      <c r="B37" s="5" t="s">
        <v>98</v>
      </c>
      <c r="F37" s="45" t="s">
        <v>99</v>
      </c>
      <c r="G37" s="45" t="s">
        <v>100</v>
      </c>
    </row>
    <row r="38" spans="2:7" x14ac:dyDescent="0.25">
      <c r="B38" s="5"/>
      <c r="F38" s="45" t="s">
        <v>101</v>
      </c>
      <c r="G38" s="45" t="s">
        <v>102</v>
      </c>
    </row>
    <row r="39" spans="2:7" x14ac:dyDescent="0.25">
      <c r="B39" s="3" t="s">
        <v>103</v>
      </c>
      <c r="F39" s="45" t="s">
        <v>104</v>
      </c>
      <c r="G39" s="45" t="s">
        <v>105</v>
      </c>
    </row>
    <row r="40" spans="2:7" x14ac:dyDescent="0.25">
      <c r="B40" t="s">
        <v>106</v>
      </c>
      <c r="F40" s="45" t="s">
        <v>107</v>
      </c>
      <c r="G40" s="45" t="s">
        <v>108</v>
      </c>
    </row>
    <row r="41" spans="2:7" x14ac:dyDescent="0.25">
      <c r="B41" s="4">
        <v>2022</v>
      </c>
      <c r="F41" s="45" t="s">
        <v>109</v>
      </c>
      <c r="G41" s="45" t="s">
        <v>110</v>
      </c>
    </row>
    <row r="42" spans="2:7" x14ac:dyDescent="0.25">
      <c r="B42" t="s">
        <v>111</v>
      </c>
      <c r="F42" s="45" t="s">
        <v>112</v>
      </c>
      <c r="G42" s="45" t="s">
        <v>113</v>
      </c>
    </row>
    <row r="43" spans="2:7" x14ac:dyDescent="0.25">
      <c r="B43" s="5" t="s">
        <v>114</v>
      </c>
      <c r="F43" s="45" t="s">
        <v>115</v>
      </c>
      <c r="G43" s="45" t="s">
        <v>116</v>
      </c>
    </row>
    <row r="44" spans="2:7" x14ac:dyDescent="0.25">
      <c r="B44" s="5"/>
      <c r="F44" s="45" t="s">
        <v>117</v>
      </c>
      <c r="G44" s="45" t="s">
        <v>118</v>
      </c>
    </row>
    <row r="45" spans="2:7" x14ac:dyDescent="0.25">
      <c r="B45" s="3" t="s">
        <v>119</v>
      </c>
      <c r="F45" s="45" t="s">
        <v>120</v>
      </c>
      <c r="G45" s="45" t="s">
        <v>121</v>
      </c>
    </row>
    <row r="46" spans="2:7" x14ac:dyDescent="0.25">
      <c r="B46" t="s">
        <v>90</v>
      </c>
      <c r="F46" s="45" t="s">
        <v>122</v>
      </c>
      <c r="G46" s="45" t="s">
        <v>123</v>
      </c>
    </row>
    <row r="47" spans="2:7" x14ac:dyDescent="0.25">
      <c r="B47" s="4">
        <v>2017</v>
      </c>
      <c r="F47" s="45" t="s">
        <v>124</v>
      </c>
      <c r="G47" s="45" t="s">
        <v>125</v>
      </c>
    </row>
    <row r="48" spans="2:7" x14ac:dyDescent="0.25">
      <c r="B48" t="s">
        <v>126</v>
      </c>
      <c r="F48" s="45" t="s">
        <v>127</v>
      </c>
      <c r="G48" s="45" t="s">
        <v>128</v>
      </c>
    </row>
    <row r="49" spans="1:7" x14ac:dyDescent="0.25">
      <c r="B49" s="5" t="s">
        <v>129</v>
      </c>
      <c r="F49" s="45" t="s">
        <v>130</v>
      </c>
      <c r="G49" s="45" t="s">
        <v>131</v>
      </c>
    </row>
    <row r="50" spans="1:7" x14ac:dyDescent="0.25">
      <c r="B50" s="5"/>
      <c r="F50" s="45" t="s">
        <v>132</v>
      </c>
      <c r="G50" s="45" t="s">
        <v>133</v>
      </c>
    </row>
    <row r="51" spans="1:7" x14ac:dyDescent="0.25">
      <c r="A51" s="1" t="s">
        <v>134</v>
      </c>
      <c r="F51" s="45" t="s">
        <v>135</v>
      </c>
      <c r="G51" s="45" t="s">
        <v>136</v>
      </c>
    </row>
    <row r="52" spans="1:7" x14ac:dyDescent="0.25">
      <c r="A52" t="s">
        <v>137</v>
      </c>
    </row>
    <row r="53" spans="1:7" x14ac:dyDescent="0.25">
      <c r="A53" t="s">
        <v>138</v>
      </c>
    </row>
    <row r="54" spans="1:7" x14ac:dyDescent="0.25">
      <c r="A54" t="s">
        <v>139</v>
      </c>
    </row>
    <row r="55" spans="1:7" x14ac:dyDescent="0.25">
      <c r="A55" t="s">
        <v>140</v>
      </c>
    </row>
    <row r="56" spans="1:7" x14ac:dyDescent="0.25">
      <c r="A56" t="s">
        <v>141</v>
      </c>
    </row>
    <row r="57" spans="1:7" x14ac:dyDescent="0.25">
      <c r="A57" t="s">
        <v>142</v>
      </c>
    </row>
    <row r="59" spans="1:7" x14ac:dyDescent="0.25">
      <c r="A59" t="s">
        <v>143</v>
      </c>
    </row>
    <row r="60" spans="1:7" x14ac:dyDescent="0.25">
      <c r="A60" t="s">
        <v>144</v>
      </c>
    </row>
    <row r="62" spans="1:7" x14ac:dyDescent="0.25">
      <c r="A62" s="6" t="s">
        <v>145</v>
      </c>
      <c r="B62" s="7"/>
    </row>
    <row r="63" spans="1:7" x14ac:dyDescent="0.25">
      <c r="A63" t="s">
        <v>146</v>
      </c>
    </row>
    <row r="64" spans="1:7" x14ac:dyDescent="0.25">
      <c r="A64" t="s">
        <v>147</v>
      </c>
    </row>
    <row r="66" spans="1:1" x14ac:dyDescent="0.25">
      <c r="A66" t="s">
        <v>148</v>
      </c>
    </row>
    <row r="67" spans="1:1" x14ac:dyDescent="0.25">
      <c r="A67" t="s">
        <v>149</v>
      </c>
    </row>
    <row r="69" spans="1:1" x14ac:dyDescent="0.25">
      <c r="A69" t="s">
        <v>150</v>
      </c>
    </row>
    <row r="70" spans="1:1" x14ac:dyDescent="0.25">
      <c r="A70" t="s">
        <v>151</v>
      </c>
    </row>
    <row r="72" spans="1:1" x14ac:dyDescent="0.25">
      <c r="A72" t="s">
        <v>152</v>
      </c>
    </row>
    <row r="73" spans="1:1" x14ac:dyDescent="0.25">
      <c r="A73" t="s">
        <v>153</v>
      </c>
    </row>
    <row r="74" spans="1:1" x14ac:dyDescent="0.25">
      <c r="A74" t="s">
        <v>154</v>
      </c>
    </row>
    <row r="75" spans="1:1" x14ac:dyDescent="0.25">
      <c r="A75" s="5" t="s">
        <v>155</v>
      </c>
    </row>
  </sheetData>
  <hyperlinks>
    <hyperlink ref="B7" r:id="rId1" xr:uid="{00000000-0004-0000-0000-000000000000}"/>
    <hyperlink ref="B14" r:id="rId2" xr:uid="{00000000-0004-0000-0000-000001000000}"/>
    <hyperlink ref="A75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156</v>
      </c>
      <c r="B1" s="14"/>
      <c r="C1" s="14"/>
      <c r="D1" s="14"/>
      <c r="E1" s="14"/>
      <c r="F1" s="15"/>
    </row>
    <row r="2" spans="1:32" x14ac:dyDescent="0.25">
      <c r="A2" s="22" t="s">
        <v>157</v>
      </c>
      <c r="F2" s="17"/>
    </row>
    <row r="3" spans="1:32" x14ac:dyDescent="0.25">
      <c r="A3" s="22" t="s">
        <v>158</v>
      </c>
      <c r="F3" s="17"/>
    </row>
    <row r="4" spans="1:32" x14ac:dyDescent="0.25">
      <c r="A4" s="23" t="s">
        <v>159</v>
      </c>
      <c r="B4" s="19"/>
      <c r="C4" s="19"/>
      <c r="D4" s="19"/>
      <c r="E4" s="19"/>
      <c r="F4" s="20"/>
    </row>
    <row r="6" spans="1:32" x14ac:dyDescent="0.25">
      <c r="A6" s="28" t="s">
        <v>160</v>
      </c>
      <c r="B6" s="14"/>
      <c r="C6" s="14" t="s">
        <v>161</v>
      </c>
      <c r="D6" s="14"/>
      <c r="E6" s="14"/>
      <c r="F6" s="15"/>
    </row>
    <row r="7" spans="1:32" x14ac:dyDescent="0.25">
      <c r="A7" s="16" t="s">
        <v>162</v>
      </c>
      <c r="B7" t="s">
        <v>163</v>
      </c>
      <c r="C7" t="s">
        <v>164</v>
      </c>
      <c r="F7" s="17"/>
    </row>
    <row r="8" spans="1:32" x14ac:dyDescent="0.25">
      <c r="A8" s="16" t="s">
        <v>165</v>
      </c>
      <c r="B8" t="s">
        <v>166</v>
      </c>
      <c r="C8" t="s">
        <v>167</v>
      </c>
      <c r="F8" s="17"/>
    </row>
    <row r="9" spans="1:32" x14ac:dyDescent="0.25">
      <c r="A9" s="16" t="s">
        <v>168</v>
      </c>
      <c r="C9" t="s">
        <v>169</v>
      </c>
      <c r="F9" s="17"/>
    </row>
    <row r="10" spans="1:32" x14ac:dyDescent="0.25">
      <c r="A10" s="16" t="s">
        <v>170</v>
      </c>
      <c r="B10" t="s">
        <v>171</v>
      </c>
      <c r="C10" t="s">
        <v>172</v>
      </c>
      <c r="F10" s="17"/>
    </row>
    <row r="11" spans="1:32" x14ac:dyDescent="0.25">
      <c r="A11" s="16" t="s">
        <v>173</v>
      </c>
      <c r="B11" t="s">
        <v>174</v>
      </c>
      <c r="C11" t="s">
        <v>175</v>
      </c>
      <c r="F11" s="17"/>
    </row>
    <row r="12" spans="1:32" x14ac:dyDescent="0.25">
      <c r="A12" s="18" t="s">
        <v>176</v>
      </c>
      <c r="B12" s="19"/>
      <c r="C12" s="19" t="s">
        <v>169</v>
      </c>
      <c r="D12" s="19"/>
      <c r="E12" s="19"/>
      <c r="F12" s="20"/>
    </row>
    <row r="14" spans="1:32" x14ac:dyDescent="0.25">
      <c r="A14" s="28" t="s">
        <v>177</v>
      </c>
      <c r="B14" s="34"/>
      <c r="C14" s="34"/>
      <c r="D14" s="34"/>
      <c r="E14" s="3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178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179</v>
      </c>
      <c r="B16" s="24">
        <f t="shared" ref="B16:G16" si="0">(B15-2018)/(2025-2018)*(0.22-0.045)+0.045</f>
        <v>9.5000000000000001E-2</v>
      </c>
      <c r="C16" s="24">
        <f t="shared" si="0"/>
        <v>0.12</v>
      </c>
      <c r="D16" s="24">
        <f t="shared" si="0"/>
        <v>0.14499999999999999</v>
      </c>
      <c r="E16" s="24">
        <f t="shared" si="0"/>
        <v>0.16999999999999998</v>
      </c>
      <c r="F16" s="24">
        <f t="shared" si="0"/>
        <v>0.19500000000000001</v>
      </c>
      <c r="G16" s="24">
        <f t="shared" si="0"/>
        <v>0.21999999999999997</v>
      </c>
      <c r="H16" s="24">
        <v>0.22</v>
      </c>
      <c r="I16" s="24">
        <v>0.22</v>
      </c>
      <c r="J16" s="24">
        <v>0.22</v>
      </c>
      <c r="K16" s="24">
        <v>0.22</v>
      </c>
      <c r="L16" s="24">
        <v>0.22</v>
      </c>
      <c r="M16" s="24">
        <v>0.22</v>
      </c>
      <c r="N16" s="24">
        <v>0.22</v>
      </c>
      <c r="O16" s="24">
        <v>0.22</v>
      </c>
      <c r="P16" s="24">
        <v>0.22</v>
      </c>
      <c r="Q16" s="24">
        <v>0.22</v>
      </c>
      <c r="R16" s="35">
        <f t="shared" ref="R16:AF16" si="1">Q16</f>
        <v>0.22</v>
      </c>
      <c r="S16" s="35">
        <f t="shared" si="1"/>
        <v>0.22</v>
      </c>
      <c r="T16" s="35">
        <f t="shared" si="1"/>
        <v>0.22</v>
      </c>
      <c r="U16" s="35">
        <f t="shared" si="1"/>
        <v>0.22</v>
      </c>
      <c r="V16" s="35">
        <f t="shared" si="1"/>
        <v>0.22</v>
      </c>
      <c r="W16" s="35">
        <f t="shared" si="1"/>
        <v>0.22</v>
      </c>
      <c r="X16" s="35">
        <f t="shared" si="1"/>
        <v>0.22</v>
      </c>
      <c r="Y16" s="35">
        <f t="shared" si="1"/>
        <v>0.22</v>
      </c>
      <c r="Z16" s="35">
        <f t="shared" si="1"/>
        <v>0.22</v>
      </c>
      <c r="AA16" s="35">
        <f t="shared" si="1"/>
        <v>0.22</v>
      </c>
      <c r="AB16" s="35">
        <f t="shared" si="1"/>
        <v>0.22</v>
      </c>
      <c r="AC16" s="35">
        <f t="shared" si="1"/>
        <v>0.22</v>
      </c>
      <c r="AD16" s="35">
        <f t="shared" si="1"/>
        <v>0.22</v>
      </c>
      <c r="AE16" s="35">
        <f t="shared" si="1"/>
        <v>0.22</v>
      </c>
      <c r="AF16" s="36">
        <f t="shared" si="1"/>
        <v>0.22</v>
      </c>
    </row>
    <row r="17" spans="1:32" x14ac:dyDescent="0.25">
      <c r="A17" s="16" t="s">
        <v>180</v>
      </c>
      <c r="B17" s="24">
        <f t="shared" ref="B17:G17" si="2">B16</f>
        <v>9.5000000000000001E-2</v>
      </c>
      <c r="C17" s="24">
        <f t="shared" si="2"/>
        <v>0.12</v>
      </c>
      <c r="D17" s="24">
        <f t="shared" si="2"/>
        <v>0.14499999999999999</v>
      </c>
      <c r="E17" s="24">
        <f t="shared" si="2"/>
        <v>0.16999999999999998</v>
      </c>
      <c r="F17" s="24">
        <f t="shared" si="2"/>
        <v>0.19500000000000001</v>
      </c>
      <c r="G17" s="24">
        <f t="shared" si="2"/>
        <v>0.21999999999999997</v>
      </c>
      <c r="H17" s="24">
        <v>0.35</v>
      </c>
      <c r="I17" s="24">
        <v>0.43</v>
      </c>
      <c r="J17" s="24">
        <v>0.51</v>
      </c>
      <c r="K17" s="24">
        <v>0.59</v>
      </c>
      <c r="L17" s="24">
        <v>0.68</v>
      </c>
      <c r="M17" s="24">
        <v>0.76</v>
      </c>
      <c r="N17" s="24">
        <v>0.82</v>
      </c>
      <c r="O17" s="24">
        <v>0.88</v>
      </c>
      <c r="P17" s="24">
        <v>0.94</v>
      </c>
      <c r="Q17" s="24">
        <v>1</v>
      </c>
      <c r="R17" s="35">
        <f t="shared" ref="R17:AF17" si="3">Q17</f>
        <v>1</v>
      </c>
      <c r="S17" s="35">
        <f t="shared" si="3"/>
        <v>1</v>
      </c>
      <c r="T17" s="35">
        <f t="shared" si="3"/>
        <v>1</v>
      </c>
      <c r="U17" s="35">
        <f t="shared" si="3"/>
        <v>1</v>
      </c>
      <c r="V17" s="35">
        <f t="shared" si="3"/>
        <v>1</v>
      </c>
      <c r="W17" s="35">
        <f t="shared" si="3"/>
        <v>1</v>
      </c>
      <c r="X17" s="35">
        <f t="shared" si="3"/>
        <v>1</v>
      </c>
      <c r="Y17" s="35">
        <f t="shared" si="3"/>
        <v>1</v>
      </c>
      <c r="Z17" s="35">
        <f t="shared" si="3"/>
        <v>1</v>
      </c>
      <c r="AA17" s="35">
        <f t="shared" si="3"/>
        <v>1</v>
      </c>
      <c r="AB17" s="35">
        <f t="shared" si="3"/>
        <v>1</v>
      </c>
      <c r="AC17" s="35">
        <f t="shared" si="3"/>
        <v>1</v>
      </c>
      <c r="AD17" s="35">
        <f t="shared" si="3"/>
        <v>1</v>
      </c>
      <c r="AE17" s="35">
        <f t="shared" si="3"/>
        <v>1</v>
      </c>
      <c r="AF17" s="36">
        <f t="shared" si="3"/>
        <v>1</v>
      </c>
    </row>
    <row r="18" spans="1:32" x14ac:dyDescent="0.25">
      <c r="A18" s="16" t="s">
        <v>181</v>
      </c>
      <c r="B18" s="24">
        <v>0</v>
      </c>
      <c r="C18" s="24">
        <v>0</v>
      </c>
      <c r="D18" s="24">
        <v>0</v>
      </c>
      <c r="E18" s="24">
        <v>0</v>
      </c>
      <c r="F18" s="24">
        <v>0.05</v>
      </c>
      <c r="G18" s="24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5">
        <f t="shared" ref="R18:AF18" si="4">Q18</f>
        <v>0.55000000000000004</v>
      </c>
      <c r="S18" s="35">
        <f t="shared" si="4"/>
        <v>0.55000000000000004</v>
      </c>
      <c r="T18" s="35">
        <f t="shared" si="4"/>
        <v>0.55000000000000004</v>
      </c>
      <c r="U18" s="35">
        <f t="shared" si="4"/>
        <v>0.55000000000000004</v>
      </c>
      <c r="V18" s="35">
        <f t="shared" si="4"/>
        <v>0.55000000000000004</v>
      </c>
      <c r="W18" s="35">
        <f t="shared" si="4"/>
        <v>0.55000000000000004</v>
      </c>
      <c r="X18" s="35">
        <f t="shared" si="4"/>
        <v>0.55000000000000004</v>
      </c>
      <c r="Y18" s="35">
        <f t="shared" si="4"/>
        <v>0.55000000000000004</v>
      </c>
      <c r="Z18" s="35">
        <f t="shared" si="4"/>
        <v>0.55000000000000004</v>
      </c>
      <c r="AA18" s="35">
        <f t="shared" si="4"/>
        <v>0.55000000000000004</v>
      </c>
      <c r="AB18" s="35">
        <f t="shared" si="4"/>
        <v>0.55000000000000004</v>
      </c>
      <c r="AC18" s="35">
        <f t="shared" si="4"/>
        <v>0.55000000000000004</v>
      </c>
      <c r="AD18" s="35">
        <f t="shared" si="4"/>
        <v>0.55000000000000004</v>
      </c>
      <c r="AE18" s="35">
        <f t="shared" si="4"/>
        <v>0.55000000000000004</v>
      </c>
      <c r="AF18" s="36">
        <f t="shared" si="4"/>
        <v>0.55000000000000004</v>
      </c>
    </row>
    <row r="19" spans="1:32" x14ac:dyDescent="0.25">
      <c r="A19" s="16" t="s">
        <v>182</v>
      </c>
      <c r="B19" s="24">
        <v>0</v>
      </c>
      <c r="C19" s="24">
        <v>0</v>
      </c>
      <c r="D19" s="24">
        <v>0</v>
      </c>
      <c r="E19" s="24">
        <v>0</v>
      </c>
      <c r="F19" s="24">
        <v>0.09</v>
      </c>
      <c r="G19" s="24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5">
        <f t="shared" ref="R19:AF19" si="5">Q19</f>
        <v>0.75</v>
      </c>
      <c r="S19" s="35">
        <f t="shared" si="5"/>
        <v>0.75</v>
      </c>
      <c r="T19" s="35">
        <f t="shared" si="5"/>
        <v>0.75</v>
      </c>
      <c r="U19" s="35">
        <f t="shared" si="5"/>
        <v>0.75</v>
      </c>
      <c r="V19" s="35">
        <f t="shared" si="5"/>
        <v>0.75</v>
      </c>
      <c r="W19" s="35">
        <f t="shared" si="5"/>
        <v>0.75</v>
      </c>
      <c r="X19" s="35">
        <f t="shared" si="5"/>
        <v>0.75</v>
      </c>
      <c r="Y19" s="35">
        <f t="shared" si="5"/>
        <v>0.75</v>
      </c>
      <c r="Z19" s="35">
        <f t="shared" si="5"/>
        <v>0.75</v>
      </c>
      <c r="AA19" s="35">
        <f t="shared" si="5"/>
        <v>0.75</v>
      </c>
      <c r="AB19" s="35">
        <f t="shared" si="5"/>
        <v>0.75</v>
      </c>
      <c r="AC19" s="35">
        <f t="shared" si="5"/>
        <v>0.75</v>
      </c>
      <c r="AD19" s="35">
        <f t="shared" si="5"/>
        <v>0.75</v>
      </c>
      <c r="AE19" s="35">
        <f t="shared" si="5"/>
        <v>0.75</v>
      </c>
      <c r="AF19" s="36">
        <f t="shared" si="5"/>
        <v>0.75</v>
      </c>
    </row>
    <row r="20" spans="1:32" x14ac:dyDescent="0.25">
      <c r="A20" s="18" t="s">
        <v>183</v>
      </c>
      <c r="B20" s="25">
        <v>0</v>
      </c>
      <c r="C20" s="25">
        <v>0</v>
      </c>
      <c r="D20" s="25">
        <v>0</v>
      </c>
      <c r="E20" s="25">
        <v>0</v>
      </c>
      <c r="F20" s="25">
        <v>0.05</v>
      </c>
      <c r="G20" s="25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7">
        <f t="shared" ref="R20:AF20" si="6">Q20</f>
        <v>0.4</v>
      </c>
      <c r="S20" s="37">
        <f t="shared" si="6"/>
        <v>0.4</v>
      </c>
      <c r="T20" s="37">
        <f t="shared" si="6"/>
        <v>0.4</v>
      </c>
      <c r="U20" s="37">
        <f t="shared" si="6"/>
        <v>0.4</v>
      </c>
      <c r="V20" s="37">
        <f t="shared" si="6"/>
        <v>0.4</v>
      </c>
      <c r="W20" s="37">
        <f t="shared" si="6"/>
        <v>0.4</v>
      </c>
      <c r="X20" s="37">
        <f t="shared" si="6"/>
        <v>0.4</v>
      </c>
      <c r="Y20" s="37">
        <f t="shared" si="6"/>
        <v>0.4</v>
      </c>
      <c r="Z20" s="37">
        <f t="shared" si="6"/>
        <v>0.4</v>
      </c>
      <c r="AA20" s="37">
        <f t="shared" si="6"/>
        <v>0.4</v>
      </c>
      <c r="AB20" s="37">
        <f t="shared" si="6"/>
        <v>0.4</v>
      </c>
      <c r="AC20" s="37">
        <f t="shared" si="6"/>
        <v>0.4</v>
      </c>
      <c r="AD20" s="37">
        <f t="shared" si="6"/>
        <v>0.4</v>
      </c>
      <c r="AE20" s="37">
        <f t="shared" si="6"/>
        <v>0.4</v>
      </c>
      <c r="AF20" s="38">
        <f t="shared" si="6"/>
        <v>0.4</v>
      </c>
    </row>
    <row r="22" spans="1:32" x14ac:dyDescent="0.25">
      <c r="A22" s="28" t="s">
        <v>184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185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186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187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0" t="s">
        <v>188</v>
      </c>
      <c r="B27" s="26">
        <f t="shared" ref="B27:K27" si="7">B26*400/AVERAGE($B26:$D26)</f>
        <v>352.64406906163845</v>
      </c>
      <c r="C27" s="26">
        <f t="shared" si="7"/>
        <v>404.47242418293121</v>
      </c>
      <c r="D27" s="26">
        <f t="shared" si="7"/>
        <v>442.88350675543018</v>
      </c>
      <c r="E27" s="26">
        <f t="shared" si="7"/>
        <v>470.58526509810662</v>
      </c>
      <c r="F27" s="26">
        <f t="shared" si="7"/>
        <v>500.70525166350535</v>
      </c>
      <c r="G27" s="26">
        <f t="shared" si="7"/>
        <v>513.34370674926458</v>
      </c>
      <c r="H27" s="26">
        <f t="shared" si="7"/>
        <v>531.22691333546425</v>
      </c>
      <c r="I27" s="26">
        <f t="shared" si="7"/>
        <v>548.87861643077679</v>
      </c>
      <c r="J27" s="26">
        <f t="shared" si="7"/>
        <v>491.88709093829647</v>
      </c>
      <c r="K27" s="26">
        <f t="shared" si="7"/>
        <v>470.23430819205419</v>
      </c>
      <c r="L27" s="16"/>
    </row>
    <row r="28" spans="1:32" x14ac:dyDescent="0.25">
      <c r="A28" s="16" t="s">
        <v>189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1"/>
    </row>
    <row r="29" spans="1:32" x14ac:dyDescent="0.25">
      <c r="A29" s="16" t="s">
        <v>190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1"/>
    </row>
    <row r="30" spans="1:32" x14ac:dyDescent="0.25">
      <c r="A30" s="16" t="s">
        <v>191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1"/>
    </row>
    <row r="31" spans="1:32" x14ac:dyDescent="0.25">
      <c r="A31" s="16" t="s">
        <v>192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1"/>
    </row>
    <row r="32" spans="1:32" x14ac:dyDescent="0.25">
      <c r="A32" s="16" t="s">
        <v>193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1"/>
    </row>
    <row r="33" spans="1:12" x14ac:dyDescent="0.25">
      <c r="A33" s="16" t="s">
        <v>194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2" t="s">
        <v>195</v>
      </c>
    </row>
    <row r="34" spans="1:12" x14ac:dyDescent="0.25">
      <c r="A34" s="30" t="s">
        <v>196</v>
      </c>
      <c r="B34" s="26">
        <f t="shared" ref="B34:K34" si="8">SUM(B28,B29:B31,B32:B33)*$L50/SUM($L50:$L51)</f>
        <v>100.31551255658766</v>
      </c>
      <c r="C34" s="26">
        <f t="shared" si="8"/>
        <v>106.71441563091054</v>
      </c>
      <c r="D34" s="26">
        <f t="shared" si="8"/>
        <v>118.18425729060006</v>
      </c>
      <c r="E34" s="26">
        <f t="shared" si="8"/>
        <v>129.02351408745145</v>
      </c>
      <c r="F34" s="26">
        <f t="shared" si="8"/>
        <v>122.8500213092633</v>
      </c>
      <c r="G34" s="26">
        <f t="shared" si="8"/>
        <v>129.05224112284628</v>
      </c>
      <c r="H34" s="26">
        <f t="shared" si="8"/>
        <v>138.98527450865413</v>
      </c>
      <c r="I34" s="26">
        <f t="shared" si="8"/>
        <v>150.59258296348446</v>
      </c>
      <c r="J34" s="26">
        <f t="shared" si="8"/>
        <v>133.66372338137697</v>
      </c>
      <c r="K34" s="26">
        <f t="shared" si="8"/>
        <v>148.31297643539446</v>
      </c>
      <c r="L34" s="32">
        <f>AVERAGE(G34:K34)/AVERAGE(G40:K40)</f>
        <v>0.49216470878319069</v>
      </c>
    </row>
    <row r="35" spans="1:12" x14ac:dyDescent="0.25">
      <c r="A35" s="30" t="s">
        <v>197</v>
      </c>
      <c r="B35" s="26">
        <f t="shared" ref="B35:K35" si="9">SUM(B32:B33)-B34</f>
        <v>141.25348744341235</v>
      </c>
      <c r="C35" s="26">
        <f t="shared" si="9"/>
        <v>125.59358436908946</v>
      </c>
      <c r="D35" s="26">
        <f t="shared" si="9"/>
        <v>156.39874270939993</v>
      </c>
      <c r="E35" s="26">
        <f t="shared" si="9"/>
        <v>178.66848591254856</v>
      </c>
      <c r="F35" s="26">
        <f t="shared" si="9"/>
        <v>129.86197869073669</v>
      </c>
      <c r="G35" s="26">
        <f t="shared" si="9"/>
        <v>124.82075887715374</v>
      </c>
      <c r="H35" s="26">
        <f t="shared" si="9"/>
        <v>175.36272549134588</v>
      </c>
      <c r="I35" s="26">
        <f t="shared" si="9"/>
        <v>192.22441703651555</v>
      </c>
      <c r="J35" s="26">
        <f t="shared" si="9"/>
        <v>108.91227661862305</v>
      </c>
      <c r="K35" s="26">
        <f t="shared" si="9"/>
        <v>121.59402356460558</v>
      </c>
      <c r="L35" s="32">
        <f>AVERAGE(G35:K35)/AVERAGE(G40:K40)</f>
        <v>0.50783529121680937</v>
      </c>
    </row>
    <row r="36" spans="1:12" x14ac:dyDescent="0.25">
      <c r="A36" s="30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2" t="s">
        <v>198</v>
      </c>
    </row>
    <row r="37" spans="1:12" s="26" customFormat="1" x14ac:dyDescent="0.25">
      <c r="A37" s="16" t="s">
        <v>199</v>
      </c>
      <c r="B37">
        <f t="shared" ref="B37:K37" si="10">SUM(B27:B28)</f>
        <v>575.96806906163852</v>
      </c>
      <c r="C37">
        <f t="shared" si="10"/>
        <v>658.24342418293122</v>
      </c>
      <c r="D37">
        <f t="shared" si="10"/>
        <v>706.72550675543016</v>
      </c>
      <c r="E37">
        <f t="shared" si="10"/>
        <v>753.21926509810669</v>
      </c>
      <c r="F37">
        <f t="shared" si="10"/>
        <v>796.77225166350536</v>
      </c>
      <c r="G37">
        <f t="shared" si="10"/>
        <v>830.55670674926455</v>
      </c>
      <c r="H37">
        <f t="shared" si="10"/>
        <v>831.98691333546424</v>
      </c>
      <c r="I37">
        <f t="shared" si="10"/>
        <v>876.26361643077678</v>
      </c>
      <c r="J37">
        <f t="shared" si="10"/>
        <v>840.65509093829644</v>
      </c>
      <c r="K37">
        <f t="shared" si="10"/>
        <v>850.18459846750511</v>
      </c>
      <c r="L37" s="33">
        <f>AVERAGE(G37:K37)/AVERAGE(G39:K39)</f>
        <v>0.82814725398681888</v>
      </c>
    </row>
    <row r="38" spans="1:12" s="26" customFormat="1" x14ac:dyDescent="0.25">
      <c r="A38" s="16" t="s">
        <v>200</v>
      </c>
      <c r="B38">
        <f t="shared" ref="B38:K38" si="11">SUM(B29:B31)</f>
        <v>104.30700000000002</v>
      </c>
      <c r="C38">
        <f t="shared" si="11"/>
        <v>119.429</v>
      </c>
      <c r="D38">
        <f t="shared" si="11"/>
        <v>132.16399999999999</v>
      </c>
      <c r="E38">
        <f t="shared" si="11"/>
        <v>141.76599999999999</v>
      </c>
      <c r="F38">
        <f t="shared" si="11"/>
        <v>148.28399999999999</v>
      </c>
      <c r="G38">
        <f t="shared" si="11"/>
        <v>161.16900000000001</v>
      </c>
      <c r="H38">
        <f t="shared" si="11"/>
        <v>173.50799999999998</v>
      </c>
      <c r="I38">
        <f t="shared" si="11"/>
        <v>184.27500000000001</v>
      </c>
      <c r="J38">
        <f t="shared" si="11"/>
        <v>167.077</v>
      </c>
      <c r="K38">
        <f t="shared" si="11"/>
        <v>191.685</v>
      </c>
      <c r="L38" s="33">
        <f>AVERAGE(G38:K38)/AVERAGE(G39:K39)</f>
        <v>0.17185274601318112</v>
      </c>
    </row>
    <row r="39" spans="1:12" s="26" customFormat="1" x14ac:dyDescent="0.25">
      <c r="A39" s="16" t="s">
        <v>201</v>
      </c>
      <c r="B39">
        <f t="shared" ref="B39:K39" si="12">SUM(B27:B31)</f>
        <v>680.27506906163853</v>
      </c>
      <c r="C39">
        <f t="shared" si="12"/>
        <v>777.67242418293119</v>
      </c>
      <c r="D39">
        <f t="shared" si="12"/>
        <v>838.88950675543026</v>
      </c>
      <c r="E39">
        <f t="shared" si="12"/>
        <v>894.98526509810665</v>
      </c>
      <c r="F39">
        <f t="shared" si="12"/>
        <v>945.05625166350535</v>
      </c>
      <c r="G39">
        <f t="shared" si="12"/>
        <v>991.72570674926453</v>
      </c>
      <c r="H39">
        <f t="shared" si="12"/>
        <v>1005.4949133354643</v>
      </c>
      <c r="I39">
        <f t="shared" si="12"/>
        <v>1060.5386164307768</v>
      </c>
      <c r="J39">
        <f t="shared" si="12"/>
        <v>1007.7320909382964</v>
      </c>
      <c r="K39">
        <f t="shared" si="12"/>
        <v>1041.8695984675051</v>
      </c>
      <c r="L39" s="16"/>
    </row>
    <row r="40" spans="1:12" x14ac:dyDescent="0.25">
      <c r="A40" s="16" t="s">
        <v>202</v>
      </c>
      <c r="B40">
        <f t="shared" ref="B40:K40" si="13">SUM(B32:B33)</f>
        <v>241.56900000000002</v>
      </c>
      <c r="C40">
        <f t="shared" si="13"/>
        <v>232.30799999999999</v>
      </c>
      <c r="D40">
        <f t="shared" si="13"/>
        <v>274.58299999999997</v>
      </c>
      <c r="E40">
        <f t="shared" si="13"/>
        <v>307.69200000000001</v>
      </c>
      <c r="F40">
        <f t="shared" si="13"/>
        <v>252.71199999999999</v>
      </c>
      <c r="G40">
        <f t="shared" si="13"/>
        <v>253.87300000000002</v>
      </c>
      <c r="H40">
        <f t="shared" si="13"/>
        <v>314.34800000000001</v>
      </c>
      <c r="I40">
        <f t="shared" si="13"/>
        <v>342.81700000000001</v>
      </c>
      <c r="J40">
        <f t="shared" si="13"/>
        <v>242.57600000000002</v>
      </c>
      <c r="K40">
        <f t="shared" si="13"/>
        <v>269.90700000000004</v>
      </c>
      <c r="L40" s="33"/>
    </row>
    <row r="41" spans="1:12" x14ac:dyDescent="0.25">
      <c r="A41" s="18" t="s">
        <v>203</v>
      </c>
      <c r="B41" s="19">
        <f t="shared" ref="B41:K41" si="14">SUM(B28:B33,B25:B26)</f>
        <v>7544.0359999999991</v>
      </c>
      <c r="C41" s="19">
        <f t="shared" si="14"/>
        <v>8298.101999999999</v>
      </c>
      <c r="D41" s="19">
        <f t="shared" si="14"/>
        <v>9154.3539999999994</v>
      </c>
      <c r="E41" s="19">
        <f t="shared" si="14"/>
        <v>10310.482</v>
      </c>
      <c r="F41" s="19">
        <f t="shared" si="14"/>
        <v>10993.044</v>
      </c>
      <c r="G41" s="19">
        <f t="shared" si="14"/>
        <v>11470.291999999999</v>
      </c>
      <c r="H41" s="19">
        <f t="shared" si="14"/>
        <v>12397.822</v>
      </c>
      <c r="I41" s="19">
        <f t="shared" si="14"/>
        <v>12764.999000000002</v>
      </c>
      <c r="J41" s="19">
        <f t="shared" si="14"/>
        <v>11479.663</v>
      </c>
      <c r="K41" s="19">
        <f t="shared" si="14"/>
        <v>12061.599159975178</v>
      </c>
      <c r="L41" s="16"/>
    </row>
    <row r="42" spans="1:12" x14ac:dyDescent="0.25">
      <c r="A42" s="27" t="s">
        <v>204</v>
      </c>
    </row>
    <row r="43" spans="1:12" x14ac:dyDescent="0.25">
      <c r="A43" s="27" t="s">
        <v>205</v>
      </c>
    </row>
    <row r="45" spans="1:12" x14ac:dyDescent="0.25">
      <c r="A45" s="28" t="s">
        <v>206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207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208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209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210</v>
      </c>
      <c r="M49" s="15"/>
    </row>
    <row r="50" spans="1:32" x14ac:dyDescent="0.25">
      <c r="A50" s="16" t="s">
        <v>211</v>
      </c>
      <c r="C50">
        <f t="shared" ref="C50:K50" si="15">C48-B48</f>
        <v>17000</v>
      </c>
      <c r="D50">
        <f t="shared" si="15"/>
        <v>2349</v>
      </c>
      <c r="E50">
        <f t="shared" si="15"/>
        <v>105848</v>
      </c>
      <c r="F50">
        <f t="shared" si="15"/>
        <v>169685</v>
      </c>
      <c r="G50">
        <f t="shared" si="15"/>
        <v>5161</v>
      </c>
      <c r="H50">
        <f t="shared" si="15"/>
        <v>140175</v>
      </c>
      <c r="I50">
        <f t="shared" si="15"/>
        <v>13793</v>
      </c>
      <c r="J50">
        <f t="shared" si="15"/>
        <v>19199</v>
      </c>
      <c r="K50" s="17">
        <f t="shared" si="15"/>
        <v>54067</v>
      </c>
      <c r="L50" s="16">
        <f>AVERAGE(E50:K50)</f>
        <v>72561.142857142855</v>
      </c>
      <c r="M50" s="17"/>
    </row>
    <row r="51" spans="1:32" x14ac:dyDescent="0.25">
      <c r="A51" s="18" t="s">
        <v>212</v>
      </c>
      <c r="B51" s="19"/>
      <c r="C51" s="19">
        <f t="shared" ref="C51:K51" si="16">C49-B49</f>
        <v>371000</v>
      </c>
      <c r="D51" s="19">
        <f t="shared" si="16"/>
        <v>-64000</v>
      </c>
      <c r="E51" s="19">
        <f t="shared" si="16"/>
        <v>203000</v>
      </c>
      <c r="F51" s="19">
        <f t="shared" si="16"/>
        <v>127302</v>
      </c>
      <c r="G51" s="19">
        <f t="shared" si="16"/>
        <v>290216</v>
      </c>
      <c r="H51" s="19">
        <f t="shared" si="16"/>
        <v>590480</v>
      </c>
      <c r="I51" s="19">
        <f t="shared" si="16"/>
        <v>990901</v>
      </c>
      <c r="J51" s="19">
        <f t="shared" si="16"/>
        <v>-167466</v>
      </c>
      <c r="K51" s="20">
        <f t="shared" si="16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213</v>
      </c>
      <c r="B53" s="34"/>
      <c r="C53" s="34"/>
      <c r="D53" s="39"/>
    </row>
    <row r="54" spans="1:32" x14ac:dyDescent="0.25">
      <c r="A54" s="29" t="s">
        <v>214</v>
      </c>
      <c r="D54" s="17"/>
    </row>
    <row r="55" spans="1:32" x14ac:dyDescent="0.25">
      <c r="A55" s="48" t="s">
        <v>215</v>
      </c>
      <c r="B55" s="49"/>
      <c r="C55" s="50"/>
      <c r="D55" s="17"/>
    </row>
    <row r="56" spans="1:32" x14ac:dyDescent="0.25">
      <c r="A56" s="40"/>
      <c r="B56" s="8"/>
      <c r="C56" s="8"/>
      <c r="D56" s="17"/>
    </row>
    <row r="57" spans="1:32" x14ac:dyDescent="0.25">
      <c r="A57" s="40" t="s">
        <v>216</v>
      </c>
      <c r="B57" s="9" t="s">
        <v>216</v>
      </c>
      <c r="C57" s="9"/>
      <c r="D57" s="17"/>
    </row>
    <row r="58" spans="1:32" x14ac:dyDescent="0.25">
      <c r="A58" s="40" t="s">
        <v>217</v>
      </c>
      <c r="B58" s="9" t="s">
        <v>218</v>
      </c>
      <c r="C58" s="9" t="s">
        <v>219</v>
      </c>
      <c r="D58" s="17"/>
    </row>
    <row r="59" spans="1:32" x14ac:dyDescent="0.25">
      <c r="A59" s="40"/>
      <c r="B59" s="9" t="s">
        <v>220</v>
      </c>
      <c r="C59" s="9" t="s">
        <v>216</v>
      </c>
      <c r="D59" s="17"/>
    </row>
    <row r="60" spans="1:32" x14ac:dyDescent="0.25">
      <c r="A60" s="41"/>
      <c r="B60" s="10"/>
      <c r="C60" s="10"/>
      <c r="D60" s="17"/>
    </row>
    <row r="61" spans="1:32" x14ac:dyDescent="0.25">
      <c r="A61" s="42">
        <v>441729.57892933342</v>
      </c>
      <c r="B61" s="11">
        <v>420505.54779706447</v>
      </c>
      <c r="C61" s="11">
        <v>967456.95259556803</v>
      </c>
      <c r="D61" s="20"/>
    </row>
    <row r="63" spans="1:32" x14ac:dyDescent="0.25">
      <c r="A63" s="1" t="s">
        <v>221</v>
      </c>
    </row>
    <row r="64" spans="1:32" x14ac:dyDescent="0.25">
      <c r="A64" t="s">
        <v>178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222</v>
      </c>
      <c r="B65" s="12">
        <f t="shared" ref="B65:AF65" si="17">B16</f>
        <v>9.5000000000000001E-2</v>
      </c>
      <c r="C65" s="12">
        <f t="shared" si="17"/>
        <v>0.12</v>
      </c>
      <c r="D65" s="12">
        <f t="shared" si="17"/>
        <v>0.14499999999999999</v>
      </c>
      <c r="E65" s="12">
        <f t="shared" si="17"/>
        <v>0.16999999999999998</v>
      </c>
      <c r="F65" s="12">
        <f t="shared" si="17"/>
        <v>0.19500000000000001</v>
      </c>
      <c r="G65" s="12">
        <f t="shared" si="17"/>
        <v>0.21999999999999997</v>
      </c>
      <c r="H65" s="12">
        <f t="shared" si="17"/>
        <v>0.22</v>
      </c>
      <c r="I65" s="12">
        <f t="shared" si="17"/>
        <v>0.22</v>
      </c>
      <c r="J65" s="12">
        <f t="shared" si="17"/>
        <v>0.22</v>
      </c>
      <c r="K65" s="12">
        <f t="shared" si="17"/>
        <v>0.22</v>
      </c>
      <c r="L65" s="12">
        <f t="shared" si="17"/>
        <v>0.22</v>
      </c>
      <c r="M65" s="12">
        <f t="shared" si="17"/>
        <v>0.22</v>
      </c>
      <c r="N65" s="12">
        <f t="shared" si="17"/>
        <v>0.22</v>
      </c>
      <c r="O65" s="12">
        <f t="shared" si="17"/>
        <v>0.22</v>
      </c>
      <c r="P65" s="12">
        <f t="shared" si="17"/>
        <v>0.22</v>
      </c>
      <c r="Q65" s="12">
        <f t="shared" si="17"/>
        <v>0.22</v>
      </c>
      <c r="R65" s="12">
        <f t="shared" si="17"/>
        <v>0.22</v>
      </c>
      <c r="S65" s="12">
        <f t="shared" si="17"/>
        <v>0.22</v>
      </c>
      <c r="T65" s="12">
        <f t="shared" si="17"/>
        <v>0.22</v>
      </c>
      <c r="U65" s="12">
        <f t="shared" si="17"/>
        <v>0.22</v>
      </c>
      <c r="V65" s="12">
        <f t="shared" si="17"/>
        <v>0.22</v>
      </c>
      <c r="W65" s="12">
        <f t="shared" si="17"/>
        <v>0.22</v>
      </c>
      <c r="X65" s="12">
        <f t="shared" si="17"/>
        <v>0.22</v>
      </c>
      <c r="Y65" s="12">
        <f t="shared" si="17"/>
        <v>0.22</v>
      </c>
      <c r="Z65" s="12">
        <f t="shared" si="17"/>
        <v>0.22</v>
      </c>
      <c r="AA65" s="12">
        <f t="shared" si="17"/>
        <v>0.22</v>
      </c>
      <c r="AB65" s="12">
        <f t="shared" si="17"/>
        <v>0.22</v>
      </c>
      <c r="AC65" s="12">
        <f t="shared" si="17"/>
        <v>0.22</v>
      </c>
      <c r="AD65" s="12">
        <f t="shared" si="17"/>
        <v>0.22</v>
      </c>
      <c r="AE65" s="12">
        <f t="shared" si="17"/>
        <v>0.22</v>
      </c>
      <c r="AF65" s="12">
        <f t="shared" si="17"/>
        <v>0.22</v>
      </c>
    </row>
    <row r="66" spans="1:32" x14ac:dyDescent="0.25">
      <c r="A66" t="s">
        <v>223</v>
      </c>
      <c r="B66" s="12">
        <f t="shared" ref="B66:AF66" si="18">B17</f>
        <v>9.5000000000000001E-2</v>
      </c>
      <c r="C66" s="12">
        <f t="shared" si="18"/>
        <v>0.12</v>
      </c>
      <c r="D66" s="12">
        <f t="shared" si="18"/>
        <v>0.14499999999999999</v>
      </c>
      <c r="E66" s="12">
        <f t="shared" si="18"/>
        <v>0.16999999999999998</v>
      </c>
      <c r="F66" s="12">
        <f t="shared" si="18"/>
        <v>0.19500000000000001</v>
      </c>
      <c r="G66" s="12">
        <f t="shared" si="18"/>
        <v>0.21999999999999997</v>
      </c>
      <c r="H66" s="12">
        <f t="shared" si="18"/>
        <v>0.35</v>
      </c>
      <c r="I66" s="12">
        <f t="shared" si="18"/>
        <v>0.43</v>
      </c>
      <c r="J66" s="12">
        <f t="shared" si="18"/>
        <v>0.51</v>
      </c>
      <c r="K66" s="12">
        <f t="shared" si="18"/>
        <v>0.59</v>
      </c>
      <c r="L66" s="12">
        <f t="shared" si="18"/>
        <v>0.68</v>
      </c>
      <c r="M66" s="12">
        <f t="shared" si="18"/>
        <v>0.76</v>
      </c>
      <c r="N66" s="12">
        <f t="shared" si="18"/>
        <v>0.82</v>
      </c>
      <c r="O66" s="12">
        <f t="shared" si="18"/>
        <v>0.88</v>
      </c>
      <c r="P66" s="12">
        <f t="shared" si="18"/>
        <v>0.94</v>
      </c>
      <c r="Q66" s="12">
        <f t="shared" si="18"/>
        <v>1</v>
      </c>
      <c r="R66" s="12">
        <f t="shared" si="18"/>
        <v>1</v>
      </c>
      <c r="S66" s="12">
        <f t="shared" si="18"/>
        <v>1</v>
      </c>
      <c r="T66" s="12">
        <f t="shared" si="18"/>
        <v>1</v>
      </c>
      <c r="U66" s="12">
        <f t="shared" si="18"/>
        <v>1</v>
      </c>
      <c r="V66" s="12">
        <f t="shared" si="18"/>
        <v>1</v>
      </c>
      <c r="W66" s="12">
        <f t="shared" si="18"/>
        <v>1</v>
      </c>
      <c r="X66" s="12">
        <f t="shared" si="18"/>
        <v>1</v>
      </c>
      <c r="Y66" s="12">
        <f t="shared" si="18"/>
        <v>1</v>
      </c>
      <c r="Z66" s="12">
        <f t="shared" si="18"/>
        <v>1</v>
      </c>
      <c r="AA66" s="12">
        <f t="shared" si="18"/>
        <v>1</v>
      </c>
      <c r="AB66" s="12">
        <f t="shared" si="18"/>
        <v>1</v>
      </c>
      <c r="AC66" s="12">
        <f t="shared" si="18"/>
        <v>1</v>
      </c>
      <c r="AD66" s="12">
        <f t="shared" si="18"/>
        <v>1</v>
      </c>
      <c r="AE66" s="12">
        <f t="shared" si="18"/>
        <v>1</v>
      </c>
      <c r="AF66" s="12">
        <f t="shared" si="18"/>
        <v>1</v>
      </c>
    </row>
    <row r="67" spans="1:32" x14ac:dyDescent="0.25">
      <c r="A67" t="s">
        <v>165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AF67" si="19">($A$61*0+$B$61*F19)/($C$61)</f>
        <v>3.9118535662182152E-2</v>
      </c>
      <c r="G67" s="12">
        <f t="shared" si="19"/>
        <v>4.7811543587111531E-2</v>
      </c>
      <c r="H67" s="12">
        <f t="shared" si="19"/>
        <v>5.6504551512040896E-2</v>
      </c>
      <c r="I67" s="12">
        <f t="shared" si="19"/>
        <v>8.693007924929369E-2</v>
      </c>
      <c r="J67" s="12">
        <f t="shared" si="19"/>
        <v>0.13039511887394054</v>
      </c>
      <c r="K67" s="12">
        <f t="shared" si="19"/>
        <v>0.17386015849858738</v>
      </c>
      <c r="L67" s="12">
        <f t="shared" si="19"/>
        <v>0.21732519812323423</v>
      </c>
      <c r="M67" s="12">
        <f t="shared" si="19"/>
        <v>0.23905771793555763</v>
      </c>
      <c r="N67" s="12">
        <f t="shared" si="19"/>
        <v>0.26079023774788107</v>
      </c>
      <c r="O67" s="12">
        <f t="shared" si="19"/>
        <v>0.28252275756020451</v>
      </c>
      <c r="P67" s="12">
        <f t="shared" si="19"/>
        <v>0.30425527737252789</v>
      </c>
      <c r="Q67" s="12">
        <f t="shared" si="19"/>
        <v>0.32598779718485132</v>
      </c>
      <c r="R67" s="12">
        <f t="shared" si="19"/>
        <v>0.32598779718485132</v>
      </c>
      <c r="S67" s="12">
        <f t="shared" si="19"/>
        <v>0.32598779718485132</v>
      </c>
      <c r="T67" s="12">
        <f t="shared" si="19"/>
        <v>0.32598779718485132</v>
      </c>
      <c r="U67" s="12">
        <f t="shared" si="19"/>
        <v>0.32598779718485132</v>
      </c>
      <c r="V67" s="12">
        <f t="shared" si="19"/>
        <v>0.32598779718485132</v>
      </c>
      <c r="W67" s="12">
        <f t="shared" si="19"/>
        <v>0.32598779718485132</v>
      </c>
      <c r="X67" s="12">
        <f t="shared" si="19"/>
        <v>0.32598779718485132</v>
      </c>
      <c r="Y67" s="12">
        <f t="shared" si="19"/>
        <v>0.32598779718485132</v>
      </c>
      <c r="Z67" s="12">
        <f t="shared" si="19"/>
        <v>0.32598779718485132</v>
      </c>
      <c r="AA67" s="12">
        <f t="shared" si="19"/>
        <v>0.32598779718485132</v>
      </c>
      <c r="AB67" s="12">
        <f t="shared" si="19"/>
        <v>0.32598779718485132</v>
      </c>
      <c r="AC67" s="12">
        <f t="shared" si="19"/>
        <v>0.32598779718485132</v>
      </c>
      <c r="AD67" s="12">
        <f t="shared" si="19"/>
        <v>0.32598779718485132</v>
      </c>
      <c r="AE67" s="12">
        <f t="shared" si="19"/>
        <v>0.32598779718485132</v>
      </c>
      <c r="AF67" s="12">
        <f t="shared" si="19"/>
        <v>0.32598779718485132</v>
      </c>
    </row>
    <row r="68" spans="1:32" x14ac:dyDescent="0.25">
      <c r="A68" t="s">
        <v>168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170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AF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si="20"/>
        <v>0.58437054920263631</v>
      </c>
      <c r="S69" s="12">
        <f t="shared" si="20"/>
        <v>0.58437054920263631</v>
      </c>
      <c r="T69" s="12">
        <f t="shared" si="20"/>
        <v>0.58437054920263631</v>
      </c>
      <c r="U69" s="12">
        <f t="shared" si="20"/>
        <v>0.58437054920263631</v>
      </c>
      <c r="V69" s="12">
        <f t="shared" si="20"/>
        <v>0.58437054920263631</v>
      </c>
      <c r="W69" s="12">
        <f t="shared" si="20"/>
        <v>0.58437054920263631</v>
      </c>
      <c r="X69" s="12">
        <f t="shared" si="20"/>
        <v>0.58437054920263631</v>
      </c>
      <c r="Y69" s="12">
        <f t="shared" si="20"/>
        <v>0.58437054920263631</v>
      </c>
      <c r="Z69" s="12">
        <f t="shared" si="20"/>
        <v>0.58437054920263631</v>
      </c>
      <c r="AA69" s="12">
        <f t="shared" si="20"/>
        <v>0.58437054920263631</v>
      </c>
      <c r="AB69" s="12">
        <f t="shared" si="20"/>
        <v>0.58437054920263631</v>
      </c>
      <c r="AC69" s="12">
        <f t="shared" si="20"/>
        <v>0.58437054920263631</v>
      </c>
      <c r="AD69" s="12">
        <f t="shared" si="20"/>
        <v>0.58437054920263631</v>
      </c>
      <c r="AE69" s="12">
        <f t="shared" si="20"/>
        <v>0.58437054920263631</v>
      </c>
      <c r="AF69" s="12">
        <f t="shared" si="20"/>
        <v>0.58437054920263631</v>
      </c>
    </row>
    <row r="70" spans="1:32" x14ac:dyDescent="0.25">
      <c r="A70" t="s">
        <v>173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AF70" si="21">F19*$L35+F20*$L34</f>
        <v>7.0313411648672386E-2</v>
      </c>
      <c r="G70" s="12">
        <f t="shared" si="21"/>
        <v>9.0313411648672376E-2</v>
      </c>
      <c r="H70" s="12">
        <f t="shared" si="21"/>
        <v>0.11523505873650429</v>
      </c>
      <c r="I70" s="12">
        <f t="shared" si="21"/>
        <v>0.17539176456084049</v>
      </c>
      <c r="J70" s="12">
        <f t="shared" si="21"/>
        <v>0.25078352912168095</v>
      </c>
      <c r="K70" s="12">
        <f t="shared" si="21"/>
        <v>0.32617529368252141</v>
      </c>
      <c r="L70" s="12">
        <f t="shared" si="21"/>
        <v>0.40156705824336192</v>
      </c>
      <c r="M70" s="12">
        <f t="shared" si="21"/>
        <v>0.45156705824336185</v>
      </c>
      <c r="N70" s="12">
        <f t="shared" si="21"/>
        <v>0.5015670582433619</v>
      </c>
      <c r="O70" s="12">
        <f t="shared" si="21"/>
        <v>0.52695882280420236</v>
      </c>
      <c r="P70" s="12">
        <f t="shared" si="21"/>
        <v>0.55235058736504283</v>
      </c>
      <c r="Q70" s="12">
        <f t="shared" si="21"/>
        <v>0.5777423519258833</v>
      </c>
      <c r="R70" s="12">
        <f t="shared" si="21"/>
        <v>0.5777423519258833</v>
      </c>
      <c r="S70" s="12">
        <f t="shared" si="21"/>
        <v>0.5777423519258833</v>
      </c>
      <c r="T70" s="12">
        <f t="shared" si="21"/>
        <v>0.5777423519258833</v>
      </c>
      <c r="U70" s="12">
        <f t="shared" si="21"/>
        <v>0.5777423519258833</v>
      </c>
      <c r="V70" s="12">
        <f t="shared" si="21"/>
        <v>0.5777423519258833</v>
      </c>
      <c r="W70" s="12">
        <f t="shared" si="21"/>
        <v>0.5777423519258833</v>
      </c>
      <c r="X70" s="12">
        <f t="shared" si="21"/>
        <v>0.5777423519258833</v>
      </c>
      <c r="Y70" s="12">
        <f t="shared" si="21"/>
        <v>0.5777423519258833</v>
      </c>
      <c r="Z70" s="12">
        <f t="shared" si="21"/>
        <v>0.5777423519258833</v>
      </c>
      <c r="AA70" s="12">
        <f t="shared" si="21"/>
        <v>0.5777423519258833</v>
      </c>
      <c r="AB70" s="12">
        <f t="shared" si="21"/>
        <v>0.5777423519258833</v>
      </c>
      <c r="AC70" s="12">
        <f t="shared" si="21"/>
        <v>0.5777423519258833</v>
      </c>
      <c r="AD70" s="12">
        <f t="shared" si="21"/>
        <v>0.5777423519258833</v>
      </c>
      <c r="AE70" s="12">
        <f t="shared" si="21"/>
        <v>0.5777423519258833</v>
      </c>
      <c r="AF70" s="12">
        <f t="shared" si="21"/>
        <v>0.5777423519258833</v>
      </c>
    </row>
    <row r="71" spans="1:32" x14ac:dyDescent="0.25">
      <c r="A71" t="s">
        <v>176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ageMargins left="0.7" right="0.7" top="0.75" bottom="0.75" header="0.3" footer="0.3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222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224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165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3.9118535662182152E-2</v>
      </c>
      <c r="H4" s="12">
        <f>'EPS Vehicle Class Mapping'!G67</f>
        <v>4.7811543587111531E-2</v>
      </c>
      <c r="I4" s="12">
        <f>'EPS Vehicle Class Mapping'!H67</f>
        <v>5.6504551512040896E-2</v>
      </c>
      <c r="J4" s="12">
        <f>'EPS Vehicle Class Mapping'!I67</f>
        <v>8.693007924929369E-2</v>
      </c>
      <c r="K4" s="12">
        <f>'EPS Vehicle Class Mapping'!J67</f>
        <v>0.13039511887394054</v>
      </c>
      <c r="L4" s="12">
        <f>'EPS Vehicle Class Mapping'!K67</f>
        <v>0.17386015849858738</v>
      </c>
      <c r="M4" s="12">
        <f>'EPS Vehicle Class Mapping'!L67</f>
        <v>0.21732519812323423</v>
      </c>
      <c r="N4" s="12">
        <f>'EPS Vehicle Class Mapping'!M67</f>
        <v>0.23905771793555763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0.32598779718485132</v>
      </c>
      <c r="S4" s="12">
        <f>'EPS Vehicle Class Mapping'!R67</f>
        <v>0.32598779718485132</v>
      </c>
      <c r="T4" s="12">
        <f>'EPS Vehicle Class Mapping'!S67</f>
        <v>0.32598779718485132</v>
      </c>
      <c r="U4" s="12">
        <f>'EPS Vehicle Class Mapping'!T67</f>
        <v>0.32598779718485132</v>
      </c>
      <c r="V4" s="12">
        <f>'EPS Vehicle Class Mapping'!U67</f>
        <v>0.32598779718485132</v>
      </c>
      <c r="W4" s="12">
        <f>'EPS Vehicle Class Mapping'!V67</f>
        <v>0.32598779718485132</v>
      </c>
      <c r="X4" s="12">
        <f>'EPS Vehicle Class Mapping'!W67</f>
        <v>0.32598779718485132</v>
      </c>
      <c r="Y4" s="12">
        <f>'EPS Vehicle Class Mapping'!X67</f>
        <v>0.32598779718485132</v>
      </c>
      <c r="Z4" s="12">
        <f>'EPS Vehicle Class Mapping'!Y67</f>
        <v>0.32598779718485132</v>
      </c>
      <c r="AA4" s="12">
        <f>'EPS Vehicle Class Mapping'!Z67</f>
        <v>0.32598779718485132</v>
      </c>
      <c r="AB4" s="12">
        <f>'EPS Vehicle Class Mapping'!AA67</f>
        <v>0.32598779718485132</v>
      </c>
      <c r="AC4" s="12">
        <f>'EPS Vehicle Class Mapping'!AB67</f>
        <v>0.32598779718485132</v>
      </c>
      <c r="AD4" s="12">
        <f>'EPS Vehicle Class Mapping'!AC67</f>
        <v>0.32598779718485132</v>
      </c>
      <c r="AE4" s="12">
        <f>'EPS Vehicle Class Mapping'!AD67</f>
        <v>0.32598779718485132</v>
      </c>
      <c r="AF4" s="12">
        <f>'EPS Vehicle Class Mapping'!AE67</f>
        <v>0.32598779718485132</v>
      </c>
      <c r="AG4" s="12">
        <f>'EPS Vehicle Class Mapping'!AF67</f>
        <v>0.32598779718485132</v>
      </c>
    </row>
    <row r="5" spans="1:33" x14ac:dyDescent="0.25">
      <c r="B5" s="1" t="s">
        <v>168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170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173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176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4" t="s">
        <v>225</v>
      </c>
      <c r="C11" s="53" t="s">
        <v>226</v>
      </c>
      <c r="D11" s="54"/>
      <c r="E11" s="52"/>
      <c r="F11" s="51" t="s">
        <v>227</v>
      </c>
      <c r="G11" s="52"/>
    </row>
    <row r="12" spans="1:33" x14ac:dyDescent="0.25">
      <c r="A12" t="s">
        <v>228</v>
      </c>
      <c r="C12" s="29" t="s">
        <v>229</v>
      </c>
      <c r="D12" s="1" t="s">
        <v>230</v>
      </c>
      <c r="E12" s="43" t="s">
        <v>231</v>
      </c>
      <c r="F12" s="29" t="s">
        <v>163</v>
      </c>
      <c r="G12" s="43" t="s">
        <v>232</v>
      </c>
      <c r="H12" s="1"/>
      <c r="I12" s="1"/>
    </row>
    <row r="13" spans="1:33" x14ac:dyDescent="0.25">
      <c r="A13" t="str">
        <f t="shared" ref="A13:A44" si="0"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si="0"/>
        <v>Alaska</v>
      </c>
      <c r="B14" t="s">
        <v>6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9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11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14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20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22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233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25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27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29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32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37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39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42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45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48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51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54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58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61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64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67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69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72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75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77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80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83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85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ref="A45:A76" si="1">TRIM(B45)</f>
        <v>New York</v>
      </c>
      <c r="B45" t="s">
        <v>88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1"/>
        <v>North Carolina</v>
      </c>
      <c r="B46" t="s">
        <v>91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1"/>
        <v>North Dakota</v>
      </c>
      <c r="B47" t="s">
        <v>93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1"/>
        <v>Ohio</v>
      </c>
      <c r="B48" t="s">
        <v>96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1"/>
        <v>Oklahoma</v>
      </c>
      <c r="B49" t="s">
        <v>99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1"/>
        <v>Oregon</v>
      </c>
      <c r="B50" t="s">
        <v>101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1"/>
        <v>Pennsylvania</v>
      </c>
      <c r="B51" t="s">
        <v>104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1"/>
        <v>Rhode Island</v>
      </c>
      <c r="B52" t="s">
        <v>107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1"/>
        <v>South Carolina</v>
      </c>
      <c r="B53" t="s">
        <v>109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1"/>
        <v>South Dakota</v>
      </c>
      <c r="B54" t="s">
        <v>112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1"/>
        <v>Tennessee</v>
      </c>
      <c r="B55" t="s">
        <v>115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1"/>
        <v>Texas</v>
      </c>
      <c r="B56" t="s">
        <v>117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1"/>
        <v>Utah</v>
      </c>
      <c r="B57" t="s">
        <v>120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1"/>
        <v>Vermont</v>
      </c>
      <c r="B58" t="s">
        <v>122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1"/>
        <v>Virginia</v>
      </c>
      <c r="B59" t="s">
        <v>124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1"/>
        <v>Washington</v>
      </c>
      <c r="B60" t="s">
        <v>127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1"/>
        <v>West Virginia</v>
      </c>
      <c r="B61" t="s">
        <v>130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1"/>
        <v>Wisconsin</v>
      </c>
      <c r="B62" t="s">
        <v>132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1"/>
        <v>Wyoming</v>
      </c>
      <c r="B63" t="s">
        <v>135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1"/>
        <v>subregion52</v>
      </c>
      <c r="B64" t="s">
        <v>234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1"/>
        <v>subregion53</v>
      </c>
      <c r="B65" t="s">
        <v>235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1"/>
        <v>subregion54</v>
      </c>
      <c r="B66" t="s">
        <v>236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1"/>
        <v>subregion55</v>
      </c>
      <c r="B67" t="s">
        <v>237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1"/>
        <v>subregion56</v>
      </c>
      <c r="B68" t="s">
        <v>238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1"/>
        <v>subregion57</v>
      </c>
      <c r="B69" t="s">
        <v>239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1"/>
        <v>subregion58</v>
      </c>
      <c r="B70" t="s">
        <v>240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1"/>
        <v>subregion59</v>
      </c>
      <c r="B71" t="s">
        <v>241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1"/>
        <v>subregion60</v>
      </c>
      <c r="B72" t="s">
        <v>242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6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9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11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14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20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22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233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25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27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29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32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37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39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42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45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48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51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54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58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61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64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67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69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72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75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77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80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83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85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88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91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93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96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99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101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104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107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109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112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115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117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120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122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124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127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130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132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135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234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235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236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237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238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239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240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241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242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244</v>
      </c>
      <c r="B2" s="47">
        <f>INDEX('BRZSPbS-psgr-ldv_ALL'!$B$2:$AF$61,MATCH(About!$B$1,'BRZSPbS-psgr-ldv_ALL'!$A$2:$A$61,0),MATCH('BRZSPbS-psgr-ldv'!B$1,'BRZSPbS-psgr-ldv_ALL'!$B$1:$AF$1,0))</f>
        <v>0</v>
      </c>
      <c r="C2" s="47">
        <f>INDEX('BRZSPbS-psgr-ldv_ALL'!$B$2:$AF$61,MATCH(About!$B$1,'BRZSPbS-psgr-ldv_ALL'!$A$2:$A$61,0),MATCH('BRZSPbS-psgr-ldv'!C$1,'BRZSPbS-psgr-ldv_ALL'!$B$1:$AF$1,0))</f>
        <v>0</v>
      </c>
      <c r="D2" s="47">
        <f>INDEX('BRZSPbS-psgr-ldv_ALL'!$B$2:$AF$61,MATCH(About!$B$1,'BRZSPbS-psgr-ldv_ALL'!$A$2:$A$61,0),MATCH('BRZSPbS-psgr-ldv'!D$1,'BRZSPbS-psgr-ldv_ALL'!$B$1:$AF$1,0))</f>
        <v>0</v>
      </c>
      <c r="E2" s="47">
        <f>INDEX('BRZSPbS-psgr-ldv_ALL'!$B$2:$AF$61,MATCH(About!$B$1,'BRZSPbS-psgr-ldv_ALL'!$A$2:$A$61,0),MATCH('BRZSPbS-psgr-ldv'!E$1,'BRZSPbS-psgr-ldv_ALL'!$B$1:$AF$1,0))</f>
        <v>0</v>
      </c>
      <c r="F2" s="47">
        <f>INDEX('BRZSPbS-psgr-ldv_ALL'!$B$2:$AF$61,MATCH(About!$B$1,'BRZSPbS-psgr-ldv_ALL'!$A$2:$A$61,0),MATCH('BRZSPbS-psgr-ldv'!F$1,'BRZSPbS-psgr-ldv_ALL'!$B$1:$AF$1,0))</f>
        <v>0</v>
      </c>
      <c r="G2" s="47">
        <f>INDEX('BRZSPbS-psgr-ldv_ALL'!$B$2:$AF$61,MATCH(About!$B$1,'BRZSPbS-psgr-ldv_ALL'!$A$2:$A$61,0),MATCH('BRZSPbS-psgr-ldv'!G$1,'BRZSPbS-psgr-ldv_ALL'!$B$1:$AF$1,0))</f>
        <v>0</v>
      </c>
      <c r="H2" s="47">
        <f>INDEX('BRZSPbS-psgr-ldv_ALL'!$B$2:$AF$61,MATCH(About!$B$1,'BRZSPbS-psgr-ldv_ALL'!$A$2:$A$61,0),MATCH('BRZSPbS-psgr-ldv'!H$1,'BRZSPbS-psgr-ldv_ALL'!$B$1:$AF$1,0))</f>
        <v>0</v>
      </c>
      <c r="I2" s="47">
        <f>INDEX('BRZSPbS-psgr-ldv_ALL'!$B$2:$AF$61,MATCH(About!$B$1,'BRZSPbS-psgr-ldv_ALL'!$A$2:$A$61,0),MATCH('BRZSPbS-psgr-ldv'!I$1,'BRZSPbS-psgr-ldv_ALL'!$B$1:$AF$1,0))</f>
        <v>0</v>
      </c>
      <c r="J2" s="47">
        <f>INDEX('BRZSPbS-psgr-ldv_ALL'!$B$2:$AF$61,MATCH(About!$B$1,'BRZSPbS-psgr-ldv_ALL'!$A$2:$A$61,0),MATCH('BRZSPbS-psgr-ldv'!J$1,'BRZSPbS-psgr-ldv_ALL'!$B$1:$AF$1,0))</f>
        <v>0</v>
      </c>
      <c r="K2" s="47">
        <f>INDEX('BRZSPbS-psgr-ldv_ALL'!$B$2:$AF$61,MATCH(About!$B$1,'BRZSPbS-psgr-ldv_ALL'!$A$2:$A$61,0),MATCH('BRZSPbS-psgr-ldv'!K$1,'BRZSPbS-psgr-ldv_ALL'!$B$1:$AF$1,0))</f>
        <v>0</v>
      </c>
      <c r="L2" s="47">
        <f>INDEX('BRZSPbS-psgr-ldv_ALL'!$B$2:$AF$61,MATCH(About!$B$1,'BRZSPbS-psgr-ldv_ALL'!$A$2:$A$61,0),MATCH('BRZSPbS-psgr-ldv'!L$1,'BRZSPbS-psgr-ldv_ALL'!$B$1:$AF$1,0))</f>
        <v>0</v>
      </c>
      <c r="M2" s="47">
        <f>INDEX('BRZSPbS-psgr-ldv_ALL'!$B$2:$AF$61,MATCH(About!$B$1,'BRZSPbS-psgr-ldv_ALL'!$A$2:$A$61,0),MATCH('BRZSPbS-psgr-ldv'!M$1,'BRZSPbS-psgr-ldv_ALL'!$B$1:$AF$1,0))</f>
        <v>0</v>
      </c>
      <c r="N2" s="47">
        <f>INDEX('BRZSPbS-psgr-ldv_ALL'!$B$2:$AF$61,MATCH(About!$B$1,'BRZSPbS-psgr-ldv_ALL'!$A$2:$A$61,0),MATCH('BRZSPbS-psgr-ldv'!N$1,'BRZSPbS-psgr-ldv_ALL'!$B$1:$AF$1,0))</f>
        <v>0</v>
      </c>
      <c r="O2" s="47">
        <f>INDEX('BRZSPbS-psgr-ldv_ALL'!$B$2:$AF$61,MATCH(About!$B$1,'BRZSPbS-psgr-ldv_ALL'!$A$2:$A$61,0),MATCH('BRZSPbS-psgr-ldv'!O$1,'BRZSPbS-psgr-ldv_ALL'!$B$1:$AF$1,0))</f>
        <v>0</v>
      </c>
      <c r="P2" s="47">
        <f>INDEX('BRZSPbS-psgr-ldv_ALL'!$B$2:$AF$61,MATCH(About!$B$1,'BRZSPbS-psgr-ldv_ALL'!$A$2:$A$61,0),MATCH('BRZSPbS-psgr-ldv'!P$1,'BRZSPbS-psgr-ldv_ALL'!$B$1:$AF$1,0))</f>
        <v>0</v>
      </c>
      <c r="Q2" s="47">
        <f>INDEX('BRZSPbS-psgr-ldv_ALL'!$B$2:$AF$61,MATCH(About!$B$1,'BRZSPbS-psgr-ldv_ALL'!$A$2:$A$61,0),MATCH('BRZSPbS-psgr-ldv'!Q$1,'BRZSPbS-psgr-ldv_ALL'!$B$1:$AF$1,0))</f>
        <v>0</v>
      </c>
      <c r="R2" s="47">
        <f>INDEX('BRZSPbS-psgr-ldv_ALL'!$B$2:$AF$61,MATCH(About!$B$1,'BRZSPbS-psgr-ldv_ALL'!$A$2:$A$61,0),MATCH('BRZSPbS-psgr-ldv'!R$1,'BRZSPbS-psgr-ldv_ALL'!$B$1:$AF$1,0))</f>
        <v>0</v>
      </c>
      <c r="S2" s="47">
        <f>INDEX('BRZSPbS-psgr-ldv_ALL'!$B$2:$AF$61,MATCH(About!$B$1,'BRZSPbS-psgr-ldv_ALL'!$A$2:$A$61,0),MATCH('BRZSPbS-psgr-ldv'!S$1,'BRZSPbS-psgr-ldv_ALL'!$B$1:$AF$1,0))</f>
        <v>0</v>
      </c>
      <c r="T2" s="47">
        <f>INDEX('BRZSPbS-psgr-ldv_ALL'!$B$2:$AF$61,MATCH(About!$B$1,'BRZSPbS-psgr-ldv_ALL'!$A$2:$A$61,0),MATCH('BRZSPbS-psgr-ldv'!T$1,'BRZSPbS-psgr-ldv_ALL'!$B$1:$AF$1,0))</f>
        <v>0</v>
      </c>
      <c r="U2" s="47">
        <f>INDEX('BRZSPbS-psgr-ldv_ALL'!$B$2:$AF$61,MATCH(About!$B$1,'BRZSPbS-psgr-ldv_ALL'!$A$2:$A$61,0),MATCH('BRZSPbS-psgr-ldv'!U$1,'BRZSPbS-psgr-ldv_ALL'!$B$1:$AF$1,0))</f>
        <v>0</v>
      </c>
      <c r="V2" s="47">
        <f>INDEX('BRZSPbS-psgr-ldv_ALL'!$B$2:$AF$61,MATCH(About!$B$1,'BRZSPbS-psgr-ldv_ALL'!$A$2:$A$61,0),MATCH('BRZSPbS-psgr-ldv'!V$1,'BRZSPbS-psgr-ldv_ALL'!$B$1:$AF$1,0))</f>
        <v>0</v>
      </c>
      <c r="W2" s="47">
        <f>INDEX('BRZSPbS-psgr-ldv_ALL'!$B$2:$AF$61,MATCH(About!$B$1,'BRZSPbS-psgr-ldv_ALL'!$A$2:$A$61,0),MATCH('BRZSPbS-psgr-ldv'!W$1,'BRZSPbS-psgr-ldv_ALL'!$B$1:$AF$1,0))</f>
        <v>0</v>
      </c>
      <c r="X2" s="47">
        <f>INDEX('BRZSPbS-psgr-ldv_ALL'!$B$2:$AF$61,MATCH(About!$B$1,'BRZSPbS-psgr-ldv_ALL'!$A$2:$A$61,0),MATCH('BRZSPbS-psgr-ldv'!X$1,'BRZSPbS-psgr-ldv_ALL'!$B$1:$AF$1,0))</f>
        <v>0</v>
      </c>
      <c r="Y2" s="47">
        <f>INDEX('BRZSPbS-psgr-ldv_ALL'!$B$2:$AF$61,MATCH(About!$B$1,'BRZSPbS-psgr-ldv_ALL'!$A$2:$A$61,0),MATCH('BRZSPbS-psgr-ldv'!Y$1,'BRZSPbS-psgr-ldv_ALL'!$B$1:$AF$1,0))</f>
        <v>0</v>
      </c>
      <c r="Z2" s="47">
        <f>INDEX('BRZSPbS-psgr-ldv_ALL'!$B$2:$AF$61,MATCH(About!$B$1,'BRZSPbS-psgr-ldv_ALL'!$A$2:$A$61,0),MATCH('BRZSPbS-psgr-ldv'!Z$1,'BRZSPbS-psgr-ldv_ALL'!$B$1:$AF$1,0))</f>
        <v>0</v>
      </c>
      <c r="AA2" s="47">
        <f>INDEX('BRZSPbS-psgr-ldv_ALL'!$B$2:$AF$61,MATCH(About!$B$1,'BRZSPbS-psgr-ldv_ALL'!$A$2:$A$61,0),MATCH('BRZSPbS-psgr-ldv'!AA$1,'BRZSPbS-psgr-ldv_ALL'!$B$1:$AF$1,0))</f>
        <v>0</v>
      </c>
      <c r="AB2" s="47">
        <f>INDEX('BRZSPbS-psgr-ldv_ALL'!$B$2:$AF$61,MATCH(About!$B$1,'BRZSPbS-psgr-ldv_ALL'!$A$2:$A$61,0),MATCH('BRZSPbS-psgr-ldv'!AB$1,'BRZSPbS-psgr-ldv_ALL'!$B$1:$AF$1,0))</f>
        <v>0</v>
      </c>
      <c r="AC2" s="47">
        <f>INDEX('BRZSPbS-psgr-ldv_ALL'!$B$2:$AF$61,MATCH(About!$B$1,'BRZSPbS-psgr-ldv_ALL'!$A$2:$A$61,0),MATCH('BRZSPbS-psgr-ldv'!AC$1,'BRZSPbS-psgr-ldv_ALL'!$B$1:$AF$1,0))</f>
        <v>0</v>
      </c>
      <c r="AD2" s="47">
        <f>INDEX('BRZSPbS-psgr-ldv_ALL'!$B$2:$AF$61,MATCH(About!$B$1,'BRZSPbS-psgr-ldv_ALL'!$A$2:$A$61,0),MATCH('BRZSPbS-psgr-ldv'!AD$1,'BRZSPbS-psgr-ldv_ALL'!$B$1:$AF$1,0))</f>
        <v>0</v>
      </c>
      <c r="AE2" s="47">
        <f>INDEX('BRZSPbS-psgr-ldv_ALL'!$B$2:$AF$61,MATCH(About!$B$1,'BRZSPbS-psgr-ldv_ALL'!$A$2:$A$61,0),MATCH('BRZSPbS-psgr-ldv'!AE$1,'BRZSPbS-psgr-ldv_ALL'!$B$1:$AF$1,0))</f>
        <v>0</v>
      </c>
      <c r="AF2" s="47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6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9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11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14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3.9118535662182152E-2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4.7811543587111531E-2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5.6504551512040896E-2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8.693007924929369E-2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0.17386015849858738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0.21732519812323423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0.23905771793555763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0.32598779718485132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0.32598779718485132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0.32598779718485132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0.32598779718485132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0.32598779718485132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0.32598779718485132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0.32598779718485132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0.32598779718485132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0.32598779718485132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0.32598779718485132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0.32598779718485132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0.32598779718485132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0.32598779718485132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0.32598779718485132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0.32598779718485132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0.32598779718485132</v>
      </c>
    </row>
    <row r="7" spans="1:32" x14ac:dyDescent="0.25">
      <c r="A7" t="s">
        <v>17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20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22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233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25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27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29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32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37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39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42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45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48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51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54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58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4.7811543587111531E-2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5.6504551512040896E-2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8.693007924929369E-2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0.17386015849858738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0.21732519812323423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0.23905771793555763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0.32598779718485132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0.32598779718485132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0.32598779718485132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0.32598779718485132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0.32598779718485132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0.32598779718485132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0.32598779718485132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0.32598779718485132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0.32598779718485132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0.32598779718485132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0.32598779718485132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0.32598779718485132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0.32598779718485132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0.32598779718485132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0.32598779718485132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0.32598779718485132</v>
      </c>
    </row>
    <row r="24" spans="1:32" x14ac:dyDescent="0.25">
      <c r="A24" t="s">
        <v>61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64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67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69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72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75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77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80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83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4.7811543587111531E-2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5.6504551512040896E-2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8.693007924929369E-2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0.17386015849858738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0.21732519812323423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0.23905771793555763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0.32598779718485132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0.32598779718485132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0.32598779718485132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0.32598779718485132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0.32598779718485132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0.32598779718485132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0.32598779718485132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0.32598779718485132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0.32598779718485132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0.32598779718485132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0.32598779718485132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0.32598779718485132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0.32598779718485132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0.32598779718485132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0.32598779718485132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0.32598779718485132</v>
      </c>
    </row>
    <row r="33" spans="1:32" x14ac:dyDescent="0.25">
      <c r="A33" t="s">
        <v>85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88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4.7811543587111531E-2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5.6504551512040896E-2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8.693007924929369E-2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0.17386015849858738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0.21732519812323423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0.23905771793555763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0.32598779718485132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0.32598779718485132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0.32598779718485132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0.32598779718485132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0.32598779718485132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0.32598779718485132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0.32598779718485132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0.32598779718485132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0.32598779718485132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0.32598779718485132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0.32598779718485132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0.32598779718485132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0.32598779718485132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0.32598779718485132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0.32598779718485132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0.32598779718485132</v>
      </c>
    </row>
    <row r="35" spans="1:32" x14ac:dyDescent="0.25">
      <c r="A35" t="s">
        <v>91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93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96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99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101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3.9118535662182152E-2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4.7811543587111531E-2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5.6504551512040896E-2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8.693007924929369E-2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0.17386015849858738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0.21732519812323423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0.23905771793555763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0.32598779718485132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0.32598779718485132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0.32598779718485132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0.32598779718485132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0.32598779718485132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0.32598779718485132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0.32598779718485132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0.32598779718485132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0.32598779718485132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0.32598779718485132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0.32598779718485132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0.32598779718485132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0.32598779718485132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0.32598779718485132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0.32598779718485132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0.32598779718485132</v>
      </c>
    </row>
    <row r="40" spans="1:32" x14ac:dyDescent="0.25">
      <c r="A40" t="s">
        <v>104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107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109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112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115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117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120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122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124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127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4.7811543587111531E-2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5.6504551512040896E-2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8.693007924929369E-2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0.17386015849858738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0.21732519812323423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0.23905771793555763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0.32598779718485132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0.32598779718485132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0.32598779718485132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0.32598779718485132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0.32598779718485132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0.32598779718485132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0.32598779718485132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0.32598779718485132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0.32598779718485132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0.32598779718485132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0.32598779718485132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0.32598779718485132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0.32598779718485132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0.32598779718485132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0.32598779718485132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0.32598779718485132</v>
      </c>
    </row>
    <row r="50" spans="1:32" x14ac:dyDescent="0.25">
      <c r="A50" t="s">
        <v>130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132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135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234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235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236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237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238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239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240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241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242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244</v>
      </c>
      <c r="B2" s="47">
        <f>INDEX('BRZSPbS-psgr-hdv_ALL'!$B$2:$AF$61,MATCH(About!$B$1,'BRZSPbS-psgr-hdv_ALL'!$A$2:$A$61,0),MATCH(B$1,'BRZSPbS-psgr-hdv_ALL'!$B$1:$AF$1,0))</f>
        <v>0</v>
      </c>
      <c r="C2" s="47">
        <f>INDEX('BRZSPbS-psgr-hdv_ALL'!$B$2:$AF$61,MATCH(About!$B$1,'BRZSPbS-psgr-hdv_ALL'!$A$2:$A$61,0),MATCH(C$1,'BRZSPbS-psgr-hdv_ALL'!$B$1:$AF$1,0))</f>
        <v>0</v>
      </c>
      <c r="D2" s="47">
        <f>INDEX('BRZSPbS-psgr-hdv_ALL'!$B$2:$AF$61,MATCH(About!$B$1,'BRZSPbS-psgr-hdv_ALL'!$A$2:$A$61,0),MATCH(D$1,'BRZSPbS-psgr-hdv_ALL'!$B$1:$AF$1,0))</f>
        <v>0</v>
      </c>
      <c r="E2" s="47">
        <f>INDEX('BRZSPbS-psgr-hdv_ALL'!$B$2:$AF$61,MATCH(About!$B$1,'BRZSPbS-psgr-hdv_ALL'!$A$2:$A$61,0),MATCH(E$1,'BRZSPbS-psgr-hdv_ALL'!$B$1:$AF$1,0))</f>
        <v>0</v>
      </c>
      <c r="F2" s="47">
        <f>INDEX('BRZSPbS-psgr-hdv_ALL'!$B$2:$AF$61,MATCH(About!$B$1,'BRZSPbS-psgr-hdv_ALL'!$A$2:$A$61,0),MATCH(F$1,'BRZSPbS-psgr-hdv_ALL'!$B$1:$AF$1,0))</f>
        <v>0</v>
      </c>
      <c r="G2" s="47">
        <f>INDEX('BRZSPbS-psgr-hdv_ALL'!$B$2:$AF$61,MATCH(About!$B$1,'BRZSPbS-psgr-hdv_ALL'!$A$2:$A$61,0),MATCH(G$1,'BRZSPbS-psgr-hdv_ALL'!$B$1:$AF$1,0))</f>
        <v>0</v>
      </c>
      <c r="H2" s="47">
        <f>INDEX('BRZSPbS-psgr-hdv_ALL'!$B$2:$AF$61,MATCH(About!$B$1,'BRZSPbS-psgr-hdv_ALL'!$A$2:$A$61,0),MATCH(H$1,'BRZSPbS-psgr-hdv_ALL'!$B$1:$AF$1,0))</f>
        <v>0</v>
      </c>
      <c r="I2" s="47">
        <f>INDEX('BRZSPbS-psgr-hdv_ALL'!$B$2:$AF$61,MATCH(About!$B$1,'BRZSPbS-psgr-hdv_ALL'!$A$2:$A$61,0),MATCH(I$1,'BRZSPbS-psgr-hdv_ALL'!$B$1:$AF$1,0))</f>
        <v>0</v>
      </c>
      <c r="J2" s="47">
        <f>INDEX('BRZSPbS-psgr-hdv_ALL'!$B$2:$AF$61,MATCH(About!$B$1,'BRZSPbS-psgr-hdv_ALL'!$A$2:$A$61,0),MATCH(J$1,'BRZSPbS-psgr-hdv_ALL'!$B$1:$AF$1,0))</f>
        <v>0</v>
      </c>
      <c r="K2" s="47">
        <f>INDEX('BRZSPbS-psgr-hdv_ALL'!$B$2:$AF$61,MATCH(About!$B$1,'BRZSPbS-psgr-hdv_ALL'!$A$2:$A$61,0),MATCH(K$1,'BRZSPbS-psgr-hdv_ALL'!$B$1:$AF$1,0))</f>
        <v>0</v>
      </c>
      <c r="L2" s="47">
        <f>INDEX('BRZSPbS-psgr-hdv_ALL'!$B$2:$AF$61,MATCH(About!$B$1,'BRZSPbS-psgr-hdv_ALL'!$A$2:$A$61,0),MATCH(L$1,'BRZSPbS-psgr-hdv_ALL'!$B$1:$AF$1,0))</f>
        <v>0</v>
      </c>
      <c r="M2" s="47">
        <f>INDEX('BRZSPbS-psgr-hdv_ALL'!$B$2:$AF$61,MATCH(About!$B$1,'BRZSPbS-psgr-hdv_ALL'!$A$2:$A$61,0),MATCH(M$1,'BRZSPbS-psgr-hdv_ALL'!$B$1:$AF$1,0))</f>
        <v>0</v>
      </c>
      <c r="N2" s="47">
        <f>INDEX('BRZSPbS-psgr-hdv_ALL'!$B$2:$AF$61,MATCH(About!$B$1,'BRZSPbS-psgr-hdv_ALL'!$A$2:$A$61,0),MATCH(N$1,'BRZSPbS-psgr-hdv_ALL'!$B$1:$AF$1,0))</f>
        <v>0</v>
      </c>
      <c r="O2" s="47">
        <f>INDEX('BRZSPbS-psgr-hdv_ALL'!$B$2:$AF$61,MATCH(About!$B$1,'BRZSPbS-psgr-hdv_ALL'!$A$2:$A$61,0),MATCH(O$1,'BRZSPbS-psgr-hdv_ALL'!$B$1:$AF$1,0))</f>
        <v>0</v>
      </c>
      <c r="P2" s="47">
        <f>INDEX('BRZSPbS-psgr-hdv_ALL'!$B$2:$AF$61,MATCH(About!$B$1,'BRZSPbS-psgr-hdv_ALL'!$A$2:$A$61,0),MATCH(P$1,'BRZSPbS-psgr-hdv_ALL'!$B$1:$AF$1,0))</f>
        <v>0</v>
      </c>
      <c r="Q2" s="47">
        <f>INDEX('BRZSPbS-psgr-hdv_ALL'!$B$2:$AF$61,MATCH(About!$B$1,'BRZSPbS-psgr-hdv_ALL'!$A$2:$A$61,0),MATCH(Q$1,'BRZSPbS-psgr-hdv_ALL'!$B$1:$AF$1,0))</f>
        <v>0</v>
      </c>
      <c r="R2" s="47">
        <f>INDEX('BRZSPbS-psgr-hdv_ALL'!$B$2:$AF$61,MATCH(About!$B$1,'BRZSPbS-psgr-hdv_ALL'!$A$2:$A$61,0),MATCH(R$1,'BRZSPbS-psgr-hdv_ALL'!$B$1:$AF$1,0))</f>
        <v>0</v>
      </c>
      <c r="S2" s="47">
        <f>INDEX('BRZSPbS-psgr-hdv_ALL'!$B$2:$AF$61,MATCH(About!$B$1,'BRZSPbS-psgr-hdv_ALL'!$A$2:$A$61,0),MATCH(S$1,'BRZSPbS-psgr-hdv_ALL'!$B$1:$AF$1,0))</f>
        <v>0</v>
      </c>
      <c r="T2" s="47">
        <f>INDEX('BRZSPbS-psgr-hdv_ALL'!$B$2:$AF$61,MATCH(About!$B$1,'BRZSPbS-psgr-hdv_ALL'!$A$2:$A$61,0),MATCH(T$1,'BRZSPbS-psgr-hdv_ALL'!$B$1:$AF$1,0))</f>
        <v>0</v>
      </c>
      <c r="U2" s="47">
        <f>INDEX('BRZSPbS-psgr-hdv_ALL'!$B$2:$AF$61,MATCH(About!$B$1,'BRZSPbS-psgr-hdv_ALL'!$A$2:$A$61,0),MATCH(U$1,'BRZSPbS-psgr-hdv_ALL'!$B$1:$AF$1,0))</f>
        <v>0</v>
      </c>
      <c r="V2" s="47">
        <f>INDEX('BRZSPbS-psgr-hdv_ALL'!$B$2:$AF$61,MATCH(About!$B$1,'BRZSPbS-psgr-hdv_ALL'!$A$2:$A$61,0),MATCH(V$1,'BRZSPbS-psgr-hdv_ALL'!$B$1:$AF$1,0))</f>
        <v>0</v>
      </c>
      <c r="W2" s="47">
        <f>INDEX('BRZSPbS-psgr-hdv_ALL'!$B$2:$AF$61,MATCH(About!$B$1,'BRZSPbS-psgr-hdv_ALL'!$A$2:$A$61,0),MATCH(W$1,'BRZSPbS-psgr-hdv_ALL'!$B$1:$AF$1,0))</f>
        <v>0</v>
      </c>
      <c r="X2" s="47">
        <f>INDEX('BRZSPbS-psgr-hdv_ALL'!$B$2:$AF$61,MATCH(About!$B$1,'BRZSPbS-psgr-hdv_ALL'!$A$2:$A$61,0),MATCH(X$1,'BRZSPbS-psgr-hdv_ALL'!$B$1:$AF$1,0))</f>
        <v>0</v>
      </c>
      <c r="Y2" s="47">
        <f>INDEX('BRZSPbS-psgr-hdv_ALL'!$B$2:$AF$61,MATCH(About!$B$1,'BRZSPbS-psgr-hdv_ALL'!$A$2:$A$61,0),MATCH(Y$1,'BRZSPbS-psgr-hdv_ALL'!$B$1:$AF$1,0))</f>
        <v>0</v>
      </c>
      <c r="Z2" s="47">
        <f>INDEX('BRZSPbS-psgr-hdv_ALL'!$B$2:$AF$61,MATCH(About!$B$1,'BRZSPbS-psgr-hdv_ALL'!$A$2:$A$61,0),MATCH(Z$1,'BRZSPbS-psgr-hdv_ALL'!$B$1:$AF$1,0))</f>
        <v>0</v>
      </c>
      <c r="AA2" s="47">
        <f>INDEX('BRZSPbS-psgr-hdv_ALL'!$B$2:$AF$61,MATCH(About!$B$1,'BRZSPbS-psgr-hdv_ALL'!$A$2:$A$61,0),MATCH(AA$1,'BRZSPbS-psgr-hdv_ALL'!$B$1:$AF$1,0))</f>
        <v>0</v>
      </c>
      <c r="AB2" s="47">
        <f>INDEX('BRZSPbS-psgr-hdv_ALL'!$B$2:$AF$61,MATCH(About!$B$1,'BRZSPbS-psgr-hdv_ALL'!$A$2:$A$61,0),MATCH(AB$1,'BRZSPbS-psgr-hdv_ALL'!$B$1:$AF$1,0))</f>
        <v>0</v>
      </c>
      <c r="AC2" s="47">
        <f>INDEX('BRZSPbS-psgr-hdv_ALL'!$B$2:$AF$61,MATCH(About!$B$1,'BRZSPbS-psgr-hdv_ALL'!$A$2:$A$61,0),MATCH(AC$1,'BRZSPbS-psgr-hdv_ALL'!$B$1:$AF$1,0))</f>
        <v>0</v>
      </c>
      <c r="AD2" s="47">
        <f>INDEX('BRZSPbS-psgr-hdv_ALL'!$B$2:$AF$61,MATCH(About!$B$1,'BRZSPbS-psgr-hdv_ALL'!$A$2:$A$61,0),MATCH(AD$1,'BRZSPbS-psgr-hdv_ALL'!$B$1:$AF$1,0))</f>
        <v>0</v>
      </c>
      <c r="AE2" s="47">
        <f>INDEX('BRZSPbS-psgr-hdv_ALL'!$B$2:$AF$61,MATCH(About!$B$1,'BRZSPbS-psgr-hdv_ALL'!$A$2:$A$61,0),MATCH(AE$1,'BRZSPbS-psgr-hdv_ALL'!$B$1:$AF$1,0))</f>
        <v>0</v>
      </c>
      <c r="AF2" s="47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6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9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11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14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20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22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233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25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27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29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32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37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39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42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45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48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51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54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58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61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64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67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69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72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75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77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80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83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85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88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91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93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96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99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101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104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107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109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112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115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117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120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122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124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127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130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132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135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234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235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236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237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238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239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240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241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242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244</v>
      </c>
      <c r="B2" s="47">
        <f>INDEX('BRZSPbS-psgr-mtrbk_ALL'!$B$2:$AF$61,MATCH(About!$B$1,'BRZSPbS-psgr-mtrbk_ALL'!$A$2:$A$61,0),MATCH(B$1,'BRZSPbS-psgr-mtrbk_ALL'!$B$1:$AF$1,0))</f>
        <v>0</v>
      </c>
      <c r="C2" s="47">
        <f>INDEX('BRZSPbS-psgr-mtrbk_ALL'!$B$2:$AF$61,MATCH(About!$B$1,'BRZSPbS-psgr-mtrbk_ALL'!$A$2:$A$61,0),MATCH(C$1,'BRZSPbS-psgr-mtrbk_ALL'!$B$1:$AF$1,0))</f>
        <v>0</v>
      </c>
      <c r="D2" s="47">
        <f>INDEX('BRZSPbS-psgr-mtrbk_ALL'!$B$2:$AF$61,MATCH(About!$B$1,'BRZSPbS-psgr-mtrbk_ALL'!$A$2:$A$61,0),MATCH(D$1,'BRZSPbS-psgr-mtrbk_ALL'!$B$1:$AF$1,0))</f>
        <v>0</v>
      </c>
      <c r="E2" s="47">
        <f>INDEX('BRZSPbS-psgr-mtrbk_ALL'!$B$2:$AF$61,MATCH(About!$B$1,'BRZSPbS-psgr-mtrbk_ALL'!$A$2:$A$61,0),MATCH(E$1,'BRZSPbS-psgr-mtrbk_ALL'!$B$1:$AF$1,0))</f>
        <v>0</v>
      </c>
      <c r="F2" s="47">
        <f>INDEX('BRZSPbS-psgr-mtrbk_ALL'!$B$2:$AF$61,MATCH(About!$B$1,'BRZSPbS-psgr-mtrbk_ALL'!$A$2:$A$61,0),MATCH(F$1,'BRZSPbS-psgr-mtrbk_ALL'!$B$1:$AF$1,0))</f>
        <v>0</v>
      </c>
      <c r="G2" s="47">
        <f>INDEX('BRZSPbS-psgr-mtrbk_ALL'!$B$2:$AF$61,MATCH(About!$B$1,'BRZSPbS-psgr-mtrbk_ALL'!$A$2:$A$61,0),MATCH(G$1,'BRZSPbS-psgr-mtrbk_ALL'!$B$1:$AF$1,0))</f>
        <v>0</v>
      </c>
      <c r="H2" s="47">
        <f>INDEX('BRZSPbS-psgr-mtrbk_ALL'!$B$2:$AF$61,MATCH(About!$B$1,'BRZSPbS-psgr-mtrbk_ALL'!$A$2:$A$61,0),MATCH(H$1,'BRZSPbS-psgr-mtrbk_ALL'!$B$1:$AF$1,0))</f>
        <v>0</v>
      </c>
      <c r="I2" s="47">
        <f>INDEX('BRZSPbS-psgr-mtrbk_ALL'!$B$2:$AF$61,MATCH(About!$B$1,'BRZSPbS-psgr-mtrbk_ALL'!$A$2:$A$61,0),MATCH(I$1,'BRZSPbS-psgr-mtrbk_ALL'!$B$1:$AF$1,0))</f>
        <v>0</v>
      </c>
      <c r="J2" s="47">
        <f>INDEX('BRZSPbS-psgr-mtrbk_ALL'!$B$2:$AF$61,MATCH(About!$B$1,'BRZSPbS-psgr-mtrbk_ALL'!$A$2:$A$61,0),MATCH(J$1,'BRZSPbS-psgr-mtrbk_ALL'!$B$1:$AF$1,0))</f>
        <v>0</v>
      </c>
      <c r="K2" s="47">
        <f>INDEX('BRZSPbS-psgr-mtrbk_ALL'!$B$2:$AF$61,MATCH(About!$B$1,'BRZSPbS-psgr-mtrbk_ALL'!$A$2:$A$61,0),MATCH(K$1,'BRZSPbS-psgr-mtrbk_ALL'!$B$1:$AF$1,0))</f>
        <v>0</v>
      </c>
      <c r="L2" s="47">
        <f>INDEX('BRZSPbS-psgr-mtrbk_ALL'!$B$2:$AF$61,MATCH(About!$B$1,'BRZSPbS-psgr-mtrbk_ALL'!$A$2:$A$61,0),MATCH(L$1,'BRZSPbS-psgr-mtrbk_ALL'!$B$1:$AF$1,0))</f>
        <v>0</v>
      </c>
      <c r="M2" s="47">
        <f>INDEX('BRZSPbS-psgr-mtrbk_ALL'!$B$2:$AF$61,MATCH(About!$B$1,'BRZSPbS-psgr-mtrbk_ALL'!$A$2:$A$61,0),MATCH(M$1,'BRZSPbS-psgr-mtrbk_ALL'!$B$1:$AF$1,0))</f>
        <v>0</v>
      </c>
      <c r="N2" s="47">
        <f>INDEX('BRZSPbS-psgr-mtrbk_ALL'!$B$2:$AF$61,MATCH(About!$B$1,'BRZSPbS-psgr-mtrbk_ALL'!$A$2:$A$61,0),MATCH(N$1,'BRZSPbS-psgr-mtrbk_ALL'!$B$1:$AF$1,0))</f>
        <v>0</v>
      </c>
      <c r="O2" s="47">
        <f>INDEX('BRZSPbS-psgr-mtrbk_ALL'!$B$2:$AF$61,MATCH(About!$B$1,'BRZSPbS-psgr-mtrbk_ALL'!$A$2:$A$61,0),MATCH(O$1,'BRZSPbS-psgr-mtrbk_ALL'!$B$1:$AF$1,0))</f>
        <v>0</v>
      </c>
      <c r="P2" s="47">
        <f>INDEX('BRZSPbS-psgr-mtrbk_ALL'!$B$2:$AF$61,MATCH(About!$B$1,'BRZSPbS-psgr-mtrbk_ALL'!$A$2:$A$61,0),MATCH(P$1,'BRZSPbS-psgr-mtrbk_ALL'!$B$1:$AF$1,0))</f>
        <v>0</v>
      </c>
      <c r="Q2" s="47">
        <f>INDEX('BRZSPbS-psgr-mtrbk_ALL'!$B$2:$AF$61,MATCH(About!$B$1,'BRZSPbS-psgr-mtrbk_ALL'!$A$2:$A$61,0),MATCH(Q$1,'BRZSPbS-psgr-mtrbk_ALL'!$B$1:$AF$1,0))</f>
        <v>0</v>
      </c>
      <c r="R2" s="47">
        <f>INDEX('BRZSPbS-psgr-mtrbk_ALL'!$B$2:$AF$61,MATCH(About!$B$1,'BRZSPbS-psgr-mtrbk_ALL'!$A$2:$A$61,0),MATCH(R$1,'BRZSPbS-psgr-mtrbk_ALL'!$B$1:$AF$1,0))</f>
        <v>0</v>
      </c>
      <c r="S2" s="47">
        <f>INDEX('BRZSPbS-psgr-mtrbk_ALL'!$B$2:$AF$61,MATCH(About!$B$1,'BRZSPbS-psgr-mtrbk_ALL'!$A$2:$A$61,0),MATCH(S$1,'BRZSPbS-psgr-mtrbk_ALL'!$B$1:$AF$1,0))</f>
        <v>0</v>
      </c>
      <c r="T2" s="47">
        <f>INDEX('BRZSPbS-psgr-mtrbk_ALL'!$B$2:$AF$61,MATCH(About!$B$1,'BRZSPbS-psgr-mtrbk_ALL'!$A$2:$A$61,0),MATCH(T$1,'BRZSPbS-psgr-mtrbk_ALL'!$B$1:$AF$1,0))</f>
        <v>0</v>
      </c>
      <c r="U2" s="47">
        <f>INDEX('BRZSPbS-psgr-mtrbk_ALL'!$B$2:$AF$61,MATCH(About!$B$1,'BRZSPbS-psgr-mtrbk_ALL'!$A$2:$A$61,0),MATCH(U$1,'BRZSPbS-psgr-mtrbk_ALL'!$B$1:$AF$1,0))</f>
        <v>0</v>
      </c>
      <c r="V2" s="47">
        <f>INDEX('BRZSPbS-psgr-mtrbk_ALL'!$B$2:$AF$61,MATCH(About!$B$1,'BRZSPbS-psgr-mtrbk_ALL'!$A$2:$A$61,0),MATCH(V$1,'BRZSPbS-psgr-mtrbk_ALL'!$B$1:$AF$1,0))</f>
        <v>0</v>
      </c>
      <c r="W2" s="47">
        <f>INDEX('BRZSPbS-psgr-mtrbk_ALL'!$B$2:$AF$61,MATCH(About!$B$1,'BRZSPbS-psgr-mtrbk_ALL'!$A$2:$A$61,0),MATCH(W$1,'BRZSPbS-psgr-mtrbk_ALL'!$B$1:$AF$1,0))</f>
        <v>0</v>
      </c>
      <c r="X2" s="47">
        <f>INDEX('BRZSPbS-psgr-mtrbk_ALL'!$B$2:$AF$61,MATCH(About!$B$1,'BRZSPbS-psgr-mtrbk_ALL'!$A$2:$A$61,0),MATCH(X$1,'BRZSPbS-psgr-mtrbk_ALL'!$B$1:$AF$1,0))</f>
        <v>0</v>
      </c>
      <c r="Y2" s="47">
        <f>INDEX('BRZSPbS-psgr-mtrbk_ALL'!$B$2:$AF$61,MATCH(About!$B$1,'BRZSPbS-psgr-mtrbk_ALL'!$A$2:$A$61,0),MATCH(Y$1,'BRZSPbS-psgr-mtrbk_ALL'!$B$1:$AF$1,0))</f>
        <v>0</v>
      </c>
      <c r="Z2" s="47">
        <f>INDEX('BRZSPbS-psgr-mtrbk_ALL'!$B$2:$AF$61,MATCH(About!$B$1,'BRZSPbS-psgr-mtrbk_ALL'!$A$2:$A$61,0),MATCH(Z$1,'BRZSPbS-psgr-mtrbk_ALL'!$B$1:$AF$1,0))</f>
        <v>0</v>
      </c>
      <c r="AA2" s="47">
        <f>INDEX('BRZSPbS-psgr-mtrbk_ALL'!$B$2:$AF$61,MATCH(About!$B$1,'BRZSPbS-psgr-mtrbk_ALL'!$A$2:$A$61,0),MATCH(AA$1,'BRZSPbS-psgr-mtrbk_ALL'!$B$1:$AF$1,0))</f>
        <v>0</v>
      </c>
      <c r="AB2" s="47">
        <f>INDEX('BRZSPbS-psgr-mtrbk_ALL'!$B$2:$AF$61,MATCH(About!$B$1,'BRZSPbS-psgr-mtrbk_ALL'!$A$2:$A$61,0),MATCH(AB$1,'BRZSPbS-psgr-mtrbk_ALL'!$B$1:$AF$1,0))</f>
        <v>0</v>
      </c>
      <c r="AC2" s="47">
        <f>INDEX('BRZSPbS-psgr-mtrbk_ALL'!$B$2:$AF$61,MATCH(About!$B$1,'BRZSPbS-psgr-mtrbk_ALL'!$A$2:$A$61,0),MATCH(AC$1,'BRZSPbS-psgr-mtrbk_ALL'!$B$1:$AF$1,0))</f>
        <v>0</v>
      </c>
      <c r="AD2" s="47">
        <f>INDEX('BRZSPbS-psgr-mtrbk_ALL'!$B$2:$AF$61,MATCH(About!$B$1,'BRZSPbS-psgr-mtrbk_ALL'!$A$2:$A$61,0),MATCH(AD$1,'BRZSPbS-psgr-mtrbk_ALL'!$B$1:$AF$1,0))</f>
        <v>0</v>
      </c>
      <c r="AE2" s="47">
        <f>INDEX('BRZSPbS-psgr-mtrbk_ALL'!$B$2:$AF$61,MATCH(About!$B$1,'BRZSPbS-psgr-mtrbk_ALL'!$A$2:$A$61,0),MATCH(AE$1,'BRZSPbS-psgr-mtrbk_ALL'!$B$1:$AF$1,0))</f>
        <v>0</v>
      </c>
      <c r="AF2" s="47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6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9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11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14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20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22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233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25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27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29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32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37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39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42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45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48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51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54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58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61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64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67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69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72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75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77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80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83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85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88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91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93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96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99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101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104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107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109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112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115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117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120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122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124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127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130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132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135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234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235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236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237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238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239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240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241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242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244</v>
      </c>
      <c r="B2" s="47">
        <f>INDEX('BRZSPbS-frgt-ldv_ALL'!$B$2:$AF$61,MATCH(About!$B$1,'BRZSPbS-frgt-ldv_ALL'!$A$2:$A$61,0),MATCH('BRZSPbS-frgt-ldv'!B$1,'BRZSPbS-frgt-ldv_ALL'!$B$1:$AF$1,0))</f>
        <v>0</v>
      </c>
      <c r="C2" s="47">
        <f>INDEX('BRZSPbS-frgt-ldv_ALL'!$B$2:$AF$61,MATCH(About!$B$1,'BRZSPbS-frgt-ldv_ALL'!$A$2:$A$61,0),MATCH('BRZSPbS-frgt-ldv'!C$1,'BRZSPbS-frgt-ldv_ALL'!$B$1:$AF$1,0))</f>
        <v>0</v>
      </c>
      <c r="D2" s="47">
        <f>INDEX('BRZSPbS-frgt-ldv_ALL'!$B$2:$AF$61,MATCH(About!$B$1,'BRZSPbS-frgt-ldv_ALL'!$A$2:$A$61,0),MATCH('BRZSPbS-frgt-ldv'!D$1,'BRZSPbS-frgt-ldv_ALL'!$B$1:$AF$1,0))</f>
        <v>0</v>
      </c>
      <c r="E2" s="47">
        <f>INDEX('BRZSPbS-frgt-ldv_ALL'!$B$2:$AF$61,MATCH(About!$B$1,'BRZSPbS-frgt-ldv_ALL'!$A$2:$A$61,0),MATCH('BRZSPbS-frgt-ldv'!E$1,'BRZSPbS-frgt-ldv_ALL'!$B$1:$AF$1,0))</f>
        <v>0</v>
      </c>
      <c r="F2" s="47">
        <f>INDEX('BRZSPbS-frgt-ldv_ALL'!$B$2:$AF$61,MATCH(About!$B$1,'BRZSPbS-frgt-ldv_ALL'!$A$2:$A$61,0),MATCH('BRZSPbS-frgt-ldv'!F$1,'BRZSPbS-frgt-ldv_ALL'!$B$1:$AF$1,0))</f>
        <v>0</v>
      </c>
      <c r="G2" s="47">
        <f>INDEX('BRZSPbS-frgt-ldv_ALL'!$B$2:$AF$61,MATCH(About!$B$1,'BRZSPbS-frgt-ldv_ALL'!$A$2:$A$61,0),MATCH('BRZSPbS-frgt-ldv'!G$1,'BRZSPbS-frgt-ldv_ALL'!$B$1:$AF$1,0))</f>
        <v>0</v>
      </c>
      <c r="H2" s="47">
        <f>INDEX('BRZSPbS-frgt-ldv_ALL'!$B$2:$AF$61,MATCH(About!$B$1,'BRZSPbS-frgt-ldv_ALL'!$A$2:$A$61,0),MATCH('BRZSPbS-frgt-ldv'!H$1,'BRZSPbS-frgt-ldv_ALL'!$B$1:$AF$1,0))</f>
        <v>0</v>
      </c>
      <c r="I2" s="47">
        <f>INDEX('BRZSPbS-frgt-ldv_ALL'!$B$2:$AF$61,MATCH(About!$B$1,'BRZSPbS-frgt-ldv_ALL'!$A$2:$A$61,0),MATCH('BRZSPbS-frgt-ldv'!I$1,'BRZSPbS-frgt-ldv_ALL'!$B$1:$AF$1,0))</f>
        <v>0</v>
      </c>
      <c r="J2" s="47">
        <f>INDEX('BRZSPbS-frgt-ldv_ALL'!$B$2:$AF$61,MATCH(About!$B$1,'BRZSPbS-frgt-ldv_ALL'!$A$2:$A$61,0),MATCH('BRZSPbS-frgt-ldv'!J$1,'BRZSPbS-frgt-ldv_ALL'!$B$1:$AF$1,0))</f>
        <v>0</v>
      </c>
      <c r="K2" s="47">
        <f>INDEX('BRZSPbS-frgt-ldv_ALL'!$B$2:$AF$61,MATCH(About!$B$1,'BRZSPbS-frgt-ldv_ALL'!$A$2:$A$61,0),MATCH('BRZSPbS-frgt-ldv'!K$1,'BRZSPbS-frgt-ldv_ALL'!$B$1:$AF$1,0))</f>
        <v>0</v>
      </c>
      <c r="L2" s="47">
        <f>INDEX('BRZSPbS-frgt-ldv_ALL'!$B$2:$AF$61,MATCH(About!$B$1,'BRZSPbS-frgt-ldv_ALL'!$A$2:$A$61,0),MATCH('BRZSPbS-frgt-ldv'!L$1,'BRZSPbS-frgt-ldv_ALL'!$B$1:$AF$1,0))</f>
        <v>0</v>
      </c>
      <c r="M2" s="47">
        <f>INDEX('BRZSPbS-frgt-ldv_ALL'!$B$2:$AF$61,MATCH(About!$B$1,'BRZSPbS-frgt-ldv_ALL'!$A$2:$A$61,0),MATCH('BRZSPbS-frgt-ldv'!M$1,'BRZSPbS-frgt-ldv_ALL'!$B$1:$AF$1,0))</f>
        <v>0</v>
      </c>
      <c r="N2" s="47">
        <f>INDEX('BRZSPbS-frgt-ldv_ALL'!$B$2:$AF$61,MATCH(About!$B$1,'BRZSPbS-frgt-ldv_ALL'!$A$2:$A$61,0),MATCH('BRZSPbS-frgt-ldv'!N$1,'BRZSPbS-frgt-ldv_ALL'!$B$1:$AF$1,0))</f>
        <v>0</v>
      </c>
      <c r="O2" s="47">
        <f>INDEX('BRZSPbS-frgt-ldv_ALL'!$B$2:$AF$61,MATCH(About!$B$1,'BRZSPbS-frgt-ldv_ALL'!$A$2:$A$61,0),MATCH('BRZSPbS-frgt-ldv'!O$1,'BRZSPbS-frgt-ldv_ALL'!$B$1:$AF$1,0))</f>
        <v>0</v>
      </c>
      <c r="P2" s="47">
        <f>INDEX('BRZSPbS-frgt-ldv_ALL'!$B$2:$AF$61,MATCH(About!$B$1,'BRZSPbS-frgt-ldv_ALL'!$A$2:$A$61,0),MATCH('BRZSPbS-frgt-ldv'!P$1,'BRZSPbS-frgt-ldv_ALL'!$B$1:$AF$1,0))</f>
        <v>0</v>
      </c>
      <c r="Q2" s="47">
        <f>INDEX('BRZSPbS-frgt-ldv_ALL'!$B$2:$AF$61,MATCH(About!$B$1,'BRZSPbS-frgt-ldv_ALL'!$A$2:$A$61,0),MATCH('BRZSPbS-frgt-ldv'!Q$1,'BRZSPbS-frgt-ldv_ALL'!$B$1:$AF$1,0))</f>
        <v>0</v>
      </c>
      <c r="R2" s="47">
        <f>INDEX('BRZSPbS-frgt-ldv_ALL'!$B$2:$AF$61,MATCH(About!$B$1,'BRZSPbS-frgt-ldv_ALL'!$A$2:$A$61,0),MATCH('BRZSPbS-frgt-ldv'!R$1,'BRZSPbS-frgt-ldv_ALL'!$B$1:$AF$1,0))</f>
        <v>0</v>
      </c>
      <c r="S2" s="47">
        <f>INDEX('BRZSPbS-frgt-ldv_ALL'!$B$2:$AF$61,MATCH(About!$B$1,'BRZSPbS-frgt-ldv_ALL'!$A$2:$A$61,0),MATCH('BRZSPbS-frgt-ldv'!S$1,'BRZSPbS-frgt-ldv_ALL'!$B$1:$AF$1,0))</f>
        <v>0</v>
      </c>
      <c r="T2" s="47">
        <f>INDEX('BRZSPbS-frgt-ldv_ALL'!$B$2:$AF$61,MATCH(About!$B$1,'BRZSPbS-frgt-ldv_ALL'!$A$2:$A$61,0),MATCH('BRZSPbS-frgt-ldv'!T$1,'BRZSPbS-frgt-ldv_ALL'!$B$1:$AF$1,0))</f>
        <v>0</v>
      </c>
      <c r="U2" s="47">
        <f>INDEX('BRZSPbS-frgt-ldv_ALL'!$B$2:$AF$61,MATCH(About!$B$1,'BRZSPbS-frgt-ldv_ALL'!$A$2:$A$61,0),MATCH('BRZSPbS-frgt-ldv'!U$1,'BRZSPbS-frgt-ldv_ALL'!$B$1:$AF$1,0))</f>
        <v>0</v>
      </c>
      <c r="V2" s="47">
        <f>INDEX('BRZSPbS-frgt-ldv_ALL'!$B$2:$AF$61,MATCH(About!$B$1,'BRZSPbS-frgt-ldv_ALL'!$A$2:$A$61,0),MATCH('BRZSPbS-frgt-ldv'!V$1,'BRZSPbS-frgt-ldv_ALL'!$B$1:$AF$1,0))</f>
        <v>0</v>
      </c>
      <c r="W2" s="47">
        <f>INDEX('BRZSPbS-frgt-ldv_ALL'!$B$2:$AF$61,MATCH(About!$B$1,'BRZSPbS-frgt-ldv_ALL'!$A$2:$A$61,0),MATCH('BRZSPbS-frgt-ldv'!W$1,'BRZSPbS-frgt-ldv_ALL'!$B$1:$AF$1,0))</f>
        <v>0</v>
      </c>
      <c r="X2" s="47">
        <f>INDEX('BRZSPbS-frgt-ldv_ALL'!$B$2:$AF$61,MATCH(About!$B$1,'BRZSPbS-frgt-ldv_ALL'!$A$2:$A$61,0),MATCH('BRZSPbS-frgt-ldv'!X$1,'BRZSPbS-frgt-ldv_ALL'!$B$1:$AF$1,0))</f>
        <v>0</v>
      </c>
      <c r="Y2" s="47">
        <f>INDEX('BRZSPbS-frgt-ldv_ALL'!$B$2:$AF$61,MATCH(About!$B$1,'BRZSPbS-frgt-ldv_ALL'!$A$2:$A$61,0),MATCH('BRZSPbS-frgt-ldv'!Y$1,'BRZSPbS-frgt-ldv_ALL'!$B$1:$AF$1,0))</f>
        <v>0</v>
      </c>
      <c r="Z2" s="47">
        <f>INDEX('BRZSPbS-frgt-ldv_ALL'!$B$2:$AF$61,MATCH(About!$B$1,'BRZSPbS-frgt-ldv_ALL'!$A$2:$A$61,0),MATCH('BRZSPbS-frgt-ldv'!Z$1,'BRZSPbS-frgt-ldv_ALL'!$B$1:$AF$1,0))</f>
        <v>0</v>
      </c>
      <c r="AA2" s="47">
        <f>INDEX('BRZSPbS-frgt-ldv_ALL'!$B$2:$AF$61,MATCH(About!$B$1,'BRZSPbS-frgt-ldv_ALL'!$A$2:$A$61,0),MATCH('BRZSPbS-frgt-ldv'!AA$1,'BRZSPbS-frgt-ldv_ALL'!$B$1:$AF$1,0))</f>
        <v>0</v>
      </c>
      <c r="AB2" s="47">
        <f>INDEX('BRZSPbS-frgt-ldv_ALL'!$B$2:$AF$61,MATCH(About!$B$1,'BRZSPbS-frgt-ldv_ALL'!$A$2:$A$61,0),MATCH('BRZSPbS-frgt-ldv'!AB$1,'BRZSPbS-frgt-ldv_ALL'!$B$1:$AF$1,0))</f>
        <v>0</v>
      </c>
      <c r="AC2" s="47">
        <f>INDEX('BRZSPbS-frgt-ldv_ALL'!$B$2:$AF$61,MATCH(About!$B$1,'BRZSPbS-frgt-ldv_ALL'!$A$2:$A$61,0),MATCH('BRZSPbS-frgt-ldv'!AC$1,'BRZSPbS-frgt-ldv_ALL'!$B$1:$AF$1,0))</f>
        <v>0</v>
      </c>
      <c r="AD2" s="47">
        <f>INDEX('BRZSPbS-frgt-ldv_ALL'!$B$2:$AF$61,MATCH(About!$B$1,'BRZSPbS-frgt-ldv_ALL'!$A$2:$A$61,0),MATCH('BRZSPbS-frgt-ldv'!AD$1,'BRZSPbS-frgt-ldv_ALL'!$B$1:$AF$1,0))</f>
        <v>0</v>
      </c>
      <c r="AE2" s="47">
        <f>INDEX('BRZSPbS-frgt-ldv_ALL'!$B$2:$AF$61,MATCH(About!$B$1,'BRZSPbS-frgt-ldv_ALL'!$A$2:$A$61,0),MATCH('BRZSPbS-frgt-ldv'!AE$1,'BRZSPbS-frgt-ldv_ALL'!$B$1:$AF$1,0))</f>
        <v>0</v>
      </c>
      <c r="AF2" s="47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6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9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11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14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20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22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233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25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27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29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32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37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39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42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45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48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51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54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58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61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64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67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69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72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75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77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80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83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85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88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91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93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96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99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101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104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107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109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112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115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117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120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122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124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127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130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132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135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234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235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236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237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238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239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240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241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242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244</v>
      </c>
      <c r="B2" s="47">
        <f>INDEX('BRZSPbS-frgt-hdv_ALL'!$B$2:$AF$61,MATCH(About!$B$1,'BRZSPbS-frgt-hdv_ALL'!$A$2:$A$61,0),MATCH(B$1,'BRZSPbS-frgt-hdv_ALL'!$B$1:$AF$1,0))</f>
        <v>0</v>
      </c>
      <c r="C2" s="47">
        <f>INDEX('BRZSPbS-frgt-hdv_ALL'!$B$2:$AF$61,MATCH(About!$B$1,'BRZSPbS-frgt-hdv_ALL'!$A$2:$A$61,0),MATCH(C$1,'BRZSPbS-frgt-hdv_ALL'!$B$1:$AF$1,0))</f>
        <v>0</v>
      </c>
      <c r="D2" s="47">
        <f>INDEX('BRZSPbS-frgt-hdv_ALL'!$B$2:$AF$61,MATCH(About!$B$1,'BRZSPbS-frgt-hdv_ALL'!$A$2:$A$61,0),MATCH(D$1,'BRZSPbS-frgt-hdv_ALL'!$B$1:$AF$1,0))</f>
        <v>0</v>
      </c>
      <c r="E2" s="47">
        <f>INDEX('BRZSPbS-frgt-hdv_ALL'!$B$2:$AF$61,MATCH(About!$B$1,'BRZSPbS-frgt-hdv_ALL'!$A$2:$A$61,0),MATCH(E$1,'BRZSPbS-frgt-hdv_ALL'!$B$1:$AF$1,0))</f>
        <v>0</v>
      </c>
      <c r="F2" s="47">
        <f>INDEX('BRZSPbS-frgt-hdv_ALL'!$B$2:$AF$61,MATCH(About!$B$1,'BRZSPbS-frgt-hdv_ALL'!$A$2:$A$61,0),MATCH(F$1,'BRZSPbS-frgt-hdv_ALL'!$B$1:$AF$1,0))</f>
        <v>0</v>
      </c>
      <c r="G2" s="47">
        <f>INDEX('BRZSPbS-frgt-hdv_ALL'!$B$2:$AF$61,MATCH(About!$B$1,'BRZSPbS-frgt-hdv_ALL'!$A$2:$A$61,0),MATCH(G$1,'BRZSPbS-frgt-hdv_ALL'!$B$1:$AF$1,0))</f>
        <v>0</v>
      </c>
      <c r="H2" s="47">
        <f>INDEX('BRZSPbS-frgt-hdv_ALL'!$B$2:$AF$61,MATCH(About!$B$1,'BRZSPbS-frgt-hdv_ALL'!$A$2:$A$61,0),MATCH(H$1,'BRZSPbS-frgt-hdv_ALL'!$B$1:$AF$1,0))</f>
        <v>0</v>
      </c>
      <c r="I2" s="47">
        <f>INDEX('BRZSPbS-frgt-hdv_ALL'!$B$2:$AF$61,MATCH(About!$B$1,'BRZSPbS-frgt-hdv_ALL'!$A$2:$A$61,0),MATCH(I$1,'BRZSPbS-frgt-hdv_ALL'!$B$1:$AF$1,0))</f>
        <v>0</v>
      </c>
      <c r="J2" s="47">
        <f>INDEX('BRZSPbS-frgt-hdv_ALL'!$B$2:$AF$61,MATCH(About!$B$1,'BRZSPbS-frgt-hdv_ALL'!$A$2:$A$61,0),MATCH(J$1,'BRZSPbS-frgt-hdv_ALL'!$B$1:$AF$1,0))</f>
        <v>0</v>
      </c>
      <c r="K2" s="47">
        <f>INDEX('BRZSPbS-frgt-hdv_ALL'!$B$2:$AF$61,MATCH(About!$B$1,'BRZSPbS-frgt-hdv_ALL'!$A$2:$A$61,0),MATCH(K$1,'BRZSPbS-frgt-hdv_ALL'!$B$1:$AF$1,0))</f>
        <v>0</v>
      </c>
      <c r="L2" s="47">
        <f>INDEX('BRZSPbS-frgt-hdv_ALL'!$B$2:$AF$61,MATCH(About!$B$1,'BRZSPbS-frgt-hdv_ALL'!$A$2:$A$61,0),MATCH(L$1,'BRZSPbS-frgt-hdv_ALL'!$B$1:$AF$1,0))</f>
        <v>0</v>
      </c>
      <c r="M2" s="47">
        <f>INDEX('BRZSPbS-frgt-hdv_ALL'!$B$2:$AF$61,MATCH(About!$B$1,'BRZSPbS-frgt-hdv_ALL'!$A$2:$A$61,0),MATCH(M$1,'BRZSPbS-frgt-hdv_ALL'!$B$1:$AF$1,0))</f>
        <v>0</v>
      </c>
      <c r="N2" s="47">
        <f>INDEX('BRZSPbS-frgt-hdv_ALL'!$B$2:$AF$61,MATCH(About!$B$1,'BRZSPbS-frgt-hdv_ALL'!$A$2:$A$61,0),MATCH(N$1,'BRZSPbS-frgt-hdv_ALL'!$B$1:$AF$1,0))</f>
        <v>0</v>
      </c>
      <c r="O2" s="47">
        <f>INDEX('BRZSPbS-frgt-hdv_ALL'!$B$2:$AF$61,MATCH(About!$B$1,'BRZSPbS-frgt-hdv_ALL'!$A$2:$A$61,0),MATCH(O$1,'BRZSPbS-frgt-hdv_ALL'!$B$1:$AF$1,0))</f>
        <v>0</v>
      </c>
      <c r="P2" s="47">
        <f>INDEX('BRZSPbS-frgt-hdv_ALL'!$B$2:$AF$61,MATCH(About!$B$1,'BRZSPbS-frgt-hdv_ALL'!$A$2:$A$61,0),MATCH(P$1,'BRZSPbS-frgt-hdv_ALL'!$B$1:$AF$1,0))</f>
        <v>0</v>
      </c>
      <c r="Q2" s="47">
        <f>INDEX('BRZSPbS-frgt-hdv_ALL'!$B$2:$AF$61,MATCH(About!$B$1,'BRZSPbS-frgt-hdv_ALL'!$A$2:$A$61,0),MATCH(Q$1,'BRZSPbS-frgt-hdv_ALL'!$B$1:$AF$1,0))</f>
        <v>0</v>
      </c>
      <c r="R2" s="47">
        <f>INDEX('BRZSPbS-frgt-hdv_ALL'!$B$2:$AF$61,MATCH(About!$B$1,'BRZSPbS-frgt-hdv_ALL'!$A$2:$A$61,0),MATCH(R$1,'BRZSPbS-frgt-hdv_ALL'!$B$1:$AF$1,0))</f>
        <v>0</v>
      </c>
      <c r="S2" s="47">
        <f>INDEX('BRZSPbS-frgt-hdv_ALL'!$B$2:$AF$61,MATCH(About!$B$1,'BRZSPbS-frgt-hdv_ALL'!$A$2:$A$61,0),MATCH(S$1,'BRZSPbS-frgt-hdv_ALL'!$B$1:$AF$1,0))</f>
        <v>0</v>
      </c>
      <c r="T2" s="47">
        <f>INDEX('BRZSPbS-frgt-hdv_ALL'!$B$2:$AF$61,MATCH(About!$B$1,'BRZSPbS-frgt-hdv_ALL'!$A$2:$A$61,0),MATCH(T$1,'BRZSPbS-frgt-hdv_ALL'!$B$1:$AF$1,0))</f>
        <v>0</v>
      </c>
      <c r="U2" s="47">
        <f>INDEX('BRZSPbS-frgt-hdv_ALL'!$B$2:$AF$61,MATCH(About!$B$1,'BRZSPbS-frgt-hdv_ALL'!$A$2:$A$61,0),MATCH(U$1,'BRZSPbS-frgt-hdv_ALL'!$B$1:$AF$1,0))</f>
        <v>0</v>
      </c>
      <c r="V2" s="47">
        <f>INDEX('BRZSPbS-frgt-hdv_ALL'!$B$2:$AF$61,MATCH(About!$B$1,'BRZSPbS-frgt-hdv_ALL'!$A$2:$A$61,0),MATCH(V$1,'BRZSPbS-frgt-hdv_ALL'!$B$1:$AF$1,0))</f>
        <v>0</v>
      </c>
      <c r="W2" s="47">
        <f>INDEX('BRZSPbS-frgt-hdv_ALL'!$B$2:$AF$61,MATCH(About!$B$1,'BRZSPbS-frgt-hdv_ALL'!$A$2:$A$61,0),MATCH(W$1,'BRZSPbS-frgt-hdv_ALL'!$B$1:$AF$1,0))</f>
        <v>0</v>
      </c>
      <c r="X2" s="47">
        <f>INDEX('BRZSPbS-frgt-hdv_ALL'!$B$2:$AF$61,MATCH(About!$B$1,'BRZSPbS-frgt-hdv_ALL'!$A$2:$A$61,0),MATCH(X$1,'BRZSPbS-frgt-hdv_ALL'!$B$1:$AF$1,0))</f>
        <v>0</v>
      </c>
      <c r="Y2" s="47">
        <f>INDEX('BRZSPbS-frgt-hdv_ALL'!$B$2:$AF$61,MATCH(About!$B$1,'BRZSPbS-frgt-hdv_ALL'!$A$2:$A$61,0),MATCH(Y$1,'BRZSPbS-frgt-hdv_ALL'!$B$1:$AF$1,0))</f>
        <v>0</v>
      </c>
      <c r="Z2" s="47">
        <f>INDEX('BRZSPbS-frgt-hdv_ALL'!$B$2:$AF$61,MATCH(About!$B$1,'BRZSPbS-frgt-hdv_ALL'!$A$2:$A$61,0),MATCH(Z$1,'BRZSPbS-frgt-hdv_ALL'!$B$1:$AF$1,0))</f>
        <v>0</v>
      </c>
      <c r="AA2" s="47">
        <f>INDEX('BRZSPbS-frgt-hdv_ALL'!$B$2:$AF$61,MATCH(About!$B$1,'BRZSPbS-frgt-hdv_ALL'!$A$2:$A$61,0),MATCH(AA$1,'BRZSPbS-frgt-hdv_ALL'!$B$1:$AF$1,0))</f>
        <v>0</v>
      </c>
      <c r="AB2" s="47">
        <f>INDEX('BRZSPbS-frgt-hdv_ALL'!$B$2:$AF$61,MATCH(About!$B$1,'BRZSPbS-frgt-hdv_ALL'!$A$2:$A$61,0),MATCH(AB$1,'BRZSPbS-frgt-hdv_ALL'!$B$1:$AF$1,0))</f>
        <v>0</v>
      </c>
      <c r="AC2" s="47">
        <f>INDEX('BRZSPbS-frgt-hdv_ALL'!$B$2:$AF$61,MATCH(About!$B$1,'BRZSPbS-frgt-hdv_ALL'!$A$2:$A$61,0),MATCH(AC$1,'BRZSPbS-frgt-hdv_ALL'!$B$1:$AF$1,0))</f>
        <v>0</v>
      </c>
      <c r="AD2" s="47">
        <f>INDEX('BRZSPbS-frgt-hdv_ALL'!$B$2:$AF$61,MATCH(About!$B$1,'BRZSPbS-frgt-hdv_ALL'!$A$2:$A$61,0),MATCH(AD$1,'BRZSPbS-frgt-hdv_ALL'!$B$1:$AF$1,0))</f>
        <v>0</v>
      </c>
      <c r="AE2" s="47">
        <f>INDEX('BRZSPbS-frgt-hdv_ALL'!$B$2:$AF$61,MATCH(About!$B$1,'BRZSPbS-frgt-hdv_ALL'!$A$2:$A$61,0),MATCH(AE$1,'BRZSPbS-frgt-hdv_ALL'!$B$1:$AF$1,0))</f>
        <v>0</v>
      </c>
      <c r="AF2" s="47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6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9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11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14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20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22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233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25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27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29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32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37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39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42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45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48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51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54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58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61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64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67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69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72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75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77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80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83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85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88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91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93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96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99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101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104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107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109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112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115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117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120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122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124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127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130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132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135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234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235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236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237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238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239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240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241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242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2023-09-28T18:00:45Z</dcterms:modified>
</cp:coreProperties>
</file>