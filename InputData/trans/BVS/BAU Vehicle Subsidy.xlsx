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VS\"/>
    </mc:Choice>
  </mc:AlternateContent>
  <xr:revisionPtr revIDLastSave="0" documentId="8_{A7B55751-E761-44A0-8268-BA543F5C9E89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Z64" i="2"/>
  <c r="Z69" i="2" s="1"/>
  <c r="Y6" i="5" s="1"/>
  <c r="Y64" i="2"/>
  <c r="Y69" i="2" s="1"/>
  <c r="X6" i="5" s="1"/>
  <c r="X64" i="2"/>
  <c r="X69" i="2" s="1"/>
  <c r="W6" i="5" s="1"/>
  <c r="N63" i="2"/>
  <c r="N68" i="2" s="1"/>
  <c r="M2" i="5" s="1"/>
  <c r="M8" i="5" s="1"/>
  <c r="M63" i="2"/>
  <c r="M68" i="2" s="1"/>
  <c r="L2" i="5" s="1"/>
  <c r="L8" i="5" s="1"/>
  <c r="L63" i="2"/>
  <c r="L68" i="2" s="1"/>
  <c r="K2" i="5" s="1"/>
  <c r="K8" i="5" s="1"/>
  <c r="O63" i="2" l="1"/>
  <c r="O68" i="2" s="1"/>
  <c r="N2" i="5" s="1"/>
  <c r="N8" i="5" s="1"/>
  <c r="AA64" i="2"/>
  <c r="AA69" i="2" s="1"/>
  <c r="Z6" i="5" s="1"/>
  <c r="P63" i="2"/>
  <c r="P68" i="2" s="1"/>
  <c r="O2" i="5" s="1"/>
  <c r="O8" i="5" s="1"/>
  <c r="AB64" i="2"/>
  <c r="AB69" i="2" s="1"/>
  <c r="AA6" i="5" s="1"/>
  <c r="Q63" i="2"/>
  <c r="Q68" i="2" s="1"/>
  <c r="P2" i="5" s="1"/>
  <c r="P8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<sst xmlns="http://schemas.openxmlformats.org/spreadsheetml/2006/main" count="491" uniqueCount="240">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</sst>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62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IL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3138.0840000000003</v>
      </c>
      <c r="E63" s="5">
        <f>SUMIFS('State EV Rebates'!$E$5:$E$24,'State EV Rebates'!$A$5:$A$24,About!$B$2)*$N$79</f>
        <v>3014.0120000000002</v>
      </c>
      <c r="F63" s="5">
        <f>SUMIFS('State EV Rebates'!$F$5:$F$24,'State EV Rebates'!$A$5:$A$24,About!$B$2)*$O$79</f>
        <v>1829.79</v>
      </c>
      <c r="G63" s="5">
        <f>SUMIFS('State EV Rebates'!$G$5:$G$24,'State EV Rebates'!$A$5:$A$24,About!$B$2)*$P$79</f>
        <v>1426.05</v>
      </c>
      <c r="H63" s="5">
        <f>SUMIFS('State EV Rebates'!$H$5:$H$24,'State EV Rebates'!$A$5:$A$24,About!$B$2)*$Q$79</f>
        <v>1370.3019999999999</v>
      </c>
      <c r="I63" s="5">
        <f>SUMIFS('State EV Rebates'!$I$5:$I$24,'State EV Rebates'!$A$5:$A$24,About!$B$2)*$R$79</f>
        <v>1332.9780000000001</v>
      </c>
      <c r="J63" s="5">
        <f>SUMIFS('State EV Rebates'!$J$5:$J$24,'State EV Rebates'!$A$5:$A$24,About!$B$2)*$S$79</f>
        <v>1296.6679999999999</v>
      </c>
      <c r="K63" s="5">
        <f>SUMIFS('State EV Rebates'!$K$5:$K$24,'State EV Rebates'!$A$5:$A$24,About!$B$2)*$T$79</f>
        <v>1261.3499999999999</v>
      </c>
      <c r="L63" s="5">
        <f>SUMIFS('State EV Rebates'!$L$5:$L$24,'State EV Rebates'!$A$5:$A$24,About!$B$2)*$U$79</f>
        <v>1226.9939999999999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4506.6697570401338</v>
      </c>
      <c r="E68" s="5">
        <f t="shared" si="0"/>
        <v>7809.9756566176638</v>
      </c>
      <c r="F68" s="5">
        <f t="shared" si="0"/>
        <v>5385.277701851609</v>
      </c>
      <c r="G68" s="5">
        <f t="shared" si="0"/>
        <v>3950.3157550587357</v>
      </c>
      <c r="H68" s="5">
        <f t="shared" si="0"/>
        <v>1370.3019999999999</v>
      </c>
      <c r="I68" s="5">
        <f t="shared" si="0"/>
        <v>1332.9780000000001</v>
      </c>
      <c r="J68" s="5">
        <f t="shared" si="0"/>
        <v>1296.6679999999999</v>
      </c>
      <c r="K68" s="5">
        <f t="shared" si="0"/>
        <v>1261.3499999999999</v>
      </c>
      <c r="L68" s="5">
        <f t="shared" si="0"/>
        <v>1226.9939999999999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4506.6697570401338</v>
      </c>
      <c r="D2" s="17">
        <f>'Passenger Vehicle Calculations'!E68</f>
        <v>7809.9756566176638</v>
      </c>
      <c r="E2" s="17">
        <f>'Passenger Vehicle Calculations'!F68</f>
        <v>5385.277701851609</v>
      </c>
      <c r="F2" s="17">
        <f>'Passenger Vehicle Calculations'!G68</f>
        <v>3950.3157550587357</v>
      </c>
      <c r="G2" s="17">
        <f>'Passenger Vehicle Calculations'!H68</f>
        <v>1370.3019999999999</v>
      </c>
      <c r="H2" s="17">
        <f>'Passenger Vehicle Calculations'!I68</f>
        <v>1332.9780000000001</v>
      </c>
      <c r="I2" s="17">
        <f>'Passenger Vehicle Calculations'!J68</f>
        <v>1296.6679999999999</v>
      </c>
      <c r="J2" s="17">
        <f>'Passenger Vehicle Calculations'!K68</f>
        <v>1261.3499999999999</v>
      </c>
      <c r="K2" s="17">
        <f>'Passenger Vehicle Calculations'!L68</f>
        <v>1226.9939999999999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7809.9756566176638</v>
      </c>
      <c r="E8" s="17">
        <f t="shared" si="0"/>
        <v>5385.277701851609</v>
      </c>
      <c r="F8" s="17">
        <f t="shared" si="0"/>
        <v>3950.3157550587357</v>
      </c>
      <c r="G8" s="17">
        <f t="shared" si="0"/>
        <v>1370.3019999999999</v>
      </c>
      <c r="H8" s="17">
        <f t="shared" si="0"/>
        <v>1332.9780000000001</v>
      </c>
      <c r="I8" s="17">
        <f t="shared" si="0"/>
        <v>1296.6679999999999</v>
      </c>
      <c r="J8" s="17">
        <f t="shared" si="0"/>
        <v>1261.3499999999999</v>
      </c>
      <c r="K8" s="17">
        <f t="shared" si="0"/>
        <v>1226.9939999999999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2026-09-09T22:14:20Z</dcterms:modified>
</cp:coreProperties>
</file>